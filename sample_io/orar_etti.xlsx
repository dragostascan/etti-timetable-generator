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 1" sheetId="1" r:id="rId4"/>
    <sheet state="visible" name="AN 2" sheetId="2" r:id="rId5"/>
    <sheet state="visible" name="AN 3" sheetId="3" r:id="rId6"/>
    <sheet state="visible" name="AN 4" sheetId="4" r:id="rId7"/>
    <sheet state="visible" name="Anunturi - AN1" sheetId="5" r:id="rId8"/>
    <sheet state="visible" name="Anunturi - AN2" sheetId="6" r:id="rId9"/>
    <sheet state="visible" name="Anunturi - AN3" sheetId="7" r:id="rId10"/>
    <sheet state="visible" name="Anunturi - AN4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N24">
      <text>
        <t xml:space="preserve">alocat pedagogie
</t>
      </text>
    </comment>
  </commentList>
</comments>
</file>

<file path=xl/sharedStrings.xml><?xml version="1.0" encoding="utf-8"?>
<sst xmlns="http://schemas.openxmlformats.org/spreadsheetml/2006/main" count="4074" uniqueCount="1771">
  <si>
    <t>Anul I Seria A</t>
  </si>
  <si>
    <t>Anul IV Seria A</t>
  </si>
  <si>
    <t>Anul IV Seria B</t>
  </si>
  <si>
    <t>Anul I Seria B</t>
  </si>
  <si>
    <t>Anul IV Seria C</t>
  </si>
  <si>
    <t>Anul I Seria C</t>
  </si>
  <si>
    <t>Anul IV Seria D</t>
  </si>
  <si>
    <t>Anul I Seria D</t>
  </si>
  <si>
    <t>Anul IV Seria E</t>
  </si>
  <si>
    <t>Anul I Seria E</t>
  </si>
  <si>
    <t xml:space="preserve"> </t>
  </si>
  <si>
    <t>Anul IV Seria F</t>
  </si>
  <si>
    <t>Anul I Seria F</t>
  </si>
  <si>
    <t>Anul IV Seria G</t>
  </si>
  <si>
    <t>Anul III Seria A  - CTI</t>
  </si>
  <si>
    <t>Anul I Seria G</t>
  </si>
  <si>
    <t>curs</t>
  </si>
  <si>
    <t>Anul II Seria A</t>
  </si>
  <si>
    <t>sem</t>
  </si>
  <si>
    <t>Anul III Seria B  - ELA</t>
  </si>
  <si>
    <t>441Aa</t>
  </si>
  <si>
    <t>441Ab</t>
  </si>
  <si>
    <t>442Aa</t>
  </si>
  <si>
    <t>442Ab</t>
  </si>
  <si>
    <t>443Aa</t>
  </si>
  <si>
    <t>Anul III Seria C  - TST</t>
  </si>
  <si>
    <t>411Aa</t>
  </si>
  <si>
    <t>443Ab</t>
  </si>
  <si>
    <t>411Ab</t>
  </si>
  <si>
    <t>444Aa</t>
  </si>
  <si>
    <t>412Aa</t>
  </si>
  <si>
    <t>444Ab</t>
  </si>
  <si>
    <t>412Ab</t>
  </si>
  <si>
    <t>413Aa</t>
  </si>
  <si>
    <t>413Ab</t>
  </si>
  <si>
    <t>414Aa</t>
  </si>
  <si>
    <t>Anul II Seria B</t>
  </si>
  <si>
    <t>414Ab</t>
  </si>
  <si>
    <t>sala</t>
  </si>
  <si>
    <t>441Ba</t>
  </si>
  <si>
    <t>411Ba</t>
  </si>
  <si>
    <t>441Bb</t>
  </si>
  <si>
    <t>411Bb</t>
  </si>
  <si>
    <t>412Ba</t>
  </si>
  <si>
    <t>442Ba</t>
  </si>
  <si>
    <t>412Bb</t>
  </si>
  <si>
    <t>413Ba</t>
  </si>
  <si>
    <t>442Bb</t>
  </si>
  <si>
    <t>Anul III Seria D  - RST</t>
  </si>
  <si>
    <t>413Bb</t>
  </si>
  <si>
    <t>414Ba</t>
  </si>
  <si>
    <t>414Bb</t>
  </si>
  <si>
    <t>443Ba</t>
  </si>
  <si>
    <t>Anul II Seria C</t>
  </si>
  <si>
    <t>443Bb</t>
  </si>
  <si>
    <t>444Ba</t>
  </si>
  <si>
    <t>411Ca</t>
  </si>
  <si>
    <t>411Cb</t>
  </si>
  <si>
    <t>412Ca</t>
  </si>
  <si>
    <t>412Cb</t>
  </si>
  <si>
    <t>413Ca</t>
  </si>
  <si>
    <t>444Bb</t>
  </si>
  <si>
    <t>413Cb</t>
  </si>
  <si>
    <t>Anul III Seria E  - MON</t>
  </si>
  <si>
    <t>414Ca</t>
  </si>
  <si>
    <t>414Cb</t>
  </si>
  <si>
    <t>441Ca</t>
  </si>
  <si>
    <t>Anul II Seria D</t>
  </si>
  <si>
    <t>411Da</t>
  </si>
  <si>
    <t>441Cb</t>
  </si>
  <si>
    <t>411Db</t>
  </si>
  <si>
    <t>442Ca</t>
  </si>
  <si>
    <t>412Da</t>
  </si>
  <si>
    <t>442Cb</t>
  </si>
  <si>
    <t>412Db</t>
  </si>
  <si>
    <t>413Da</t>
  </si>
  <si>
    <t>443Ca</t>
  </si>
  <si>
    <t>413Db</t>
  </si>
  <si>
    <t>443Cb</t>
  </si>
  <si>
    <t>414Da</t>
  </si>
  <si>
    <t>444Ca</t>
  </si>
  <si>
    <t>414Db</t>
  </si>
  <si>
    <t>444Cb</t>
  </si>
  <si>
    <t>411Ea</t>
  </si>
  <si>
    <t>441Da</t>
  </si>
  <si>
    <t>411Eb</t>
  </si>
  <si>
    <t>Anul II Seria E</t>
  </si>
  <si>
    <t>441Db</t>
  </si>
  <si>
    <t>412Ea</t>
  </si>
  <si>
    <t>412Eb</t>
  </si>
  <si>
    <t>442Da</t>
  </si>
  <si>
    <t>442Db</t>
  </si>
  <si>
    <t>413Ea</t>
  </si>
  <si>
    <t>443Da</t>
  </si>
  <si>
    <t>413Eb</t>
  </si>
  <si>
    <t>443Db</t>
  </si>
  <si>
    <t>414Ea</t>
  </si>
  <si>
    <t>444Da</t>
  </si>
  <si>
    <t>414Eb</t>
  </si>
  <si>
    <t>Anul III Seria F  - ELA En</t>
  </si>
  <si>
    <t>444Db</t>
  </si>
  <si>
    <t>411Fa</t>
  </si>
  <si>
    <t>Anul II Seria F</t>
  </si>
  <si>
    <t>411Fb</t>
  </si>
  <si>
    <t>441Ea</t>
  </si>
  <si>
    <t>412Fa</t>
  </si>
  <si>
    <t>412Fb</t>
  </si>
  <si>
    <t>441Eb</t>
  </si>
  <si>
    <t>413Fa</t>
  </si>
  <si>
    <t>413Fb</t>
  </si>
  <si>
    <t>442Ea</t>
  </si>
  <si>
    <t>414Fa</t>
  </si>
  <si>
    <t>414Fb</t>
  </si>
  <si>
    <t>Anul III Seria G - TST En</t>
  </si>
  <si>
    <t>442Eb</t>
  </si>
  <si>
    <t>411Ga</t>
  </si>
  <si>
    <t>443Ea</t>
  </si>
  <si>
    <t>411Gb</t>
  </si>
  <si>
    <t>412Ga</t>
  </si>
  <si>
    <t>443Eb</t>
  </si>
  <si>
    <t>412Gb</t>
  </si>
  <si>
    <t>Anul II Seria G</t>
  </si>
  <si>
    <t>413Ga</t>
  </si>
  <si>
    <t>444Ea</t>
  </si>
  <si>
    <t>413Gb</t>
  </si>
  <si>
    <t>414Ga</t>
  </si>
  <si>
    <t>444Eb</t>
  </si>
  <si>
    <t>414Gb</t>
  </si>
  <si>
    <t>441Fa</t>
  </si>
  <si>
    <t>B306</t>
  </si>
  <si>
    <t>B219a</t>
  </si>
  <si>
    <t>441Fb</t>
  </si>
  <si>
    <t>B212</t>
  </si>
  <si>
    <t>PC(l)</t>
  </si>
  <si>
    <t>441Ga</t>
  </si>
  <si>
    <t>441Gb</t>
  </si>
  <si>
    <t>442Ga</t>
  </si>
  <si>
    <t>442Gb</t>
  </si>
  <si>
    <t>B206a</t>
  </si>
  <si>
    <t>Fiz (l)</t>
  </si>
  <si>
    <t>A102</t>
  </si>
  <si>
    <t>B312</t>
  </si>
  <si>
    <t>B04</t>
  </si>
  <si>
    <t>B206b</t>
  </si>
  <si>
    <t>Sport</t>
  </si>
  <si>
    <t>ASC(l)</t>
  </si>
  <si>
    <t>CAD(s)</t>
  </si>
  <si>
    <t>CE(l)</t>
  </si>
  <si>
    <t>LUNI</t>
  </si>
  <si>
    <t>Chim (l)</t>
  </si>
  <si>
    <t>B09</t>
  </si>
  <si>
    <t>B10</t>
  </si>
  <si>
    <t>421Aa</t>
  </si>
  <si>
    <t>421Ab</t>
  </si>
  <si>
    <t>431Aa</t>
  </si>
  <si>
    <t>B11</t>
  </si>
  <si>
    <t>B12</t>
  </si>
  <si>
    <t>422Aa</t>
  </si>
  <si>
    <t>431Ab</t>
  </si>
  <si>
    <t>432Aa</t>
  </si>
  <si>
    <t>422Ab</t>
  </si>
  <si>
    <t>432Ab</t>
  </si>
  <si>
    <t>423Aa</t>
  </si>
  <si>
    <t>433Aa</t>
  </si>
  <si>
    <t>423Ab</t>
  </si>
  <si>
    <t>424Aa</t>
  </si>
  <si>
    <t>424Ab</t>
  </si>
  <si>
    <t>Fiz (l) / Chim (l)</t>
  </si>
  <si>
    <t>433Ab</t>
  </si>
  <si>
    <t>Sala</t>
  </si>
  <si>
    <t>434Aa</t>
  </si>
  <si>
    <t>SEP (l) / 
 / ASC (l)</t>
  </si>
  <si>
    <t>421Ba</t>
  </si>
  <si>
    <t>434Ab</t>
  </si>
  <si>
    <t>421Bb</t>
  </si>
  <si>
    <t>422Ba</t>
  </si>
  <si>
    <t>422Bb</t>
  </si>
  <si>
    <t>Chim (l) / Fiz (l)</t>
  </si>
  <si>
    <t>423Ba</t>
  </si>
  <si>
    <t>423Bb</t>
  </si>
  <si>
    <t>ASC (l) / 
 / PEP (l)</t>
  </si>
  <si>
    <t>424Ba</t>
  </si>
  <si>
    <t>421Ca</t>
  </si>
  <si>
    <t>PEP (l) / 
 / EIM (l)</t>
  </si>
  <si>
    <t>421Cb</t>
  </si>
  <si>
    <t>422Ca</t>
  </si>
  <si>
    <t>422Cb</t>
  </si>
  <si>
    <t>EIM (l) / 
 / SEP (l)</t>
  </si>
  <si>
    <t>423Ca</t>
  </si>
  <si>
    <t>423Cb</t>
  </si>
  <si>
    <t>424Ca</t>
  </si>
  <si>
    <t>-- /
/ CAD(l)</t>
  </si>
  <si>
    <t>424Cb</t>
  </si>
  <si>
    <t>421Da</t>
  </si>
  <si>
    <t>CAD(l) /
 / --</t>
  </si>
  <si>
    <t>421Db</t>
  </si>
  <si>
    <t>431Ba</t>
  </si>
  <si>
    <t>422Da</t>
  </si>
  <si>
    <t>422Db</t>
  </si>
  <si>
    <t>431Bb</t>
  </si>
  <si>
    <t>423Da</t>
  </si>
  <si>
    <t>ARHITECTURA SISTEMELOR DE CALCUL (curs) 
Prof. S. Zoican</t>
  </si>
  <si>
    <t>423Db</t>
  </si>
  <si>
    <t>432Ba</t>
  </si>
  <si>
    <t>424Da</t>
  </si>
  <si>
    <t>424Db</t>
  </si>
  <si>
    <t>432Bb</t>
  </si>
  <si>
    <t>421Ea</t>
  </si>
  <si>
    <t>421Eb</t>
  </si>
  <si>
    <t>422Ea</t>
  </si>
  <si>
    <t>433Ba</t>
  </si>
  <si>
    <t>422Eb</t>
  </si>
  <si>
    <t>433Bb</t>
  </si>
  <si>
    <t>423Ea</t>
  </si>
  <si>
    <t>423Eb</t>
  </si>
  <si>
    <t>424Ea</t>
  </si>
  <si>
    <t>434Ba</t>
  </si>
  <si>
    <t>424Eb</t>
  </si>
  <si>
    <t>434Bb</t>
  </si>
  <si>
    <t>421Fa</t>
  </si>
  <si>
    <t>435Ba</t>
  </si>
  <si>
    <t>421Fb</t>
  </si>
  <si>
    <t>422Fa</t>
  </si>
  <si>
    <t>422Fb</t>
  </si>
  <si>
    <t>423Fa</t>
  </si>
  <si>
    <t>435Bb</t>
  </si>
  <si>
    <t>423Fb</t>
  </si>
  <si>
    <t>421Ga</t>
  </si>
  <si>
    <t>431Ca</t>
  </si>
  <si>
    <t>431Cb</t>
  </si>
  <si>
    <t>421Gb</t>
  </si>
  <si>
    <t>432Ca</t>
  </si>
  <si>
    <t>422Ga</t>
  </si>
  <si>
    <t>422Gb</t>
  </si>
  <si>
    <t>432Cb</t>
  </si>
  <si>
    <t>433Ca</t>
  </si>
  <si>
    <t>423Ga</t>
  </si>
  <si>
    <t>433Cb</t>
  </si>
  <si>
    <t>434Ca</t>
  </si>
  <si>
    <t>423Gb</t>
  </si>
  <si>
    <t>434Cb</t>
  </si>
  <si>
    <t>424Ga</t>
  </si>
  <si>
    <t>431Da</t>
  </si>
  <si>
    <t>431Db</t>
  </si>
  <si>
    <t>432Da</t>
  </si>
  <si>
    <t>B110</t>
  </si>
  <si>
    <t>A05</t>
  </si>
  <si>
    <t>432Db</t>
  </si>
  <si>
    <t>B219b</t>
  </si>
  <si>
    <t>433Da</t>
  </si>
  <si>
    <t>433Db</t>
  </si>
  <si>
    <t>434Da</t>
  </si>
  <si>
    <t>434Db</t>
  </si>
  <si>
    <t>ME (l)</t>
  </si>
  <si>
    <t>431Ea</t>
  </si>
  <si>
    <t>DE (l)</t>
  </si>
  <si>
    <t>431Eb</t>
  </si>
  <si>
    <t>SS (l)</t>
  </si>
  <si>
    <t>432Ea</t>
  </si>
  <si>
    <t>432Eb</t>
  </si>
  <si>
    <t>CCP (l)</t>
  </si>
  <si>
    <t>433Ea</t>
  </si>
  <si>
    <t>A414</t>
  </si>
  <si>
    <t>433Eb</t>
  </si>
  <si>
    <t>A415</t>
  </si>
  <si>
    <t>434Ea</t>
  </si>
  <si>
    <t>Sala 2</t>
  </si>
  <si>
    <t>434Eb</t>
  </si>
  <si>
    <t>BE1 (s)
 B09</t>
  </si>
  <si>
    <t>431Fa</t>
  </si>
  <si>
    <t>431Fb</t>
  </si>
  <si>
    <t>Python (p) / --</t>
  </si>
  <si>
    <t>ALGAD (s) / AM (s)
B10</t>
  </si>
  <si>
    <t>432Fa</t>
  </si>
  <si>
    <t>AM (s) / ALGAD (s)
B11</t>
  </si>
  <si>
    <t xml:space="preserve">Python(p) / SS (l) </t>
  </si>
  <si>
    <r>
      <rPr>
        <rFont val="Arial"/>
        <sz val="8.0"/>
      </rPr>
      <t xml:space="preserve">PCLP1 (l)
 </t>
    </r>
    <r>
      <rPr>
        <rFont val="Arial"/>
        <color rgb="FFFF0000"/>
        <sz val="8.0"/>
      </rPr>
      <t>B322</t>
    </r>
  </si>
  <si>
    <t>431Ga</t>
  </si>
  <si>
    <t>431Gb</t>
  </si>
  <si>
    <t>432Ga</t>
  </si>
  <si>
    <t>432Gb</t>
  </si>
  <si>
    <t>A101</t>
  </si>
  <si>
    <t>A103</t>
  </si>
  <si>
    <t>B223a</t>
  </si>
  <si>
    <t>B124</t>
  </si>
  <si>
    <t>???</t>
  </si>
  <si>
    <t>SS (l) / --</t>
  </si>
  <si>
    <t>Semnale si Sisteme 1 SS1 (curs)
prof. C. Negrescu</t>
  </si>
  <si>
    <t>Analiză Matematică - AM (curs)
prof. L. Costache</t>
  </si>
  <si>
    <t>BE1 (s)
 B12</t>
  </si>
  <si>
    <t>LS1 (s)
B13</t>
  </si>
  <si>
    <t>LS1 (s)
B206b</t>
  </si>
  <si>
    <t>Mathematical Analysis - AM (curs) 
prof. A. Toma</t>
  </si>
  <si>
    <t>PEP (l) / 
 / ASC (l)</t>
  </si>
  <si>
    <t>ASC (l) / 
 / SEP (l)</t>
  </si>
  <si>
    <t>Semnale si Sisteme 1 SS1 (curs)
Prof. L. Stanciu</t>
  </si>
  <si>
    <t>SEP (l) / 
 / EIM (l)</t>
  </si>
  <si>
    <t>EIM (l) / 
 / PEP(l)</t>
  </si>
  <si>
    <t>SISTEME DE OPERARE (curs) 
Prof. S. Zoican</t>
  </si>
  <si>
    <t>sport / --</t>
  </si>
  <si>
    <t>Electronic Devices DE (curs)
Prof. G. Dima</t>
  </si>
  <si>
    <t>Instrumentaţie virtuală (curs) 
Prof. A. Antonescu</t>
  </si>
  <si>
    <t>Teoria transmisiunii informatiei (curs)
Prof. M. Frunzete</t>
  </si>
  <si>
    <t>Microunde (curs)
Prof. N. Militaru</t>
  </si>
  <si>
    <t>CN(l) /
 / --</t>
  </si>
  <si>
    <t>-- /
/ CN(l)</t>
  </si>
  <si>
    <r>
      <rPr>
        <rFont val="arial"/>
        <b/>
        <sz val="8.0"/>
      </rPr>
      <t xml:space="preserve">CIA (l) /
/ </t>
    </r>
    <r>
      <rPr>
        <rFont val="arial"/>
        <b/>
        <color rgb="FF0000FF"/>
        <sz val="8.0"/>
      </rPr>
      <t xml:space="preserve">SS3 (l) </t>
    </r>
  </si>
  <si>
    <r>
      <rPr>
        <rFont val="arial"/>
        <b/>
        <color rgb="FF0000FF"/>
        <sz val="8.0"/>
      </rPr>
      <t xml:space="preserve">SS3 (l) </t>
    </r>
    <r>
      <rPr>
        <rFont val="arial"/>
        <b/>
        <color rgb="FFFF9900"/>
        <sz val="8.0"/>
      </rPr>
      <t xml:space="preserve"> </t>
    </r>
    <r>
      <rPr>
        <rFont val="arial"/>
        <b/>
        <sz val="8.0"/>
      </rPr>
      <t>/
/ CIA (l)</t>
    </r>
  </si>
  <si>
    <r>
      <rPr>
        <rFont val="arial"/>
        <b/>
        <color rgb="FF00FF00"/>
        <sz val="8.0"/>
      </rPr>
      <t xml:space="preserve">uU (l) </t>
    </r>
    <r>
      <rPr>
        <rFont val="arial"/>
        <b/>
        <sz val="8.0"/>
      </rPr>
      <t xml:space="preserve">/
/ </t>
    </r>
    <r>
      <rPr>
        <rFont val="arial"/>
        <b/>
        <color rgb="FF0000FF"/>
        <sz val="8.0"/>
      </rPr>
      <t>-</t>
    </r>
  </si>
  <si>
    <r>
      <rPr>
        <rFont val="arial"/>
        <b/>
        <color rgb="FF0000FF"/>
        <sz val="8.0"/>
      </rPr>
      <t>-</t>
    </r>
    <r>
      <rPr>
        <rFont val="arial"/>
        <b/>
        <sz val="8.0"/>
      </rPr>
      <t xml:space="preserve"> /
/ </t>
    </r>
    <r>
      <rPr>
        <rFont val="arial"/>
        <b/>
        <color rgb="FF00FF00"/>
        <sz val="8.0"/>
      </rPr>
      <t>uU (l)</t>
    </r>
  </si>
  <si>
    <t>13-14</t>
  </si>
  <si>
    <t>G3D (l) / 
 / EIM (l)</t>
  </si>
  <si>
    <t>EIM (l) / 
 / G3D (l)</t>
  </si>
  <si>
    <t>Algebră Liniară, Geometrie Analitică și Diferențială - ALGAD (curs)
prof. A. Petrescu-Niță</t>
  </si>
  <si>
    <r>
      <rPr>
        <rFont val="Arial"/>
        <sz val="8.0"/>
      </rPr>
      <t>Tech. Web (p)</t>
    </r>
    <r>
      <rPr>
        <rFont val="Arial"/>
        <sz val="8.0"/>
      </rPr>
      <t xml:space="preserve"> /
 / ASC (l)</t>
    </r>
  </si>
  <si>
    <t>Signals and Systems 3 -  SS3 (curs)
Prof. V. Popa</t>
  </si>
  <si>
    <t>AM (s) / ALGAD (s)
B09</t>
  </si>
  <si>
    <r>
      <rPr>
        <rFont val="Arial"/>
        <sz val="8.0"/>
      </rPr>
      <t xml:space="preserve">ASC (l) / 
 / </t>
    </r>
    <r>
      <rPr>
        <rFont val="Arial"/>
        <sz val="8.0"/>
      </rPr>
      <t xml:space="preserve">Tech. Web (p) </t>
    </r>
  </si>
  <si>
    <t>COMUNICAȚII DE DATE (curs)   / --
Prof. S. Halunga / --</t>
  </si>
  <si>
    <t>BE1 (s)
 B10</t>
  </si>
  <si>
    <r>
      <rPr>
        <rFont val="Arial"/>
        <sz val="8.0"/>
      </rPr>
      <t xml:space="preserve">PCLP1 (l)
 </t>
    </r>
    <r>
      <rPr>
        <rFont val="Arial"/>
        <color rgb="FFFF0000"/>
        <sz val="8.0"/>
      </rPr>
      <t>B322</t>
    </r>
  </si>
  <si>
    <t>CAD(l) /
 / RS (l)</t>
  </si>
  <si>
    <t>ALGAD (s) / AM (s)
B11</t>
  </si>
  <si>
    <t>BE1 (curs) / ALGAD (curs)
prof. V. Ioniță / prof. M. Cimpoeaș</t>
  </si>
  <si>
    <t xml:space="preserve"> /
/ CAD(l)</t>
  </si>
  <si>
    <t>ASC(l) /
 / --</t>
  </si>
  <si>
    <t>-- /
/ ASC(l)</t>
  </si>
  <si>
    <t>Sport / --</t>
  </si>
  <si>
    <t xml:space="preserve">
RS(l) /
/ --</t>
  </si>
  <si>
    <t>BE1 (s)
 B13</t>
  </si>
  <si>
    <t>LS1 (s)
B12</t>
  </si>
  <si>
    <t>DISPOZITIVE OPTOELECTRONICE (curs) 
prof. A. E. Marcu</t>
  </si>
  <si>
    <t>PCLP1 (l)
 A413</t>
  </si>
  <si>
    <t>PCLP1 (l)
 A415</t>
  </si>
  <si>
    <t>AMP(l) / --</t>
  </si>
  <si>
    <t>Physics 1 (curs) 
prof. G. Suliman</t>
  </si>
  <si>
    <t>SS (l) / AMP (l)</t>
  </si>
  <si>
    <t>CCP (l) / --</t>
  </si>
  <si>
    <t>-- / CCP(l)</t>
  </si>
  <si>
    <t>-- / DE(l)</t>
  </si>
  <si>
    <t>DE(l) / --</t>
  </si>
  <si>
    <t>14-15</t>
  </si>
  <si>
    <t>15-16</t>
  </si>
  <si>
    <t>PRELUCRAREA IMAGINILOR (curs) 
prof. C. Vertan</t>
  </si>
  <si>
    <t>Sisteme de control automat (curs) B223a Prof. D. Stoichescu || 
Bazele științei informației (curs) A03 prof. B. Alexandrescu || 
Inginerie audio (curs) A101 prof. Cristian Negrescu ||
Compatibilitate electromagnetică (curs) A103 prof. V. Voiculescu ||
Programarea interfetelor pentru baze de date (curs) B312 prof. V. Pupezescu ||
Optoelectronică (curs) sala A102 prof. A. E. Marcu</t>
  </si>
  <si>
    <t>Python (p) / sport</t>
  </si>
  <si>
    <t>-- /
 / ASC (l)</t>
  </si>
  <si>
    <t>ASC (l) / 
 / --</t>
  </si>
  <si>
    <t>AMP(l) / sport</t>
  </si>
  <si>
    <t>Opt 2. PROCESOARE DE SEMNAL ÎN COMUNICAȚII (curs) B206a Prof. M. Udrea
Opt 2. INTRODUCERE ÎN PRELUCRAREA IMAGINILOR ȘI VEDERE ARTIFICIALĂ (curs) A102 
Prof. R. Preda/Prof. C. Oprea</t>
  </si>
  <si>
    <t>SS (s)
B122</t>
  </si>
  <si>
    <t>Automatizări în electr. și telecom. (curs) B223a Prof. D. Stoichescu || 
Compatibilitate electromagnetică (curs) A103 prof. V. Voiculescu ||
Baze de date - Programarea interfețelor (curs) B312 prof. V. Pupezescu ||
Optoelectronică (curs) sala A102 prof. A. E. Marcu</t>
  </si>
  <si>
    <t>TEHNICI AVANSATE DE PRELUCRARE DIGITALĂ A SEMNALELOR (curs)  
prof. D. Burileanu</t>
  </si>
  <si>
    <t xml:space="preserve">sport / AMP(l) </t>
  </si>
  <si>
    <t>Sisteme de control automat (curs) B223a Prof. D. Stoichescu || 
Bazele științei informației (curs) A03 prof. B. Alexandrescu || 
Inginerie audio (curs) A101 prof. Cristian Negrescu ||
Baze de date - Programarea interfețelor (curs) B312 prof. V. Pupezescu ||
Bazele optoelectronicii (curs) sala A102 prof. A. E. Marcu</t>
  </si>
  <si>
    <t>Opt 2. DSP Prof. M. Udrea
Opt 2. IPIVA Prof. R. Preda</t>
  </si>
  <si>
    <t>Structuri de Date si Algoritmi SDA (curs)
Prof. O. Grigore</t>
  </si>
  <si>
    <t>SS (s)
B124</t>
  </si>
  <si>
    <t>Automatizări în electr. și telecom. (curs) B223a Prof. D. Stoichescu || 
Compatibilitate electromagnetică (curs) A103 prof. V. Voiculescu ||
Baze de date - Programarea interfețelor (curs) B312 prof. V. Pupezescu ||</t>
  </si>
  <si>
    <t>Automatizări în electr. și telecom. (curs) B223a Prof. D. Stoichescu || 
Compatibilitate electromagnetică (curs) A103 prof. V. Voiculescu ||
Baze de date - Programarea interfețelor (curs) B312 prof. V. Pupezescu ||
Optoelectronică / Bazele optoelectronicii (curs) sala A102 prof. A. E. Marcu</t>
  </si>
  <si>
    <t>Structuri de Date si Algoritmi SDA (curs)
Prof. V. Grosu</t>
  </si>
  <si>
    <t>Electrotehnică 1 (curs) - Elth1 (curs)
prof. M. Vasilescu</t>
  </si>
  <si>
    <t xml:space="preserve">
Sisteme de control automat (curs) B223a Prof. D. Stoichescu || 
Bazele științei informației (curs) A03 prof. B. Alexandrescu || 
Inginerie audio (curs) A101 prof. Cristian Negrescu ||
Baze de date - Programarea interfețelor (curs) B312 prof. V. Pupezescu ||
Bazele optoelectronicii (curs) sala A102 prof. A. E. Marcu</t>
  </si>
  <si>
    <t>LS1 (s)
B09</t>
  </si>
  <si>
    <t>-- / SS (l)</t>
  </si>
  <si>
    <t>Fizică 1 (curs)
prof. R. Hristu</t>
  </si>
  <si>
    <t>Passive Circuits and Components  CCP (curs)
Prof. C. Ionescu</t>
  </si>
  <si>
    <r>
      <rPr>
        <rFont val="arial"/>
        <b/>
        <color rgb="FFFF0000"/>
        <sz val="8.0"/>
      </rPr>
      <t>Fizică 1 (curs)</t>
    </r>
    <r>
      <rPr>
        <rFont val="arial"/>
        <b/>
        <color rgb="FF008000"/>
        <sz val="8.0"/>
      </rPr>
      <t xml:space="preserve"> / AM (curs) 
</t>
    </r>
    <r>
      <rPr>
        <rFont val="arial"/>
        <b/>
        <color rgb="FFFF0000"/>
        <sz val="8.0"/>
      </rPr>
      <t>prof. S. Ciobanu</t>
    </r>
    <r>
      <rPr>
        <rFont val="arial"/>
        <b/>
        <color rgb="FF008000"/>
        <sz val="8.0"/>
      </rPr>
      <t xml:space="preserve"> / prof. C. Ghiu</t>
    </r>
  </si>
  <si>
    <t>-- / Sport</t>
  </si>
  <si>
    <t>16-17</t>
  </si>
  <si>
    <t>-- / 
 / EIM (l)</t>
  </si>
  <si>
    <t>Linear algebra, analytic, and differential geometry - ALGAD (curs) 
prof. I. Meghea</t>
  </si>
  <si>
    <t>EIM (l) / 
 / --</t>
  </si>
  <si>
    <r>
      <rPr>
        <rFont val="Arial"/>
        <b/>
        <color rgb="FF008000"/>
        <sz val="8.0"/>
      </rPr>
      <t xml:space="preserve">
 Circuite integrate analogice (curs) Prof. C. Popa B110 / </t>
    </r>
    <r>
      <rPr>
        <rFont val="Arial"/>
        <b/>
        <color rgb="FF008000"/>
        <sz val="8.0"/>
        <u/>
      </rPr>
      <t>TTI (s) B13 435B</t>
    </r>
  </si>
  <si>
    <t xml:space="preserve"> Circuite integrate analogice (curs)
Prof. F. Mitu</t>
  </si>
  <si>
    <t>17-18</t>
  </si>
  <si>
    <t>ALGORITMI PARALELI ȘI DISTRIBUIȚI 1 (curs) 
prof. E. Stoica</t>
  </si>
  <si>
    <r>
      <rPr>
        <rFont val="arial"/>
        <b/>
        <color rgb="FF00FF00"/>
        <sz val="8.0"/>
      </rPr>
      <t xml:space="preserve">uU (l) </t>
    </r>
    <r>
      <rPr>
        <rFont val="arial"/>
        <b/>
        <sz val="8.0"/>
      </rPr>
      <t xml:space="preserve">/
/ </t>
    </r>
    <r>
      <rPr>
        <rFont val="arial"/>
        <b/>
        <color rgb="FF0000FF"/>
        <sz val="8.0"/>
      </rPr>
      <t>SS3 (l)</t>
    </r>
  </si>
  <si>
    <r>
      <rPr>
        <rFont val="arial"/>
        <b/>
        <color rgb="FF0000FF"/>
        <sz val="8.0"/>
      </rPr>
      <t xml:space="preserve">SS3 (l) </t>
    </r>
    <r>
      <rPr>
        <rFont val="arial"/>
        <b/>
        <sz val="8.0"/>
      </rPr>
      <t xml:space="preserve">/
/ </t>
    </r>
    <r>
      <rPr>
        <rFont val="arial"/>
        <b/>
        <color rgb="FF00FF00"/>
        <sz val="8.0"/>
      </rPr>
      <t>uU (l)</t>
    </r>
  </si>
  <si>
    <r>
      <rPr>
        <rFont val="arial"/>
        <b/>
        <color rgb="FF0000FF"/>
        <sz val="8.0"/>
      </rPr>
      <t xml:space="preserve">SS3 (s) B206b / </t>
    </r>
    <r>
      <rPr>
        <rFont val="arial"/>
        <b/>
        <color rgb="FF9900FF"/>
        <sz val="8.0"/>
      </rPr>
      <t>IEM (l)</t>
    </r>
  </si>
  <si>
    <t>SECR (l) / --</t>
  </si>
  <si>
    <t>-- / 
/ SECR (l)</t>
  </si>
  <si>
    <r>
      <rPr>
        <rFont val="arial"/>
        <b/>
        <color rgb="FF000000"/>
        <sz val="8.0"/>
      </rPr>
      <t xml:space="preserve"> </t>
    </r>
    <r>
      <rPr>
        <rFont val="arial"/>
        <b/>
        <color rgb="FF9900FF"/>
        <sz val="8.0"/>
      </rPr>
      <t>IEM (l)</t>
    </r>
    <r>
      <rPr>
        <rFont val="arial"/>
        <b/>
        <color rgb="FF000000"/>
        <sz val="8.0"/>
      </rPr>
      <t xml:space="preserve"> /</t>
    </r>
    <r>
      <rPr>
        <rFont val="arial"/>
        <color rgb="FF000000"/>
        <sz val="8.0"/>
      </rPr>
      <t xml:space="preserve"> </t>
    </r>
    <r>
      <rPr>
        <rFont val="arial"/>
        <b/>
        <color rgb="FF0000FF"/>
        <sz val="8.0"/>
      </rPr>
      <t>SS3 (s) B206b</t>
    </r>
  </si>
  <si>
    <r>
      <rPr>
        <rFont val="arial"/>
        <b/>
        <sz val="8.0"/>
      </rPr>
      <t>CIA (l)</t>
    </r>
    <r>
      <rPr>
        <rFont val="arial"/>
        <b/>
        <sz val="8.0"/>
      </rPr>
      <t xml:space="preserve"> /
/ </t>
    </r>
    <r>
      <rPr>
        <rFont val="arial"/>
        <b/>
        <color rgb="FFFF9900"/>
        <sz val="8.0"/>
      </rPr>
      <t>--</t>
    </r>
  </si>
  <si>
    <t>TEHNICI DE PROIECTARE PENTRU STRUCTURI VLSI (curs)
prof. M. Enăchescu</t>
  </si>
  <si>
    <t>MI (l) / 
  / --</t>
  </si>
  <si>
    <t>-- / 
  / MI (l)</t>
  </si>
  <si>
    <r>
      <rPr>
        <rFont val="Arial"/>
        <b val="0"/>
        <color rgb="FF000000"/>
        <sz val="8.0"/>
      </rPr>
      <t xml:space="preserve">DC (p) A102 </t>
    </r>
    <r>
      <rPr>
        <rFont val="Arial"/>
        <b/>
        <color rgb="FF38761D"/>
        <sz val="8.0"/>
      </rPr>
      <t>/ DC (lecture) A102</t>
    </r>
  </si>
  <si>
    <r>
      <rPr>
        <rFont val="arial"/>
        <b/>
        <color rgb="FFFF9900"/>
        <sz val="8.0"/>
      </rPr>
      <t xml:space="preserve">-- </t>
    </r>
    <r>
      <rPr>
        <rFont val="arial"/>
        <b/>
        <sz val="8.0"/>
      </rPr>
      <t xml:space="preserve">/
/ </t>
    </r>
    <r>
      <rPr>
        <rFont val="arial"/>
        <b/>
        <sz val="8.0"/>
      </rPr>
      <t>CIA (l)</t>
    </r>
  </si>
  <si>
    <r>
      <rPr>
        <rFont val="Arial"/>
        <b val="0"/>
        <color rgb="FF000000"/>
        <sz val="8.0"/>
      </rPr>
      <t xml:space="preserve">DC (p) B218 </t>
    </r>
    <r>
      <rPr>
        <rFont val="Arial"/>
        <b/>
        <color rgb="FF38761D"/>
        <sz val="8.0"/>
      </rPr>
      <t>/
-- / DC (lecture) A102</t>
    </r>
  </si>
  <si>
    <t>Teoria transmisiunii informatiei (curs)
Prof. C. Damian</t>
  </si>
  <si>
    <t>Microwaves - uU (curs)
Prof. I. Mocanu</t>
  </si>
  <si>
    <t>18-19</t>
  </si>
  <si>
    <t>DE (s)
B124</t>
  </si>
  <si>
    <t>-- /
/ O2 CAD Modelare si design 3D (c) B110</t>
  </si>
  <si>
    <t xml:space="preserve">Bazele Electrotehnicii 1 - BE1 (curs)
prof. M. Vasilescu </t>
  </si>
  <si>
    <t>PCLP1 (l)
B307</t>
  </si>
  <si>
    <t>Python (p) / O2</t>
  </si>
  <si>
    <t>19-20</t>
  </si>
  <si>
    <t>Fizică 1 (curs)
prof. A. Hărăbor</t>
  </si>
  <si>
    <t>INGINERIE SOFTWARE (curs) 
prof. E. Stoica</t>
  </si>
  <si>
    <t xml:space="preserve">AMP(l) / O2 </t>
  </si>
  <si>
    <t>MI (l) / 
  / PES (p)</t>
  </si>
  <si>
    <t>PES (p) / 
  / MI (l)</t>
  </si>
  <si>
    <t>-- / O2 CAD Modelare si design 3D (c) B110</t>
  </si>
  <si>
    <t>-- / B110</t>
  </si>
  <si>
    <t>-- /  O2 CAD Modelare si design 3D (c) B110 | O2 TCAD pentru electronica (c) B206a</t>
  </si>
  <si>
    <t>B110 | B206a</t>
  </si>
  <si>
    <t>20-21</t>
  </si>
  <si>
    <t>-- /   Pr. CEF 2</t>
  </si>
  <si>
    <r>
      <rPr>
        <rFont val="arial"/>
        <b/>
        <color rgb="FF0000FF"/>
        <sz val="8.0"/>
      </rPr>
      <t>SS3 (l)</t>
    </r>
    <r>
      <rPr>
        <rFont val="arial"/>
        <b/>
        <color rgb="FFFF0000"/>
        <sz val="8.0"/>
      </rPr>
      <t xml:space="preserve"> /
/ -</t>
    </r>
  </si>
  <si>
    <t>O2 TCAD pentru electronica (c) A03 /
/ O2 CAD Modelare si design 3D (c) B110</t>
  </si>
  <si>
    <r>
      <rPr>
        <rFont val="arial"/>
        <b/>
        <color rgb="FFFF0000"/>
        <sz val="8.0"/>
      </rPr>
      <t xml:space="preserve">-- /
/ </t>
    </r>
    <r>
      <rPr>
        <rFont val="arial"/>
        <b/>
        <color rgb="FF0000FF"/>
        <sz val="8.0"/>
      </rPr>
      <t>SS3 (l)</t>
    </r>
  </si>
  <si>
    <t>A03</t>
  </si>
  <si>
    <t>O2 TCAD pentru electronica (c) A05\ / O2 CAD Modelare si design 3D (c) B110</t>
  </si>
  <si>
    <t>Pr. CEF 2 /   --</t>
  </si>
  <si>
    <r>
      <rPr>
        <rFont val="arial"/>
        <b/>
        <sz val="8.0"/>
      </rPr>
      <t>CIA (l) /
/ --</t>
    </r>
    <r>
      <rPr>
        <rFont val="arial"/>
        <b/>
        <color rgb="FF0000FF"/>
        <sz val="8.0"/>
      </rPr>
      <t xml:space="preserve"> </t>
    </r>
  </si>
  <si>
    <r>
      <rPr>
        <rFont val="arial"/>
        <b/>
        <color rgb="FF0000FF"/>
        <sz val="8.0"/>
      </rPr>
      <t xml:space="preserve">-- </t>
    </r>
    <r>
      <rPr>
        <rFont val="arial"/>
        <b/>
        <color rgb="FFFF9900"/>
        <sz val="8.0"/>
      </rPr>
      <t xml:space="preserve"> </t>
    </r>
    <r>
      <rPr>
        <rFont val="arial"/>
        <b/>
        <sz val="8.0"/>
      </rPr>
      <t>/
/ CIA (l)</t>
    </r>
  </si>
  <si>
    <r>
      <rPr>
        <rFont val="arial"/>
        <b/>
        <color rgb="FF0000FF"/>
        <sz val="8.0"/>
      </rPr>
      <t xml:space="preserve">-- / </t>
    </r>
    <r>
      <rPr>
        <rFont val="arial"/>
        <b/>
        <color rgb="FF9900FF"/>
        <sz val="8.0"/>
      </rPr>
      <t>IEM (l)</t>
    </r>
  </si>
  <si>
    <r>
      <rPr>
        <rFont val="arial"/>
        <b/>
        <color rgb="FF000000"/>
        <sz val="8.0"/>
      </rPr>
      <t xml:space="preserve"> </t>
    </r>
    <r>
      <rPr>
        <rFont val="arial"/>
        <b/>
        <color rgb="FF9900FF"/>
        <sz val="8.0"/>
      </rPr>
      <t>IEM (l)</t>
    </r>
    <r>
      <rPr>
        <rFont val="arial"/>
        <b/>
        <color rgb="FF000000"/>
        <sz val="8.0"/>
      </rPr>
      <t xml:space="preserve"> /</t>
    </r>
    <r>
      <rPr>
        <rFont val="arial"/>
        <color rgb="FF000000"/>
        <sz val="8.0"/>
      </rPr>
      <t xml:space="preserve"> </t>
    </r>
    <r>
      <rPr>
        <rFont val="arial"/>
        <b/>
        <color rgb="FF0000FF"/>
        <sz val="8.0"/>
      </rPr>
      <t>--</t>
    </r>
  </si>
  <si>
    <r>
      <rPr>
        <rFont val="arial"/>
        <b/>
        <color rgb="FF00FF00"/>
        <sz val="8.0"/>
      </rPr>
      <t xml:space="preserve">uU (l) </t>
    </r>
    <r>
      <rPr>
        <rFont val="arial"/>
        <b/>
        <sz val="8.0"/>
      </rPr>
      <t xml:space="preserve">/
/ </t>
    </r>
    <r>
      <rPr>
        <rFont val="arial"/>
        <b/>
        <color rgb="FFFF9900"/>
        <sz val="8.0"/>
      </rPr>
      <t>--</t>
    </r>
  </si>
  <si>
    <t>MARTI</t>
  </si>
  <si>
    <r>
      <rPr>
        <rFont val="arial"/>
        <b/>
        <color rgb="FFFF9900"/>
        <sz val="8.0"/>
      </rPr>
      <t>--</t>
    </r>
    <r>
      <rPr>
        <rFont val="arial"/>
        <b/>
        <sz val="8.0"/>
      </rPr>
      <t xml:space="preserve"> /
/ </t>
    </r>
    <r>
      <rPr>
        <rFont val="arial"/>
        <b/>
        <color rgb="FF00FF00"/>
        <sz val="8.0"/>
      </rPr>
      <t>uU (l)</t>
    </r>
  </si>
  <si>
    <t>Instrumentatie electronica de masura (curs)
Prof. O. Datcu</t>
  </si>
  <si>
    <t>INTERFEȚE OM - MAȘINĂ (curs) 
prof. A. Griparis</t>
  </si>
  <si>
    <t>ELECTRONICĂ ȘI INFORMATICĂ MEDICALĂ (curs) 
prof D. Țarălungă</t>
  </si>
  <si>
    <t>ANTENE ȘI PROPAGARE (curs) 
Prof. C. Anghel</t>
  </si>
  <si>
    <t>-- / 
/ RS (l)</t>
  </si>
  <si>
    <t>TAPDS (l) / 
 / TIVM (l)</t>
  </si>
  <si>
    <t>TIVM (l) / 
 / TAPDS (l)</t>
  </si>
  <si>
    <t>DOE (l) / 
 / --</t>
  </si>
  <si>
    <r>
      <rPr>
        <rFont val="arial"/>
        <b/>
        <color rgb="FFFF0000"/>
        <sz val="8.0"/>
      </rPr>
      <t>ALGAD (curs)</t>
    </r>
    <r>
      <rPr>
        <rFont val="arial"/>
        <b/>
        <color rgb="FF008000"/>
        <sz val="8.0"/>
      </rPr>
      <t xml:space="preserve"> / --
</t>
    </r>
    <r>
      <rPr>
        <rFont val="arial"/>
        <b/>
        <color rgb="FFFF0000"/>
        <sz val="8.0"/>
      </rPr>
      <t>prof. I. Badralexi</t>
    </r>
    <r>
      <rPr>
        <rFont val="arial"/>
        <b/>
        <color rgb="FF008000"/>
        <sz val="8.0"/>
      </rPr>
      <t xml:space="preserve"> / --</t>
    </r>
  </si>
  <si>
    <t>-- / 
 / DOE (l)</t>
  </si>
  <si>
    <t>-- / 
 / TPSVLSI (l)</t>
  </si>
  <si>
    <t>TPSVLSI (l) / 
 / --</t>
  </si>
  <si>
    <t>Analiză Matematică - AM (curs) / ALGAD (curs)
prof. M. Cimpoeaș / prof. M. Cimpoeaș</t>
  </si>
  <si>
    <t>3D GRAPHICS (lecture)
prof. V. Stoica</t>
  </si>
  <si>
    <t>ARTIFICIAL INTELLIGENCE - IA (lecture) 
Prof. R. Țapu</t>
  </si>
  <si>
    <t>AMP(l) /. sp</t>
  </si>
  <si>
    <t>-- /  O2 TCAD pentru electronica (c) A03</t>
  </si>
  <si>
    <t xml:space="preserve">
Curs aplicativ de Linux si Python (curs) B223a prof. V. Voiculescu ||
Sisteme Electronice Digitale  (curs) A103 Prof. Popescu George-Vladut
</t>
  </si>
  <si>
    <t>CAD (p) /  | O2 TCAD pentru electronica (c) A03</t>
  </si>
  <si>
    <t xml:space="preserve">Sisteme de Operare (curs) B223a prof. V. Voiculescu ||
Circuite Integrate Digitale 2 (curs) A103 Prof. Popescu George-Vladut
</t>
  </si>
  <si>
    <t>-- / O2</t>
  </si>
  <si>
    <t xml:space="preserve">-- / DE(l) </t>
  </si>
  <si>
    <t>AMP(l) / Python (p)</t>
  </si>
  <si>
    <t>Phyton (p) / AMP(l)</t>
  </si>
  <si>
    <t>Sisteme de Operare (curs) B223a prof. V. Voiculescu ||
Circuite Integrate Digitale 2 (curs) A103 Prof. Popescu George-Vladut</t>
  </si>
  <si>
    <t>SS (l) / Python (p)</t>
  </si>
  <si>
    <t>PROCESOARE DE SEMNAL (curs) 
prof. B. Alexandrescu</t>
  </si>
  <si>
    <t>Python (p) / SS (l)</t>
  </si>
  <si>
    <t>DE (s)
B13</t>
  </si>
  <si>
    <t>TEHNOLOGII DE PROGRAMARE ÎN INTERNET (curs)  
prof. I. Dogaru</t>
  </si>
  <si>
    <t>INTELIGENȚĂ ARTIFICIALĂ (curs) 
Prof. R. Țapu</t>
  </si>
  <si>
    <t>DE(l) / O2</t>
  </si>
  <si>
    <t>SO (l) /
/ --</t>
  </si>
  <si>
    <t>-- / O2 TCAD pentru electronica (c) A05</t>
  </si>
  <si>
    <t>MEDICAL ELECTRONICS AND INFORMATICS (lecture)
prof. D. Țarălungă</t>
  </si>
  <si>
    <t>ANTENNAS AND PROPAGATION - AP (lecture) 
Prof. A. Bădescu</t>
  </si>
  <si>
    <t>DE (s)
sala Infineon</t>
  </si>
  <si>
    <t>TPSVLSI (l) / 
 / DOE (l)</t>
  </si>
  <si>
    <t>DOE (l) / 
 / TPSVLSI (l)</t>
  </si>
  <si>
    <t>TAPDS (l) / 
 / --</t>
  </si>
  <si>
    <t>-- / 
 / TAPDS (l)</t>
  </si>
  <si>
    <r>
      <rPr>
        <rFont val="arial"/>
        <b/>
        <color rgb="FFFF9900"/>
        <sz val="8.0"/>
      </rPr>
      <t>TTI (l)</t>
    </r>
    <r>
      <rPr>
        <rFont val="arial"/>
        <b/>
        <sz val="8.0"/>
      </rPr>
      <t xml:space="preserve"> /
/ </t>
    </r>
    <r>
      <rPr>
        <rFont val="arial"/>
        <b/>
        <color rgb="FF00FF00"/>
        <sz val="8.0"/>
      </rPr>
      <t>--</t>
    </r>
  </si>
  <si>
    <r>
      <rPr>
        <rFont val="arial"/>
        <b/>
        <color rgb="FF00FF00"/>
        <sz val="8.0"/>
      </rPr>
      <t xml:space="preserve">-- </t>
    </r>
    <r>
      <rPr>
        <rFont val="arial"/>
        <b/>
        <sz val="8.0"/>
      </rPr>
      <t xml:space="preserve">/
/ </t>
    </r>
    <r>
      <rPr>
        <rFont val="arial"/>
        <b/>
        <color rgb="FFFF9900"/>
        <sz val="8.0"/>
      </rPr>
      <t>TTI (l)</t>
    </r>
  </si>
  <si>
    <t>-- / CALITATE ȘI FIABILITATE (curs)
-- / prof. I. Bacivarov</t>
  </si>
  <si>
    <t>IM (l) / 
 / TPI (l)</t>
  </si>
  <si>
    <t>TPI (l) / 
 / IM (l)</t>
  </si>
  <si>
    <t>G3D (l) / 
 / --</t>
  </si>
  <si>
    <t>-- / 
 / G3D (l)</t>
  </si>
  <si>
    <t>COMUNICAȚII DE DATE (curs)  
Prof. S. Halunga</t>
  </si>
  <si>
    <t>-- / sport</t>
  </si>
  <si>
    <t xml:space="preserve">INTELIGENȚĂ ARTIFICIALĂ (curs) 
Prof. B. Mocanu </t>
  </si>
  <si>
    <t>TAPDS (l) / 
 / ASC (l)</t>
  </si>
  <si>
    <t>ASC (l) / 
 / TAPDS (l)</t>
  </si>
  <si>
    <r>
      <rPr>
        <rFont val="Arial"/>
        <sz val="8.0"/>
      </rPr>
      <t xml:space="preserve">-- / DOE (s) 
 </t>
    </r>
    <r>
      <rPr>
        <rFont val="Arial"/>
        <sz val="8.0"/>
      </rPr>
      <t>-- / B218</t>
    </r>
  </si>
  <si>
    <r>
      <rPr>
        <rFont val="Arial"/>
        <sz val="8.0"/>
      </rPr>
      <t xml:space="preserve">DOE (s) / --
</t>
    </r>
    <r>
      <rPr>
        <rFont val="Arial"/>
        <sz val="8.0"/>
      </rPr>
      <t>B218 / --</t>
    </r>
  </si>
  <si>
    <r>
      <rPr>
        <rFont val="Arial"/>
        <sz val="8.0"/>
      </rPr>
      <t xml:space="preserve">-- / DOE (s) 
</t>
    </r>
    <r>
      <rPr>
        <rFont val="Arial"/>
        <sz val="8.0"/>
      </rPr>
      <t xml:space="preserve"> -- / B218</t>
    </r>
  </si>
  <si>
    <r>
      <rPr>
        <rFont val="Arial"/>
        <sz val="8.0"/>
      </rPr>
      <t xml:space="preserve">DOE (s) / --
</t>
    </r>
    <r>
      <rPr>
        <rFont val="Arial"/>
        <sz val="8.0"/>
      </rPr>
      <t>B218 / --</t>
    </r>
  </si>
  <si>
    <t xml:space="preserve"> AMP(l) / --</t>
  </si>
  <si>
    <t>MEI (l) / 
 / --</t>
  </si>
  <si>
    <t>-- / 
 / MEI (l)</t>
  </si>
  <si>
    <t xml:space="preserve">-- / AMP(l) </t>
  </si>
  <si>
    <t>CN (l)/
/ AP (l)</t>
  </si>
  <si>
    <t xml:space="preserve">AP (l)/
/ CN (l) </t>
  </si>
  <si>
    <t>-- /
/ SECR (l)</t>
  </si>
  <si>
    <t>SECR(l) / 
/ --</t>
  </si>
  <si>
    <t>AMP(l)/--</t>
  </si>
  <si>
    <t>DE (s)
B10</t>
  </si>
  <si>
    <t>ALGAD (s) / --
B10</t>
  </si>
  <si>
    <t>-- / AMP(l)</t>
  </si>
  <si>
    <t>PCLP1 (l)
SC1</t>
  </si>
  <si>
    <t xml:space="preserve">DE(l) / </t>
  </si>
  <si>
    <r>
      <rPr>
        <rFont val="arial"/>
        <color rgb="FF000000"/>
        <sz val="8.0"/>
      </rPr>
      <t xml:space="preserve"> </t>
    </r>
    <r>
      <rPr>
        <rFont val="arial"/>
        <color rgb="FFFF0000"/>
        <sz val="8.0"/>
      </rPr>
      <t>--</t>
    </r>
    <r>
      <rPr>
        <rFont val="arial"/>
        <color rgb="FF000000"/>
        <sz val="8.0"/>
      </rPr>
      <t xml:space="preserve"> / ALGAD (s)
-- / B10</t>
    </r>
  </si>
  <si>
    <t>Chimie (curs)
prof. I. Rău</t>
  </si>
  <si>
    <t>DE (s)
B12</t>
  </si>
  <si>
    <t>IM (l) / 
 / --</t>
  </si>
  <si>
    <t>-- / 
 / IM (l)</t>
  </si>
  <si>
    <t>Fizică 1 (curs) / BE1 (curs)
prof. O. Dănilă / prof. R. Costea</t>
  </si>
  <si>
    <t>COMUNICAȚII DE DATE (curs) Prof. C. Vladeanu 
/ INGINERIE SOFTWARE PENTRU COMUNICAȚII (curs) Prof. E. Popovici</t>
  </si>
  <si>
    <t>Chimie (curs) 
prof. C. Pîrvu</t>
  </si>
  <si>
    <r>
      <rPr>
        <rFont val="Arial"/>
        <sz val="8.0"/>
      </rPr>
      <t xml:space="preserve">-- / DOE (s) 
 </t>
    </r>
    <r>
      <rPr>
        <rFont val="Arial"/>
        <sz val="8.0"/>
      </rPr>
      <t>-- / B218</t>
    </r>
  </si>
  <si>
    <r>
      <rPr>
        <rFont val="Arial"/>
        <sz val="8.0"/>
      </rPr>
      <t xml:space="preserve">DOE (s) / --
 </t>
    </r>
    <r>
      <rPr>
        <rFont val="Arial"/>
        <sz val="8.0"/>
      </rPr>
      <t>B218 / --</t>
    </r>
  </si>
  <si>
    <r>
      <rPr>
        <rFont val="Arial"/>
        <sz val="8.0"/>
      </rPr>
      <t xml:space="preserve">-- / DOE (s) 
</t>
    </r>
    <r>
      <rPr>
        <rFont val="Arial"/>
        <sz val="8.0"/>
      </rPr>
      <t xml:space="preserve"> -- / B218</t>
    </r>
  </si>
  <si>
    <r>
      <rPr>
        <rFont val="Arial"/>
        <sz val="8.0"/>
      </rPr>
      <t xml:space="preserve">DOE (s) / --
</t>
    </r>
    <r>
      <rPr>
        <rFont val="Arial"/>
        <sz val="8.0"/>
      </rPr>
      <t xml:space="preserve"> B218 / --</t>
    </r>
  </si>
  <si>
    <t>BTM (l) / 
 / --</t>
  </si>
  <si>
    <t>-- / 
 / BTM (l)</t>
  </si>
  <si>
    <r>
      <rPr>
        <rFont val="Arial"/>
        <sz val="8.0"/>
      </rPr>
      <t xml:space="preserve">TIVM (l) /
 / </t>
    </r>
    <r>
      <rPr>
        <rFont val="Arial"/>
        <sz val="8.0"/>
      </rPr>
      <t>ASC (l)</t>
    </r>
  </si>
  <si>
    <r>
      <rPr>
        <rFont val="Arial"/>
        <sz val="8.0"/>
      </rPr>
      <t>ASC (l)</t>
    </r>
    <r>
      <rPr>
        <rFont val="Arial"/>
        <sz val="8.0"/>
      </rPr>
      <t xml:space="preserve"> / 
 / TIVM (l)</t>
    </r>
  </si>
  <si>
    <t>CN (l) / --</t>
  </si>
  <si>
    <t>-- / CN (l)</t>
  </si>
  <si>
    <t>AP (l) /
/ SECR (l)</t>
  </si>
  <si>
    <t>SECR(l) / 
/ AP (l)</t>
  </si>
  <si>
    <t>SS 3 (curs)
Prof. M. Udrea / Prof. I. Pirnog</t>
  </si>
  <si>
    <t>--/
/SECR (l)</t>
  </si>
  <si>
    <t>CCP (l) / DE(l)</t>
  </si>
  <si>
    <t>SECR (l) /
/ --</t>
  </si>
  <si>
    <t>DE(l) / CCP(l)</t>
  </si>
  <si>
    <t>AP (l) /
/ --</t>
  </si>
  <si>
    <t>-- /
/ AP (l)</t>
  </si>
  <si>
    <r>
      <rPr>
        <rFont val="arial"/>
        <b/>
        <color rgb="FF0000FF"/>
        <sz val="8.0"/>
      </rPr>
      <t>SS3 (l)</t>
    </r>
    <r>
      <rPr>
        <rFont val="arial"/>
        <b/>
        <color rgb="FFFF0000"/>
        <sz val="8.0"/>
      </rPr>
      <t xml:space="preserve"> /
/ </t>
    </r>
    <r>
      <rPr>
        <rFont val="arial"/>
        <b/>
        <color rgb="FFFF9900"/>
        <sz val="8.0"/>
      </rPr>
      <t>TTI (l)</t>
    </r>
  </si>
  <si>
    <t>LS1 (s)
B10</t>
  </si>
  <si>
    <r>
      <rPr>
        <rFont val="arial"/>
        <b/>
        <color rgb="FFFF9900"/>
        <sz val="8.0"/>
      </rPr>
      <t>TTI (l)</t>
    </r>
    <r>
      <rPr>
        <rFont val="arial"/>
        <b/>
        <color rgb="FFFF0000"/>
        <sz val="8.0"/>
      </rPr>
      <t xml:space="preserve"> /
/ </t>
    </r>
    <r>
      <rPr>
        <rFont val="arial"/>
        <b/>
        <color rgb="FF0000FF"/>
        <sz val="8.0"/>
      </rPr>
      <t>SS3 (l)</t>
    </r>
  </si>
  <si>
    <t>ALGAD (s) / AM (s)
B09</t>
  </si>
  <si>
    <t xml:space="preserve"> AM (s) / ALGAD (s)
B12</t>
  </si>
  <si>
    <r>
      <rPr>
        <rFont val="arial"/>
        <b/>
        <sz val="8.0"/>
      </rPr>
      <t>-- /</t>
    </r>
    <r>
      <rPr>
        <rFont val="arial"/>
        <b/>
        <color rgb="FF9900FF"/>
        <sz val="8.0"/>
      </rPr>
      <t xml:space="preserve">
/</t>
    </r>
    <r>
      <rPr>
        <rFont val="arial"/>
        <b/>
        <sz val="8.0"/>
      </rPr>
      <t xml:space="preserve"> </t>
    </r>
    <r>
      <rPr>
        <rFont val="arial"/>
        <b/>
        <color rgb="FF9900FF"/>
        <sz val="8.0"/>
      </rPr>
      <t>IEM (l)</t>
    </r>
  </si>
  <si>
    <t>INGINERIE SOFTWARE PENTRU COMUNICAȚII (curs)   /  --
Prof. E. Popovici  /  --</t>
  </si>
  <si>
    <t xml:space="preserve"> Programarea Calculatoarelor și Limbaje de Programare 1 - PCLP1 (curs)
prof. O. Grigore </t>
  </si>
  <si>
    <r>
      <rPr>
        <rFont val="arial"/>
        <b/>
        <color rgb="FF9900FF"/>
        <sz val="8.0"/>
      </rPr>
      <t>IEM (l)</t>
    </r>
    <r>
      <rPr>
        <rFont val="arial"/>
        <b/>
        <sz val="8.0"/>
      </rPr>
      <t xml:space="preserve"> /
/ --</t>
    </r>
  </si>
  <si>
    <t>TIVM (l) /
 / --</t>
  </si>
  <si>
    <t>-- / 
 / TIVM (l)</t>
  </si>
  <si>
    <t>Teoria transmisiunii informatiei (curs) 
Prof. L. Perisoara</t>
  </si>
  <si>
    <t>PCLP1 (l)
SC2</t>
  </si>
  <si>
    <t>LS1 (s)
B11</t>
  </si>
  <si>
    <t xml:space="preserve">Chimie (curs) 
prof. C. Pîrvu </t>
  </si>
  <si>
    <t>Semnale si sisteme 3 (curs)
Prof. C. Florea</t>
  </si>
  <si>
    <t>Bazele Electrotehnicii 1  - BE1 (curs) 
prof. I. Nemoianu</t>
  </si>
  <si>
    <r>
      <rPr>
        <rFont val="arial"/>
        <b/>
        <color rgb="FF00FF00"/>
        <sz val="8.0"/>
      </rPr>
      <t xml:space="preserve">uU (l) </t>
    </r>
    <r>
      <rPr>
        <rFont val="arial"/>
        <b/>
        <sz val="8.0"/>
      </rPr>
      <t xml:space="preserve">/
/ </t>
    </r>
    <r>
      <rPr>
        <rFont val="arial"/>
        <b/>
        <color rgb="FF0000FF"/>
        <sz val="8.0"/>
      </rPr>
      <t>-</t>
    </r>
  </si>
  <si>
    <r>
      <rPr>
        <rFont val="arial"/>
        <b/>
        <color rgb="FF0000FF"/>
        <sz val="8.0"/>
      </rPr>
      <t>-</t>
    </r>
    <r>
      <rPr>
        <rFont val="arial"/>
        <b/>
        <sz val="8.0"/>
      </rPr>
      <t xml:space="preserve"> /
/ </t>
    </r>
    <r>
      <rPr>
        <rFont val="arial"/>
        <b/>
        <color rgb="FF00FF00"/>
        <sz val="8.0"/>
      </rPr>
      <t>uU (l)</t>
    </r>
  </si>
  <si>
    <r>
      <rPr>
        <rFont val="arial"/>
        <b/>
        <sz val="8.0"/>
      </rPr>
      <t>CIA (l)</t>
    </r>
    <r>
      <rPr>
        <rFont val="arial"/>
        <b/>
        <sz val="8.0"/>
      </rPr>
      <t xml:space="preserve"> /
/ </t>
    </r>
    <r>
      <rPr>
        <rFont val="arial"/>
        <b/>
        <color rgb="FFFF9900"/>
        <sz val="8.0"/>
      </rPr>
      <t>--</t>
    </r>
  </si>
  <si>
    <r>
      <rPr>
        <rFont val="arial"/>
        <b/>
        <color rgb="FFFF9900"/>
        <sz val="8.0"/>
      </rPr>
      <t xml:space="preserve">-- </t>
    </r>
    <r>
      <rPr>
        <rFont val="arial"/>
        <b/>
        <sz val="8.0"/>
      </rPr>
      <t xml:space="preserve">/
/ </t>
    </r>
    <r>
      <rPr>
        <rFont val="arial"/>
        <b/>
        <sz val="8.0"/>
      </rPr>
      <t>CIA (l)</t>
    </r>
  </si>
  <si>
    <r>
      <rPr>
        <rFont val="arial"/>
        <b/>
        <color rgb="FFFF9900"/>
        <sz val="8.0"/>
      </rPr>
      <t>TTI (l) B121</t>
    </r>
    <r>
      <rPr>
        <rFont val="arial"/>
        <b/>
        <sz val="8.0"/>
      </rPr>
      <t xml:space="preserve"> /
/ --</t>
    </r>
  </si>
  <si>
    <r>
      <rPr>
        <rFont val="arial"/>
        <b/>
        <sz val="8.0"/>
      </rPr>
      <t xml:space="preserve">-- /
/ </t>
    </r>
    <r>
      <rPr>
        <rFont val="arial"/>
        <b/>
        <color rgb="FFFF9900"/>
        <sz val="8.0"/>
      </rPr>
      <t>TTI (l) B121</t>
    </r>
  </si>
  <si>
    <t>Elth1 (s)
B10</t>
  </si>
  <si>
    <t>Fizică 1 (curs)  / ALGAD (curs)
prof. M. Stafe / prof. C. Ghiu</t>
  </si>
  <si>
    <t>ALGAD (s) / --
B09</t>
  </si>
  <si>
    <r>
      <rPr>
        <rFont val="Arial"/>
        <color rgb="FF000000"/>
        <sz val="8.0"/>
      </rPr>
      <t xml:space="preserve"> </t>
    </r>
    <r>
      <rPr>
        <rFont val="Arial"/>
        <color rgb="FF000000"/>
        <sz val="8.0"/>
      </rPr>
      <t>Sport</t>
    </r>
    <r>
      <rPr>
        <rFont val="Arial"/>
        <color rgb="FF000000"/>
        <sz val="8.0"/>
      </rPr>
      <t xml:space="preserve"> / ALGAD (s)
/ B09</t>
    </r>
  </si>
  <si>
    <t>-- / ALGAD (s)
-- / B11</t>
  </si>
  <si>
    <t>Algebră Liniară, Geometrie Analitică și Diferențială - ALGAD (curs)
prof. V. Slesar</t>
  </si>
  <si>
    <t>Achiziţia şi prelucrarea datelor (curs)
Prof. V. Georgescu</t>
  </si>
  <si>
    <t>Analiză Matematică (curs) / Fizică 1 (curs)
prof. M. Cimpoeaș / prof. A. Hărăbor</t>
  </si>
  <si>
    <t>MIERCURI</t>
  </si>
  <si>
    <t>ALGAD (s) / --
B11 / --</t>
  </si>
  <si>
    <t>REȚELE DE CALCULATOARE (curs) 
prof V. Stoica</t>
  </si>
  <si>
    <r>
      <rPr>
        <rFont val="arial"/>
        <b/>
        <color rgb="FF9900FF"/>
        <sz val="8.0"/>
      </rPr>
      <t>--</t>
    </r>
    <r>
      <rPr>
        <rFont val="arial"/>
        <b/>
        <sz val="8.0"/>
      </rPr>
      <t xml:space="preserve"> /
/ CIA (s) B218</t>
    </r>
  </si>
  <si>
    <t>IMAGISTICĂ MEDICALĂ (curs)  
prof. A. Sultana</t>
  </si>
  <si>
    <r>
      <rPr>
        <rFont val="arial"/>
        <b/>
        <sz val="8.0"/>
      </rPr>
      <t>CIA (s) B218 /</t>
    </r>
    <r>
      <rPr>
        <rFont val="arial"/>
        <b/>
        <color rgb="FF9900FF"/>
        <sz val="8.0"/>
      </rPr>
      <t xml:space="preserve">
/</t>
    </r>
    <r>
      <rPr>
        <rFont val="arial"/>
        <b/>
        <sz val="8.0"/>
      </rPr>
      <t xml:space="preserve"> </t>
    </r>
    <r>
      <rPr>
        <rFont val="arial"/>
        <b/>
        <color rgb="FF9900FF"/>
        <sz val="8.0"/>
      </rPr>
      <t>--</t>
    </r>
  </si>
  <si>
    <r>
      <rPr>
        <rFont val="arial"/>
        <b/>
        <color rgb="FFFF9900"/>
        <sz val="8.0"/>
      </rPr>
      <t>TTI (s)</t>
    </r>
    <r>
      <rPr>
        <rFont val="arial"/>
        <b/>
        <color rgb="FFFF0000"/>
        <sz val="8.0"/>
      </rPr>
      <t xml:space="preserve"> </t>
    </r>
    <r>
      <rPr>
        <rFont val="arial"/>
        <b/>
        <color rgb="FFFF9900"/>
        <sz val="8.0"/>
      </rPr>
      <t>B13</t>
    </r>
    <r>
      <rPr>
        <rFont val="arial"/>
        <b/>
        <color rgb="FFFF0000"/>
        <sz val="8.0"/>
      </rPr>
      <t xml:space="preserve"> /
/</t>
    </r>
    <r>
      <rPr>
        <rFont val="arial"/>
        <b/>
        <color rgb="FFFF9900"/>
        <sz val="8.0"/>
      </rPr>
      <t xml:space="preserve"> TTI (l)</t>
    </r>
  </si>
  <si>
    <r>
      <rPr>
        <rFont val="arial"/>
        <b/>
        <color rgb="FFFF9900"/>
        <sz val="8.0"/>
      </rPr>
      <t>TTI (l)</t>
    </r>
    <r>
      <rPr>
        <rFont val="arial"/>
        <b/>
        <color rgb="FFFF0000"/>
        <sz val="8.0"/>
      </rPr>
      <t xml:space="preserve"> /
/ </t>
    </r>
    <r>
      <rPr>
        <rFont val="arial"/>
        <b/>
        <color rgb="FFFF9900"/>
        <sz val="8.0"/>
      </rPr>
      <t>TTI (s) B13</t>
    </r>
  </si>
  <si>
    <r>
      <rPr>
        <rFont val="arial"/>
        <b/>
        <color rgb="FFFF9900"/>
        <sz val="8.0"/>
      </rPr>
      <t xml:space="preserve">-- </t>
    </r>
    <r>
      <rPr>
        <rFont val="arial"/>
        <b/>
        <sz val="8.0"/>
      </rPr>
      <t>/
/ CIA (s) B218</t>
    </r>
  </si>
  <si>
    <r>
      <rPr>
        <rFont val="arial"/>
        <b/>
        <sz val="8.0"/>
      </rPr>
      <t xml:space="preserve">CIA (s) B218 
/ </t>
    </r>
    <r>
      <rPr>
        <rFont val="arial"/>
        <b/>
        <color rgb="FFFF9900"/>
        <sz val="8.0"/>
      </rPr>
      <t>--</t>
    </r>
  </si>
  <si>
    <t>-- / 
/ CD (s) A03</t>
  </si>
  <si>
    <r>
      <rPr>
        <rFont val="arial"/>
        <b/>
        <color rgb="FF9900FF"/>
        <sz val="8.0"/>
      </rPr>
      <t xml:space="preserve">-- </t>
    </r>
    <r>
      <rPr>
        <rFont val="arial"/>
        <b/>
        <sz val="8.0"/>
      </rPr>
      <t xml:space="preserve">/ </t>
    </r>
    <r>
      <rPr>
        <rFont val="arial"/>
        <b/>
        <color rgb="FFFF9900"/>
        <sz val="8.0"/>
      </rPr>
      <t>TTI (s) B13</t>
    </r>
  </si>
  <si>
    <r>
      <rPr>
        <rFont val="arial"/>
        <b/>
        <color rgb="FFFF9900"/>
        <sz val="8.0"/>
      </rPr>
      <t>TTI (s) B13</t>
    </r>
    <r>
      <rPr>
        <rFont val="arial"/>
        <b/>
        <color rgb="FF9900FF"/>
        <sz val="8.0"/>
      </rPr>
      <t xml:space="preserve"> </t>
    </r>
    <r>
      <rPr>
        <rFont val="arial"/>
        <b/>
        <sz val="8.0"/>
      </rPr>
      <t>/ --</t>
    </r>
  </si>
  <si>
    <t>AP(l) B028 / 
/ --</t>
  </si>
  <si>
    <t>CAD (l) / 
/ --</t>
  </si>
  <si>
    <r>
      <rPr>
        <rFont val="Arial"/>
        <b/>
        <color rgb="FF008000"/>
        <sz val="8.0"/>
      </rPr>
      <t xml:space="preserve"> Circuite integrate analogice (curs) Prof. F. Mitu /</t>
    </r>
    <r>
      <rPr>
        <rFont val="Arial"/>
        <b/>
        <color rgb="FF9900FF"/>
        <sz val="8.0"/>
      </rPr>
      <t xml:space="preserve"> IEM(s) 433C sala B223a; </t>
    </r>
  </si>
  <si>
    <t>CD (s) A03 / 
/ --</t>
  </si>
  <si>
    <t>CD (s) A03 / 
/ AP(l) B028</t>
  </si>
  <si>
    <r>
      <rPr>
        <rFont val="arial"/>
        <color rgb="FF000000"/>
        <sz val="8.0"/>
      </rPr>
      <t xml:space="preserve">-- </t>
    </r>
    <r>
      <rPr>
        <rFont val="arial"/>
        <color rgb="FF000000"/>
        <sz val="8.0"/>
      </rPr>
      <t>/
/ ASC(l)</t>
    </r>
  </si>
  <si>
    <t>B233a</t>
  </si>
  <si>
    <t xml:space="preserve">
  SO (l) / -- </t>
  </si>
  <si>
    <t>Microunde (curs)
Prof. D. Brinaru</t>
  </si>
  <si>
    <t>IA (l) SC2/
/ --</t>
  </si>
  <si>
    <t>IA (l) SC2 /CAD(l)</t>
  </si>
  <si>
    <t>CAD(l)/
/ IA (l) SC2</t>
  </si>
  <si>
    <t>--/
/ CAD(l)</t>
  </si>
  <si>
    <r>
      <rPr>
        <rFont val="arial"/>
        <b/>
        <color rgb="FFFF9900"/>
        <sz val="8.0"/>
      </rPr>
      <t>TTI (l) B121</t>
    </r>
    <r>
      <rPr>
        <rFont val="arial"/>
        <b/>
        <sz val="8.0"/>
      </rPr>
      <t xml:space="preserve"> /
/ --</t>
    </r>
  </si>
  <si>
    <t>PEP (l) / 
 / --</t>
  </si>
  <si>
    <r>
      <rPr>
        <rFont val="arial"/>
        <b/>
        <sz val="8.0"/>
      </rPr>
      <t xml:space="preserve">-- /
/ </t>
    </r>
    <r>
      <rPr>
        <rFont val="arial"/>
        <b/>
        <color rgb="FFFF9900"/>
        <sz val="8.0"/>
      </rPr>
      <t>TTI (l) B121</t>
    </r>
  </si>
  <si>
    <r>
      <rPr>
        <rFont val="arial,sans,sans-serif"/>
        <color rgb="FF000000"/>
        <sz val="8.0"/>
      </rPr>
      <t xml:space="preserve">--/
/ </t>
    </r>
    <r>
      <rPr>
        <rFont val="arial,sans,sans-serif"/>
        <color rgb="FF000000"/>
        <sz val="8.0"/>
      </rPr>
      <t>IA (l) SC2</t>
    </r>
  </si>
  <si>
    <r>
      <rPr>
        <rFont val="arial"/>
        <b/>
        <sz val="8.0"/>
      </rPr>
      <t>CIA (l)</t>
    </r>
    <r>
      <rPr>
        <rFont val="arial"/>
        <b/>
        <sz val="8.0"/>
      </rPr>
      <t xml:space="preserve"> /
/ </t>
    </r>
    <r>
      <rPr>
        <rFont val="arial"/>
        <b/>
        <color rgb="FFFF9900"/>
        <sz val="8.0"/>
      </rPr>
      <t>--</t>
    </r>
  </si>
  <si>
    <r>
      <rPr>
        <rFont val="arial"/>
        <b/>
        <color rgb="FF0000FF"/>
        <sz val="8.0"/>
      </rPr>
      <t>SS3 (l)</t>
    </r>
    <r>
      <rPr>
        <rFont val="arial"/>
        <b/>
        <color rgb="FF000000"/>
        <sz val="8.0"/>
      </rPr>
      <t xml:space="preserve"> / --</t>
    </r>
  </si>
  <si>
    <t>Arhitectura Microprocesoarelor 1 AMP1 (curs)
Prof. R. Constantinescu</t>
  </si>
  <si>
    <t xml:space="preserve">Semnale si Sisteme 1 SS1 (curs) 
Prof. T. Petrescu </t>
  </si>
  <si>
    <r>
      <rPr>
        <rFont val="arial"/>
        <b/>
        <color rgb="FF000000"/>
        <sz val="8.0"/>
      </rPr>
      <t xml:space="preserve">-- / </t>
    </r>
    <r>
      <rPr>
        <rFont val="arial"/>
        <b/>
        <color rgb="FF0000FF"/>
        <sz val="8.0"/>
      </rPr>
      <t>SS3 (l)</t>
    </r>
  </si>
  <si>
    <t>SS (s)
B11</t>
  </si>
  <si>
    <t xml:space="preserve">SDA (l)
</t>
  </si>
  <si>
    <r>
      <rPr>
        <rFont val="arial"/>
        <b/>
        <color rgb="FF00FF00"/>
        <sz val="8.0"/>
      </rPr>
      <t xml:space="preserve">uU (l) </t>
    </r>
    <r>
      <rPr>
        <rFont val="arial"/>
        <b/>
        <sz val="8.0"/>
      </rPr>
      <t xml:space="preserve">/
/ </t>
    </r>
    <r>
      <rPr>
        <rFont val="arial"/>
        <b/>
        <color rgb="FF0000FF"/>
        <sz val="8.0"/>
      </rPr>
      <t>-</t>
    </r>
  </si>
  <si>
    <r>
      <rPr>
        <rFont val="arial"/>
        <b/>
        <color rgb="FF0000FF"/>
        <sz val="8.0"/>
      </rPr>
      <t>-</t>
    </r>
    <r>
      <rPr>
        <rFont val="arial"/>
        <b/>
        <sz val="8.0"/>
      </rPr>
      <t xml:space="preserve"> /
/ </t>
    </r>
    <r>
      <rPr>
        <rFont val="arial"/>
        <b/>
        <color rgb="FF00FF00"/>
        <sz val="8.0"/>
      </rPr>
      <t>uU (l)</t>
    </r>
  </si>
  <si>
    <t>SS (l) / AMP(l)</t>
  </si>
  <si>
    <t>AMP(l) / SS (l)</t>
  </si>
  <si>
    <t xml:space="preserve">-- / 
/ uU (s) B124 </t>
  </si>
  <si>
    <t>SDA(l)</t>
  </si>
  <si>
    <t>AM (curs) / Fizică 1 (curs)
prof. L. Costache / prof. R. Hristu</t>
  </si>
  <si>
    <t>BE1 (s)
B11</t>
  </si>
  <si>
    <t xml:space="preserve"> INTELIGENȚĂ ARTIFICIALĂ 2 - RECUNOAȘTEREA FORMELOR (curs)  
prof. A. Rădoi</t>
  </si>
  <si>
    <t>-- / ALGAD (s)
-- / B10</t>
  </si>
  <si>
    <t>ARHITECTURA SISTEMELOR DE CALCUL (curs)  
prof. R. Rădescu</t>
  </si>
  <si>
    <t>-- / 
AP(l) B028</t>
  </si>
  <si>
    <t>--  / 
/ IA (l) SC2</t>
  </si>
  <si>
    <t>SO (l)  /
/ ASC(l)</t>
  </si>
  <si>
    <t>ASC(l) /
 / IA (l) SC2</t>
  </si>
  <si>
    <t>IA SC2 / --</t>
  </si>
  <si>
    <t xml:space="preserve">-- /
 / SO (l) </t>
  </si>
  <si>
    <t>Linear algebra, analytic, and differential geometry (curs) / Electrotechnical basis 1 (curs)
prof. I. Meghea / prof. O. Drosu</t>
  </si>
  <si>
    <t>CAD(l)/
/--</t>
  </si>
  <si>
    <t>IA (l) SC2/
/ CAD(l)</t>
  </si>
  <si>
    <t xml:space="preserve"> MEDICAL IMAGING (lecture) 
prof. A. Sultana</t>
  </si>
  <si>
    <t>COMMUNICATIONS NETWORKS - CN (lecture) 
Prof.Ș. Obreja</t>
  </si>
  <si>
    <r>
      <rPr>
        <rFont val="arial"/>
        <b/>
        <color rgb="FF9900FF"/>
        <sz val="8.0"/>
      </rPr>
      <t>IEM (l)</t>
    </r>
    <r>
      <rPr>
        <rFont val="arial"/>
        <b/>
        <sz val="8.0"/>
      </rPr>
      <t xml:space="preserve"> /
/ CIA (s) B218</t>
    </r>
  </si>
  <si>
    <r>
      <rPr>
        <rFont val="arial"/>
        <b/>
        <sz val="8.0"/>
      </rPr>
      <t>CIA (s) B218 /</t>
    </r>
    <r>
      <rPr>
        <rFont val="arial"/>
        <b/>
        <color rgb="FF9900FF"/>
        <sz val="8.0"/>
      </rPr>
      <t xml:space="preserve">
/</t>
    </r>
    <r>
      <rPr>
        <rFont val="arial"/>
        <b/>
        <sz val="8.0"/>
      </rPr>
      <t xml:space="preserve"> </t>
    </r>
    <r>
      <rPr>
        <rFont val="arial"/>
        <b/>
        <color rgb="FF9900FF"/>
        <sz val="8.0"/>
      </rPr>
      <t>IEM (l)</t>
    </r>
  </si>
  <si>
    <r>
      <rPr>
        <rFont val="arial"/>
        <b/>
        <color rgb="FF9900FF"/>
        <sz val="8.0"/>
      </rPr>
      <t xml:space="preserve">IEM (l) </t>
    </r>
    <r>
      <rPr>
        <rFont val="arial"/>
        <b/>
        <sz val="8.0"/>
      </rPr>
      <t xml:space="preserve">/ </t>
    </r>
    <r>
      <rPr>
        <rFont val="arial"/>
        <b/>
        <color rgb="FFFF9900"/>
        <sz val="8.0"/>
      </rPr>
      <t>TTI (s) B13</t>
    </r>
  </si>
  <si>
    <r>
      <rPr>
        <rFont val="arial"/>
        <b/>
        <color rgb="FFFF9900"/>
        <sz val="8.0"/>
      </rPr>
      <t>TTI (s) B13</t>
    </r>
    <r>
      <rPr>
        <rFont val="arial"/>
        <b/>
        <color rgb="FF9900FF"/>
        <sz val="8.0"/>
      </rPr>
      <t xml:space="preserve"> / IEM (l)</t>
    </r>
  </si>
  <si>
    <t>PBD (p) / 
  / --</t>
  </si>
  <si>
    <t>-- /
 / PBD (p)</t>
  </si>
  <si>
    <t>PROCESOARE ELECTRONICE DE PUTERE (curs) 
prof. A. Florescu</t>
  </si>
  <si>
    <t>CAD (l) /
/ --</t>
  </si>
  <si>
    <r>
      <rPr>
        <rFont val="arial,sans,sans-serif"/>
        <sz val="8.0"/>
      </rPr>
      <t xml:space="preserve">-- /
/ </t>
    </r>
    <r>
      <rPr>
        <rFont val="arial,sans,sans-serif"/>
        <sz val="8.0"/>
      </rPr>
      <t>IA (l) SC2</t>
    </r>
  </si>
  <si>
    <t>Semnale si Sisteme 1 SS1 (curs)
Prof. S. Halunga</t>
  </si>
  <si>
    <t>AP(l) B028/ SECR(l)</t>
  </si>
  <si>
    <t>SECR(l) / --</t>
  </si>
  <si>
    <t>-- / 
/ AP(l) B028</t>
  </si>
  <si>
    <t>IA (l) SC2 / 
/ --</t>
  </si>
  <si>
    <t>-- / Python (p)
- / A202</t>
  </si>
  <si>
    <t>-- /
/ CAD (l)</t>
  </si>
  <si>
    <t>IA SC2 /
/ --</t>
  </si>
  <si>
    <t>Python (p) / --
A202 / --</t>
  </si>
  <si>
    <r>
      <rPr>
        <rFont val="arial"/>
        <color rgb="FF000000"/>
        <sz val="8.0"/>
      </rPr>
      <t xml:space="preserve">-- /
/ </t>
    </r>
    <r>
      <rPr>
        <rFont val="arial"/>
        <color rgb="FF000000"/>
        <sz val="8.0"/>
      </rPr>
      <t>RS (l)</t>
    </r>
  </si>
  <si>
    <t>-- /
/ IA (l) SC2</t>
  </si>
  <si>
    <r>
      <rPr>
        <rFont val="arial"/>
        <color rgb="FF000000"/>
        <sz val="8.0"/>
      </rPr>
      <t>RS (l)</t>
    </r>
    <r>
      <rPr>
        <rFont val="arial"/>
        <color rgb="FF000000"/>
        <sz val="8.0"/>
      </rPr>
      <t xml:space="preserve"> /
 / --</t>
    </r>
  </si>
  <si>
    <t>Semnale si Sisteme 1 SS1 (curs)
Prof. M. Raducanu</t>
  </si>
  <si>
    <t>RS (l) /
/ --</t>
  </si>
  <si>
    <t>TESTARE ȘI INSTRUMENTAȚIE VIRTUALĂ ÎN MICROELECTRONICĂ (curs) 
prof. A. Antonescu</t>
  </si>
  <si>
    <t>COMPUTER ARCHITECTURES (lecture)
prof. R. Rădescu</t>
  </si>
  <si>
    <t>DATA COMMUNICATIONS - DC (lecture) 
Prof. O. Fratu</t>
  </si>
  <si>
    <t>Teoria transmisiunii informatiei (curs)
Prof. A. Radoi</t>
  </si>
  <si>
    <r>
      <rPr>
        <rFont val="arial"/>
        <b/>
        <color rgb="FF9900FF"/>
        <sz val="8.0"/>
      </rPr>
      <t>IEM(l)</t>
    </r>
    <r>
      <rPr>
        <rFont val="arial"/>
        <b/>
        <color rgb="FFFF0000"/>
        <sz val="8.0"/>
      </rPr>
      <t xml:space="preserve">/
/ </t>
    </r>
    <r>
      <rPr>
        <rFont val="arial"/>
        <b/>
        <color rgb="FFFF9900"/>
        <sz val="8.0"/>
      </rPr>
      <t>TTI (l)</t>
    </r>
  </si>
  <si>
    <r>
      <rPr>
        <rFont val="arial"/>
        <b/>
        <color rgb="FFFF9900"/>
        <sz val="8.0"/>
      </rPr>
      <t>TTI (l)</t>
    </r>
    <r>
      <rPr>
        <rFont val="arial"/>
        <b/>
        <color rgb="FFFF0000"/>
        <sz val="8.0"/>
      </rPr>
      <t xml:space="preserve"> /
/ </t>
    </r>
    <r>
      <rPr>
        <rFont val="arial"/>
        <b/>
        <color rgb="FF9900FF"/>
        <sz val="8.0"/>
      </rPr>
      <t xml:space="preserve">IEM(l) </t>
    </r>
  </si>
  <si>
    <r>
      <rPr>
        <rFont val="arial"/>
        <b/>
        <color rgb="FF0000FF"/>
        <sz val="8.0"/>
      </rPr>
      <t xml:space="preserve">- </t>
    </r>
    <r>
      <rPr>
        <rFont val="arial"/>
        <b/>
        <color rgb="FFFF0000"/>
        <sz val="8.0"/>
      </rPr>
      <t xml:space="preserve">/
/ IA (l) </t>
    </r>
  </si>
  <si>
    <r>
      <rPr>
        <rFont val="arial"/>
        <b/>
        <color rgb="FFFF0000"/>
        <sz val="8.0"/>
      </rPr>
      <t xml:space="preserve">IA (l) /
/ </t>
    </r>
    <r>
      <rPr>
        <rFont val="arial"/>
        <b/>
        <color rgb="FF0000FF"/>
        <sz val="8.0"/>
      </rPr>
      <t>-</t>
    </r>
  </si>
  <si>
    <t>IEM (l) / --</t>
  </si>
  <si>
    <t>Bazele Electrotehnicii 1 - BE1 (curs)
prof. V. Ioniță</t>
  </si>
  <si>
    <r>
      <rPr>
        <rFont val="arial"/>
        <b/>
        <sz val="8.0"/>
      </rPr>
      <t xml:space="preserve">-- / </t>
    </r>
    <r>
      <rPr>
        <rFont val="arial"/>
        <b/>
        <color rgb="FF9900FF"/>
        <sz val="8.0"/>
      </rPr>
      <t xml:space="preserve">IEM (l) </t>
    </r>
  </si>
  <si>
    <t>BE1 (s)
B10</t>
  </si>
  <si>
    <r>
      <rPr>
        <rFont val="arial"/>
        <b/>
        <color rgb="FF0000FF"/>
        <sz val="8.0"/>
      </rPr>
      <t xml:space="preserve">SS3 (s) B13 / </t>
    </r>
    <r>
      <rPr>
        <rFont val="arial"/>
        <b/>
        <color rgb="FF000000"/>
        <sz val="8.0"/>
      </rPr>
      <t xml:space="preserve"> --</t>
    </r>
  </si>
  <si>
    <t>ALGAD (s) / ---
B11 / --</t>
  </si>
  <si>
    <r>
      <rPr>
        <rFont val="arial"/>
        <b/>
        <color rgb="FF000000"/>
        <sz val="8.0"/>
      </rPr>
      <t xml:space="preserve"> -- / </t>
    </r>
    <r>
      <rPr>
        <rFont val="arial"/>
        <b/>
        <color rgb="FF0000FF"/>
        <sz val="8.0"/>
      </rPr>
      <t>SS3 (s) B13</t>
    </r>
  </si>
  <si>
    <t>SS3 (s) B206b / --</t>
  </si>
  <si>
    <t xml:space="preserve"> Physics 1 (curs) / Mathematical Analysis (curs)
prof. G. Suliman / Prof. A. Toma</t>
  </si>
  <si>
    <r>
      <rPr>
        <rFont val="arial"/>
        <b/>
        <color rgb="FF000000"/>
        <sz val="8.0"/>
      </rPr>
      <t>-- /</t>
    </r>
    <r>
      <rPr>
        <rFont val="arial"/>
        <color rgb="FF000000"/>
        <sz val="8.0"/>
      </rPr>
      <t xml:space="preserve"> </t>
    </r>
    <r>
      <rPr>
        <rFont val="arial"/>
        <b/>
        <color rgb="FF0000FF"/>
        <sz val="8.0"/>
      </rPr>
      <t>SS3 (s) B206b</t>
    </r>
  </si>
  <si>
    <t>CD A03/ SECR(l)</t>
  </si>
  <si>
    <t>SECR(l) / CD(s) A03</t>
  </si>
  <si>
    <t>Circuite integrate analogice (curs)
Prof. Prof. C. Popa</t>
  </si>
  <si>
    <t>CD (s) A03 /
/ IA (l) SC2</t>
  </si>
  <si>
    <t>AP(l) B028 / CD (s) A03</t>
  </si>
  <si>
    <t>TEHNICI DE PROIECTARE PENTRU STRUCTURI VLSI (curs)  / TEHNICI AVANSATE DE PRELUCRARE DIGITALĂ A SEMNALELOR (curs)
prof. M. Enăchescu / prof. D. Burileanu</t>
  </si>
  <si>
    <t>Semnale si sisteme 3 (curs)
Prof. M. Raducanu</t>
  </si>
  <si>
    <t>-- / 
 / 3DG (l)</t>
  </si>
  <si>
    <t>IA (l) SC2/
/ DC (s) B206a</t>
  </si>
  <si>
    <t>DC (s) B206a/
/ IA (l) SC2</t>
  </si>
  <si>
    <t>DC (s) B206a/
/ --</t>
  </si>
  <si>
    <r>
      <rPr>
        <rFont val="arial"/>
        <b/>
        <sz val="8.0"/>
      </rPr>
      <t>CIA (l)</t>
    </r>
    <r>
      <rPr>
        <rFont val="arial"/>
        <b/>
        <sz val="8.0"/>
      </rPr>
      <t xml:space="preserve"> /
/ </t>
    </r>
    <r>
      <rPr>
        <rFont val="arial"/>
        <b/>
        <color rgb="FFFF9900"/>
        <sz val="8.0"/>
      </rPr>
      <t>--</t>
    </r>
  </si>
  <si>
    <r>
      <rPr>
        <rFont val="arial"/>
        <b/>
        <color rgb="FFFF9900"/>
        <sz val="8.0"/>
      </rPr>
      <t xml:space="preserve">-- </t>
    </r>
    <r>
      <rPr>
        <rFont val="arial"/>
        <b/>
        <sz val="8.0"/>
      </rPr>
      <t xml:space="preserve">/
/ </t>
    </r>
    <r>
      <rPr>
        <rFont val="arial"/>
        <b/>
        <sz val="8.0"/>
      </rPr>
      <t>CIA (l)</t>
    </r>
  </si>
  <si>
    <r>
      <rPr>
        <rFont val="arial"/>
        <b/>
        <color rgb="FF0000FF"/>
        <sz val="8.0"/>
      </rPr>
      <t>SS3 (l) /</t>
    </r>
    <r>
      <rPr>
        <rFont val="arial"/>
        <b/>
        <color rgb="FF00FF00"/>
        <sz val="8.0"/>
      </rPr>
      <t xml:space="preserve"> --</t>
    </r>
  </si>
  <si>
    <r>
      <rPr>
        <rFont val="arial"/>
        <b/>
        <color rgb="FFFF9900"/>
        <sz val="8.0"/>
      </rPr>
      <t>TTI (l) B121</t>
    </r>
    <r>
      <rPr>
        <rFont val="arial"/>
        <b/>
        <sz val="8.0"/>
      </rPr>
      <t xml:space="preserve"> /
/ --</t>
    </r>
  </si>
  <si>
    <r>
      <rPr>
        <rFont val="arial"/>
        <b/>
        <sz val="8.0"/>
      </rPr>
      <t xml:space="preserve">-- /
/ </t>
    </r>
    <r>
      <rPr>
        <rFont val="arial"/>
        <b/>
        <color rgb="FFFF9900"/>
        <sz val="8.0"/>
      </rPr>
      <t>TTI (l) B121</t>
    </r>
  </si>
  <si>
    <t>-- /
 / TTI (l)</t>
  </si>
  <si>
    <t>CD (s) A03/ --</t>
  </si>
  <si>
    <t>--/ CD (s) A03</t>
  </si>
  <si>
    <r>
      <rPr>
        <rFont val="arial,sans,sans-serif"/>
        <color rgb="FF000000"/>
        <sz val="8.0"/>
      </rPr>
      <t xml:space="preserve">IA (l) SC2 /
/ </t>
    </r>
    <r>
      <rPr>
        <rFont val="arial,sans,sans-serif"/>
        <color rgb="FF4A86E8"/>
        <sz val="8.0"/>
      </rPr>
      <t>--</t>
    </r>
  </si>
  <si>
    <r>
      <rPr>
        <rFont val="arial,sans,sans-serif"/>
        <color rgb="FF000000"/>
        <sz val="8.0"/>
      </rPr>
      <t xml:space="preserve">IA (l) SC2 /
/ </t>
    </r>
    <r>
      <rPr>
        <rFont val="arial,sans,sans-serif"/>
        <color rgb="FF4A86E8"/>
        <sz val="8.0"/>
      </rPr>
      <t>--</t>
    </r>
  </si>
  <si>
    <r>
      <rPr>
        <rFont val="arial,sans,sans-serif"/>
        <sz val="8.0"/>
      </rPr>
      <t xml:space="preserve">-- /
/ </t>
    </r>
    <r>
      <rPr>
        <rFont val="arial,sans,sans-serif"/>
        <sz val="8.0"/>
      </rPr>
      <t>IA (l) SC2</t>
    </r>
  </si>
  <si>
    <r>
      <rPr>
        <rFont val="arial,sans,sans-serif"/>
        <sz val="8.0"/>
      </rPr>
      <t xml:space="preserve">--/
/ </t>
    </r>
    <r>
      <rPr>
        <rFont val="arial,sans,sans-serif"/>
        <sz val="8.0"/>
      </rPr>
      <t>IA (l) SC2</t>
    </r>
  </si>
  <si>
    <t xml:space="preserve">O1 (c) Elemente de drept si legislatia afacerilor (curs)  B219b | Macroeconomie (curs)  A05 | Microeconomie (curs) B110 </t>
  </si>
  <si>
    <t>-- / BAZELE TEHNOLOGICE ALE MICROELECTRONICII (curs)
-- / prof. A. Antonescu</t>
  </si>
  <si>
    <t>O1 (c) Elemente de drept si legislatia afacerilor (curs)  B219b  | Macroeconomie (curs)  A05| Microeconomie (curs) B110</t>
  </si>
  <si>
    <t xml:space="preserve">O1 (c) Elemente de drept si legislatia afacerilor (curs)  B219b | Macroeconomie (curs)  A05| Microeconomie (curs) B110 </t>
  </si>
  <si>
    <t>Macroeconomie (curs) A05| Microeconomie (curs) B110</t>
  </si>
  <si>
    <r>
      <rPr>
        <rFont val="arial"/>
        <b/>
        <sz val="8.0"/>
      </rPr>
      <t>-- /</t>
    </r>
    <r>
      <rPr>
        <rFont val="arial"/>
        <b/>
        <color rgb="FF9900FF"/>
        <sz val="8.0"/>
      </rPr>
      <t xml:space="preserve">
/</t>
    </r>
    <r>
      <rPr>
        <rFont val="arial"/>
        <b/>
        <sz val="8.0"/>
      </rPr>
      <t xml:space="preserve"> </t>
    </r>
    <r>
      <rPr>
        <rFont val="arial"/>
        <b/>
        <color rgb="FF9900FF"/>
        <sz val="8.0"/>
      </rPr>
      <t>IEM (l)</t>
    </r>
  </si>
  <si>
    <r>
      <rPr>
        <rFont val="arial"/>
        <b/>
        <color rgb="FF9900FF"/>
        <sz val="8.0"/>
      </rPr>
      <t>IEM (l)</t>
    </r>
    <r>
      <rPr>
        <rFont val="arial"/>
        <b/>
        <sz val="8.0"/>
      </rPr>
      <t xml:space="preserve"> /
/ --</t>
    </r>
  </si>
  <si>
    <r>
      <rPr>
        <rFont val="arial"/>
        <b/>
        <color rgb="FF9900FF"/>
        <sz val="8.0"/>
      </rPr>
      <t>IEM (l)</t>
    </r>
    <r>
      <rPr>
        <rFont val="arial"/>
        <b/>
        <color rgb="FFFF0000"/>
        <sz val="8.0"/>
      </rPr>
      <t xml:space="preserve"> /
/ </t>
    </r>
    <r>
      <rPr>
        <rFont val="arial"/>
        <b/>
        <color rgb="FFFF9900"/>
        <sz val="8.0"/>
      </rPr>
      <t>TTI (l)</t>
    </r>
  </si>
  <si>
    <r>
      <rPr>
        <rFont val="arial"/>
        <b/>
        <color rgb="FFFF9900"/>
        <sz val="8.0"/>
      </rPr>
      <t>TTI (l)</t>
    </r>
    <r>
      <rPr>
        <rFont val="arial"/>
        <b/>
        <color rgb="FFFF0000"/>
        <sz val="8.0"/>
      </rPr>
      <t xml:space="preserve"> /
/ </t>
    </r>
    <r>
      <rPr>
        <rFont val="arial"/>
        <b/>
        <color rgb="FF9900FF"/>
        <sz val="8.0"/>
      </rPr>
      <t>IEM (l)</t>
    </r>
  </si>
  <si>
    <r>
      <rPr>
        <rFont val="arial"/>
        <b/>
        <color rgb="FFFF0000"/>
        <sz val="8.0"/>
      </rPr>
      <t xml:space="preserve">IA (l) /
/ </t>
    </r>
    <r>
      <rPr>
        <rFont val="arial"/>
        <b/>
        <color rgb="FF7F6000"/>
        <sz val="8.0"/>
      </rPr>
      <t>--</t>
    </r>
  </si>
  <si>
    <r>
      <rPr>
        <rFont val="arial"/>
        <b/>
        <color rgb="FF7F6000"/>
        <sz val="8.0"/>
      </rPr>
      <t xml:space="preserve">-- </t>
    </r>
    <r>
      <rPr>
        <rFont val="arial"/>
        <b/>
        <color rgb="FFFF0000"/>
        <sz val="8.0"/>
      </rPr>
      <t xml:space="preserve">/
/ IA (l) </t>
    </r>
  </si>
  <si>
    <t>O1 (c) Elemente de drept si legislatia afacerilor (curs)  B219b | Macroeconomie (curs)  A102 | Microeconomie (curs) B110</t>
  </si>
  <si>
    <r>
      <rPr>
        <rFont val="arial"/>
        <sz val="8.0"/>
      </rPr>
      <t>--</t>
    </r>
    <r>
      <rPr>
        <rFont val="arial"/>
        <b/>
        <sz val="8.0"/>
      </rPr>
      <t xml:space="preserve">  /</t>
    </r>
    <r>
      <rPr>
        <rFont val="arial"/>
        <b/>
        <color rgb="FFFF9900"/>
        <sz val="8.0"/>
      </rPr>
      <t xml:space="preserve"> </t>
    </r>
    <r>
      <rPr>
        <rFont val="arial"/>
        <b/>
        <sz val="8.0"/>
      </rPr>
      <t xml:space="preserve"> </t>
    </r>
    <r>
      <rPr>
        <rFont val="arial"/>
        <b/>
        <color rgb="FF9900FF"/>
        <sz val="8.0"/>
      </rPr>
      <t xml:space="preserve"> </t>
    </r>
    <r>
      <rPr>
        <rFont val="arial"/>
        <b/>
        <sz val="8.0"/>
      </rPr>
      <t xml:space="preserve"> Pr. CEF 2</t>
    </r>
  </si>
  <si>
    <t>O1 (c) Elemente de drept si legislatia afacerilor (curs)  B219b | Macroeconomie (curs) 102  | Microeconomie (curs) B110</t>
  </si>
  <si>
    <t xml:space="preserve"> Pr. CEF 2 / --</t>
  </si>
  <si>
    <t>Circuite integrate analogice (curs)
Prof. C. Dan</t>
  </si>
  <si>
    <t xml:space="preserve">A102  </t>
  </si>
  <si>
    <t xml:space="preserve">O1 (c) Elemente de drept si legislatia afacerilor (curs)  B219b | Macroeconomie (curs)  A102| Microeconomie (curs) B110 </t>
  </si>
  <si>
    <r>
      <rPr>
        <rFont val="arial"/>
        <b/>
        <color rgb="FF0000FF"/>
        <sz val="8.0"/>
      </rPr>
      <t>SS3 (l)</t>
    </r>
    <r>
      <rPr>
        <rFont val="arial"/>
        <b/>
        <color rgb="FF000000"/>
        <sz val="8.0"/>
      </rPr>
      <t xml:space="preserve"> / --</t>
    </r>
  </si>
  <si>
    <t>DE (s)
B09</t>
  </si>
  <si>
    <r>
      <rPr>
        <rFont val="arial"/>
        <b/>
        <color rgb="FF000000"/>
        <sz val="8.0"/>
      </rPr>
      <t xml:space="preserve">-- / </t>
    </r>
    <r>
      <rPr>
        <rFont val="arial"/>
        <b/>
        <color rgb="FF0000FF"/>
        <sz val="8.0"/>
      </rPr>
      <t>SS3 (l)</t>
    </r>
  </si>
  <si>
    <r>
      <rPr>
        <rFont val="arial"/>
        <b/>
        <color rgb="FFFF9900"/>
        <sz val="8.0"/>
      </rPr>
      <t>TTI (l) B121</t>
    </r>
    <r>
      <rPr>
        <rFont val="arial"/>
        <b/>
        <sz val="8.0"/>
      </rPr>
      <t xml:space="preserve"> /
/ --</t>
    </r>
  </si>
  <si>
    <t>sp / Python (p)
- / A202</t>
  </si>
  <si>
    <t>Python (p) / sport
A202 / --</t>
  </si>
  <si>
    <r>
      <rPr>
        <rFont val="arial"/>
        <b/>
        <color rgb="FF00FF00"/>
        <sz val="8.0"/>
      </rPr>
      <t xml:space="preserve">uU (l) </t>
    </r>
    <r>
      <rPr>
        <rFont val="arial"/>
        <b/>
        <sz val="8.0"/>
      </rPr>
      <t xml:space="preserve">/
/ </t>
    </r>
    <r>
      <rPr>
        <rFont val="arial"/>
        <b/>
        <color rgb="FF0000FF"/>
        <sz val="8.0"/>
      </rPr>
      <t>-</t>
    </r>
  </si>
  <si>
    <t>Componente si Circuite Pasive  CCP (curs)
Prof. B. Mihailescu</t>
  </si>
  <si>
    <r>
      <rPr>
        <rFont val="arial"/>
        <b/>
        <color rgb="FF0000FF"/>
        <sz val="8.0"/>
      </rPr>
      <t>-</t>
    </r>
    <r>
      <rPr>
        <rFont val="arial"/>
        <b/>
        <sz val="8.0"/>
      </rPr>
      <t xml:space="preserve"> /
/ </t>
    </r>
    <r>
      <rPr>
        <rFont val="arial"/>
        <b/>
        <color rgb="FF00FF00"/>
        <sz val="8.0"/>
      </rPr>
      <t>uU (l)</t>
    </r>
  </si>
  <si>
    <r>
      <rPr>
        <rFont val="arial"/>
        <b/>
        <sz val="8.0"/>
      </rPr>
      <t>CIA (l)</t>
    </r>
    <r>
      <rPr>
        <rFont val="arial"/>
        <b/>
        <sz val="8.0"/>
      </rPr>
      <t xml:space="preserve"> /
/ </t>
    </r>
    <r>
      <rPr>
        <rFont val="arial"/>
        <b/>
        <color rgb="FFFF9900"/>
        <sz val="8.0"/>
      </rPr>
      <t>--</t>
    </r>
  </si>
  <si>
    <r>
      <rPr>
        <rFont val="arial"/>
        <b/>
        <color rgb="FFFF9900"/>
        <sz val="8.0"/>
      </rPr>
      <t xml:space="preserve">-- </t>
    </r>
    <r>
      <rPr>
        <rFont val="arial"/>
        <b/>
        <sz val="8.0"/>
      </rPr>
      <t xml:space="preserve">/
/ </t>
    </r>
    <r>
      <rPr>
        <rFont val="arial"/>
        <b/>
        <sz val="8.0"/>
      </rPr>
      <t>CIA (l)</t>
    </r>
  </si>
  <si>
    <t>JOI</t>
  </si>
  <si>
    <t>IOM (l) / 
  / --</t>
  </si>
  <si>
    <t>-- / 
  / IOM (l)</t>
  </si>
  <si>
    <t>CAF (l) /
  / PI (l)</t>
  </si>
  <si>
    <t>PI (l) / 
  / CAF (l)</t>
  </si>
  <si>
    <t>RC (l) / 
  / --</t>
  </si>
  <si>
    <t>-- / 
  / RC (l)</t>
  </si>
  <si>
    <t>Programarea Calculatoarelor și Limbaje de Programare 1 - PCLP1 (curs)
prof. V. Grosu</t>
  </si>
  <si>
    <t>Chemistry (curs)
prof. I. Rău</t>
  </si>
  <si>
    <t>REȚELE DE COMUNICAȚII (curs) 
 Prof. B. Mocanu</t>
  </si>
  <si>
    <t>-- / IEM(l)</t>
  </si>
  <si>
    <t>COMUNICAȚII DE DATE (curs)
Prof. C. Vladeanu</t>
  </si>
  <si>
    <t>BAZELE TEHNOLOGICE ALE MICROELECTRONICII (curs) 
prof. A. Antonescu</t>
  </si>
  <si>
    <t>NNFS (l) / 
 / CA (l)</t>
  </si>
  <si>
    <r>
      <rPr>
        <rFont val="arial"/>
        <b/>
        <color rgb="FF0000FF"/>
        <sz val="8.0"/>
      </rPr>
      <t>--</t>
    </r>
    <r>
      <rPr>
        <rFont val="arial"/>
        <b/>
        <color rgb="FFFF0000"/>
        <sz val="8.0"/>
      </rPr>
      <t xml:space="preserve"> /
/ IA (l) </t>
    </r>
  </si>
  <si>
    <t>RADIO COMMUNICATIONS SYSTEMS AND EQUIPMENTS - SECR (lecture) 
 Prof. A. Martian</t>
  </si>
  <si>
    <r>
      <rPr>
        <rFont val="arial"/>
        <b/>
        <color rgb="FFFF0000"/>
        <sz val="8.0"/>
      </rPr>
      <t xml:space="preserve">IA (l) /
/ </t>
    </r>
    <r>
      <rPr>
        <rFont val="arial"/>
        <b/>
        <color rgb="FF0000FF"/>
        <sz val="8.0"/>
      </rPr>
      <t>--</t>
    </r>
  </si>
  <si>
    <t>Semnale si Sisteme 1 SS1 (curs)
Prof. C. Stanciu</t>
  </si>
  <si>
    <r>
      <rPr>
        <rFont val="arial"/>
        <b/>
        <color rgb="FF9900FF"/>
        <sz val="8.0"/>
      </rPr>
      <t>IEM (l)</t>
    </r>
    <r>
      <rPr>
        <rFont val="arial"/>
        <b/>
        <sz val="8.0"/>
      </rPr>
      <t xml:space="preserve"> /
/ CIA (l)</t>
    </r>
  </si>
  <si>
    <r>
      <rPr>
        <rFont val="arial"/>
        <b/>
        <sz val="8.0"/>
      </rPr>
      <t>CIA (l) /</t>
    </r>
    <r>
      <rPr>
        <rFont val="arial"/>
        <b/>
        <color rgb="FF9900FF"/>
        <sz val="8.0"/>
      </rPr>
      <t xml:space="preserve">
/</t>
    </r>
    <r>
      <rPr>
        <rFont val="arial"/>
        <b/>
        <sz val="8.0"/>
      </rPr>
      <t xml:space="preserve"> </t>
    </r>
    <r>
      <rPr>
        <rFont val="arial"/>
        <b/>
        <color rgb="FF9900FF"/>
        <sz val="8.0"/>
      </rPr>
      <t>IEM (l)</t>
    </r>
  </si>
  <si>
    <r>
      <rPr>
        <rFont val="arial"/>
        <b/>
        <color rgb="FFFF9900"/>
        <sz val="8.0"/>
      </rPr>
      <t>TTI (l)</t>
    </r>
    <r>
      <rPr>
        <rFont val="arial"/>
        <b/>
        <color rgb="FFFF0000"/>
        <sz val="8.0"/>
      </rPr>
      <t xml:space="preserve"> /
/ </t>
    </r>
    <r>
      <rPr>
        <rFont val="arial"/>
        <b/>
        <color rgb="FF9900FF"/>
        <sz val="8.0"/>
      </rPr>
      <t>--</t>
    </r>
  </si>
  <si>
    <t>-- / Python(p)</t>
  </si>
  <si>
    <r>
      <rPr>
        <rFont val="arial"/>
        <b/>
        <color rgb="FF9900FF"/>
        <sz val="8.0"/>
      </rPr>
      <t>--</t>
    </r>
    <r>
      <rPr>
        <rFont val="arial"/>
        <b/>
        <color rgb="FFFF0000"/>
        <sz val="8.0"/>
      </rPr>
      <t xml:space="preserve"> /
/ </t>
    </r>
    <r>
      <rPr>
        <rFont val="arial"/>
        <b/>
        <color rgb="FFFF9900"/>
        <sz val="8.0"/>
      </rPr>
      <t>TTI (l)</t>
    </r>
  </si>
  <si>
    <t>Dispozitive Electronice DE (curs)
Prof. Gh. Pristavu</t>
  </si>
  <si>
    <r>
      <rPr>
        <rFont val="arial"/>
        <b/>
        <color rgb="FF00FF00"/>
        <sz val="8.0"/>
      </rPr>
      <t xml:space="preserve">uU (s) B218 </t>
    </r>
    <r>
      <rPr>
        <rFont val="arial"/>
        <b/>
        <color rgb="FF0000FF"/>
        <sz val="8.0"/>
      </rPr>
      <t xml:space="preserve"> </t>
    </r>
    <r>
      <rPr>
        <rFont val="arial"/>
        <b/>
        <sz val="8.0"/>
      </rPr>
      <t>/ 
/ --</t>
    </r>
  </si>
  <si>
    <r>
      <rPr>
        <rFont val="arial"/>
        <b/>
        <color rgb="FF00FF00"/>
        <sz val="8.0"/>
      </rPr>
      <t xml:space="preserve">uU (s) B206b </t>
    </r>
    <r>
      <rPr>
        <rFont val="arial"/>
        <b/>
        <color rgb="FF000000"/>
        <sz val="8.0"/>
      </rPr>
      <t xml:space="preserve">/ 
/ </t>
    </r>
    <r>
      <rPr>
        <rFont val="arial"/>
        <b/>
        <color rgb="FFFF9900"/>
        <sz val="8.0"/>
      </rPr>
      <t>TTI (s) B13</t>
    </r>
  </si>
  <si>
    <r>
      <rPr>
        <rFont val="arial"/>
        <sz val="8.0"/>
      </rPr>
      <t xml:space="preserve">-- / 
/ </t>
    </r>
    <r>
      <rPr>
        <rFont val="arial"/>
        <b/>
        <color rgb="FF00FF00"/>
        <sz val="8.0"/>
      </rPr>
      <t>uU (s) B218</t>
    </r>
  </si>
  <si>
    <r>
      <rPr>
        <rFont val="arial"/>
        <b/>
        <color rgb="FFFF9900"/>
        <sz val="8.0"/>
      </rPr>
      <t>TTI (s) B13</t>
    </r>
    <r>
      <rPr>
        <rFont val="arial"/>
        <b/>
        <color rgb="FF000000"/>
        <sz val="8.0"/>
      </rPr>
      <t xml:space="preserve"> / 
/ </t>
    </r>
    <r>
      <rPr>
        <rFont val="arial"/>
        <b/>
        <color rgb="FF00FF00"/>
        <sz val="8.0"/>
      </rPr>
      <t>uU (s) B206</t>
    </r>
  </si>
  <si>
    <r>
      <rPr>
        <rFont val="arial"/>
        <b/>
        <color rgb="FF0000FF"/>
        <sz val="8.0"/>
      </rPr>
      <t>SS3 (l)</t>
    </r>
    <r>
      <rPr>
        <rFont val="arial"/>
        <b/>
        <color rgb="FF000000"/>
        <sz val="8.0"/>
      </rPr>
      <t xml:space="preserve"> / --</t>
    </r>
  </si>
  <si>
    <r>
      <rPr>
        <rFont val="arial"/>
        <b/>
        <color rgb="FF000000"/>
        <sz val="8.0"/>
      </rPr>
      <t xml:space="preserve">-- / </t>
    </r>
    <r>
      <rPr>
        <rFont val="arial"/>
        <b/>
        <color rgb="FF0000FF"/>
        <sz val="8.0"/>
      </rPr>
      <t>SS3 (l)</t>
    </r>
  </si>
  <si>
    <r>
      <rPr>
        <rFont val="arial"/>
        <b/>
        <color rgb="FF9900FF"/>
        <sz val="8.0"/>
      </rPr>
      <t>--</t>
    </r>
    <r>
      <rPr>
        <rFont val="arial"/>
        <b/>
        <sz val="8.0"/>
      </rPr>
      <t xml:space="preserve"> /
/ CIA (l)</t>
    </r>
  </si>
  <si>
    <r>
      <rPr>
        <rFont val="arial"/>
        <b/>
        <sz val="8.0"/>
      </rPr>
      <t>CIA (l) /</t>
    </r>
    <r>
      <rPr>
        <rFont val="arial"/>
        <b/>
        <color rgb="FF9900FF"/>
        <sz val="8.0"/>
      </rPr>
      <t xml:space="preserve">
/</t>
    </r>
    <r>
      <rPr>
        <rFont val="arial"/>
        <b/>
        <sz val="8.0"/>
      </rPr>
      <t xml:space="preserve"> </t>
    </r>
    <r>
      <rPr>
        <rFont val="arial"/>
        <b/>
        <color rgb="FF9900FF"/>
        <sz val="8.0"/>
      </rPr>
      <t>--</t>
    </r>
  </si>
  <si>
    <t>CAF (l) /
  / --</t>
  </si>
  <si>
    <t>CCP(l) / DE(l)</t>
  </si>
  <si>
    <t>-- / 
  / CAF (l)</t>
  </si>
  <si>
    <t>PI (l) / 
  / --</t>
  </si>
  <si>
    <t>AM (s) / -- 
B13 / --</t>
  </si>
  <si>
    <t>-- /
  / PI (l)</t>
  </si>
  <si>
    <t>-- / AM (s)
/ B223</t>
  </si>
  <si>
    <t>TPI (l) / 
 / --</t>
  </si>
  <si>
    <t>-- / 
 / TPI (l)</t>
  </si>
  <si>
    <r>
      <rPr>
        <rFont val="Arial"/>
        <b/>
        <color rgb="FF4A86E8"/>
        <sz val="8.0"/>
      </rPr>
      <t>Opt 1. RADAR (curs) B206a Prof. A. Anghel ||
Opt 1. MEDII DE TRANSMISIUNE (curs) A102 Prof. D. Brînaru ||
Opt 1. BAZELE CRIPTOLOGIEI 2 (curs)</t>
    </r>
    <r>
      <rPr>
        <rFont val="Arial"/>
        <b/>
        <color rgb="FF3C78D8"/>
        <sz val="8.0"/>
      </rPr>
      <t xml:space="preserve">  B028</t>
    </r>
  </si>
  <si>
    <r>
      <rPr>
        <rFont val="arial"/>
        <b/>
        <color rgb="FFFF9900"/>
        <sz val="8.0"/>
      </rPr>
      <t xml:space="preserve">-- </t>
    </r>
    <r>
      <rPr>
        <rFont val="arial"/>
        <b/>
        <sz val="8.0"/>
      </rPr>
      <t xml:space="preserve">/
/ </t>
    </r>
    <r>
      <rPr>
        <rFont val="arial"/>
        <b/>
        <sz val="8.0"/>
      </rPr>
      <t>CIA (l)</t>
    </r>
  </si>
  <si>
    <r>
      <rPr>
        <rFont val="arial"/>
        <b/>
        <sz val="8.0"/>
      </rPr>
      <t>CIA (l)</t>
    </r>
    <r>
      <rPr>
        <rFont val="arial"/>
        <b/>
        <sz val="8.0"/>
      </rPr>
      <t xml:space="preserve"> /
/ </t>
    </r>
    <r>
      <rPr>
        <rFont val="arial"/>
        <b/>
        <color rgb="FFFF9900"/>
        <sz val="8.0"/>
      </rPr>
      <t>--</t>
    </r>
  </si>
  <si>
    <t>Programarea Calculatoarelor și Limbaje de Programare 1 - PCLP1 (curs)
prof. R. Badea</t>
  </si>
  <si>
    <r>
      <rPr>
        <rFont val="arial"/>
        <b/>
        <color rgb="FF0000FF"/>
        <sz val="8.0"/>
      </rPr>
      <t>SS3 (l)</t>
    </r>
    <r>
      <rPr>
        <rFont val="arial"/>
        <b/>
        <color rgb="FFFF0000"/>
        <sz val="8.0"/>
      </rPr>
      <t xml:space="preserve"> /
/ --</t>
    </r>
  </si>
  <si>
    <r>
      <rPr>
        <rFont val="Arial"/>
        <b/>
        <color rgb="FF4A86E8"/>
        <sz val="8.0"/>
      </rPr>
      <t>Opt 1. RADAR (curs) B206a Prof. A. Anghel ||
Opt 1. MEDII DE TRANSMISIUNE (curs) A102 Prof. D. Brînaru ||
Opt 1. BAZELE CRIPTOLOGIEI 2 (curs)</t>
    </r>
    <r>
      <rPr>
        <rFont val="Arial"/>
        <b/>
        <color rgb="FF3C78D8"/>
        <sz val="8.0"/>
      </rPr>
      <t xml:space="preserve">  B028</t>
    </r>
  </si>
  <si>
    <r>
      <t xml:space="preserve">-- </t>
    </r>
    <r>
      <rPr>
        <rFont val="arial"/>
        <b/>
        <color rgb="FFFF0000"/>
        <sz val="8.0"/>
      </rPr>
      <t xml:space="preserve">/
/ </t>
    </r>
    <r>
      <rPr>
        <rFont val="arial"/>
        <b/>
        <color rgb="FF0000FF"/>
        <sz val="8.0"/>
      </rPr>
      <t>SS3 (l)</t>
    </r>
  </si>
  <si>
    <t xml:space="preserve"> Fizică 1 (curs)
prof. O. Dănilă</t>
  </si>
  <si>
    <t xml:space="preserve">ARHITECTURA SISTEMELOR DE CALCUL (curs)  
prof. Z. Hascsi  </t>
  </si>
  <si>
    <t>Opt 1. RADAR (curs) B206a Prof. A. Anghel ||
Opt 1. MEDII DE TRANSMISIUNE (curs) A102 Prof. D. Brînaru ||
Opt 1. BAZELE CRIPTOLOGIEI 2 (curs)  B028</t>
  </si>
  <si>
    <t>Computer Programming and Programming Languages 1 - PCLP1 (curs)
prof. I. Năstac</t>
  </si>
  <si>
    <r>
      <rPr>
        <rFont val="arial"/>
        <b/>
        <color rgb="FF0000FF"/>
        <sz val="8.0"/>
      </rPr>
      <t>SS3 (s) B206b /</t>
    </r>
    <r>
      <rPr>
        <rFont val="arial"/>
        <b/>
        <color rgb="FF00FF00"/>
        <sz val="8.0"/>
      </rPr>
      <t xml:space="preserve"> </t>
    </r>
    <r>
      <rPr>
        <rFont val="arial"/>
        <b/>
        <color rgb="FF9900FF"/>
        <sz val="8.0"/>
      </rPr>
      <t>MEST (l)</t>
    </r>
  </si>
  <si>
    <r>
      <rPr>
        <rFont val="arial"/>
        <b/>
        <color rgb="FF9900FF"/>
        <sz val="8.0"/>
      </rPr>
      <t>MEST (l)</t>
    </r>
    <r>
      <rPr>
        <rFont val="arial"/>
        <b/>
        <color rgb="FF00FF00"/>
        <sz val="8.0"/>
      </rPr>
      <t xml:space="preserve"> </t>
    </r>
    <r>
      <rPr>
        <rFont val="arial"/>
        <b/>
        <color rgb="FF0000FF"/>
        <sz val="8.0"/>
      </rPr>
      <t>/ SS3 (s) B206b</t>
    </r>
  </si>
  <si>
    <r>
      <rPr>
        <rFont val="arial"/>
        <b/>
        <color rgb="FF0000FF"/>
        <sz val="8.0"/>
      </rPr>
      <t xml:space="preserve"> </t>
    </r>
    <r>
      <rPr>
        <rFont val="arial"/>
        <b/>
        <color rgb="FFFF0000"/>
        <sz val="8.0"/>
      </rPr>
      <t>APD (l)</t>
    </r>
    <r>
      <rPr>
        <rFont val="arial"/>
        <b/>
        <color rgb="FF00FF00"/>
        <sz val="8.0"/>
      </rPr>
      <t xml:space="preserve"> </t>
    </r>
    <r>
      <rPr>
        <rFont val="arial"/>
        <b/>
        <color rgb="FF0000FF"/>
        <sz val="8.0"/>
      </rPr>
      <t xml:space="preserve">/ -- </t>
    </r>
  </si>
  <si>
    <r>
      <rPr>
        <rFont val="arial"/>
        <b/>
        <color rgb="FF0000FF"/>
        <sz val="8.0"/>
      </rPr>
      <t>-- /</t>
    </r>
    <r>
      <rPr>
        <rFont val="arial"/>
        <b/>
        <color rgb="FF00FF00"/>
        <sz val="8.0"/>
      </rPr>
      <t xml:space="preserve"> </t>
    </r>
    <r>
      <rPr>
        <rFont val="arial"/>
        <b/>
        <color rgb="FFFF0000"/>
        <sz val="8.0"/>
      </rPr>
      <t>APD (l)</t>
    </r>
  </si>
  <si>
    <t>SS3 (s) B206b/ --</t>
  </si>
  <si>
    <t xml:space="preserve">-- / SS3 B206b(s) </t>
  </si>
  <si>
    <t>CAF (l) /
  / IOM (l)</t>
  </si>
  <si>
    <t>---
/ Microunde (curs) Prof. N. Militaru</t>
  </si>
  <si>
    <t>IOM (l) / 
  / CAF (l)</t>
  </si>
  <si>
    <t>Elth1 (s)
B09</t>
  </si>
  <si>
    <t>Teoria transmisiunii informatiei (curs)
 Prof. D. Faur</t>
  </si>
  <si>
    <t>PCLP1 (l)
B234</t>
  </si>
  <si>
    <t>SISTEME ȘI ECHIPAMENTE DE COMUNICAȚII RADIO (curs)
Prof. I. Marghescu</t>
  </si>
  <si>
    <t>REȚELE DE SERVICII (curs)   
Prof. E. Borcoci</t>
  </si>
  <si>
    <t>ASC (l) /
 / --</t>
  </si>
  <si>
    <r>
      <rPr>
        <rFont val="arial"/>
        <b/>
        <sz val="8.0"/>
      </rPr>
      <t xml:space="preserve">CIA (l) /
/ </t>
    </r>
    <r>
      <rPr>
        <rFont val="arial"/>
        <b/>
        <color rgb="FF9900FF"/>
        <sz val="8.0"/>
      </rPr>
      <t>IEM (l)</t>
    </r>
  </si>
  <si>
    <t>NEURAL NETWORKS AND FUZZY SYSTEMS (lecture)
prof. M. Neagu</t>
  </si>
  <si>
    <r>
      <rPr>
        <rFont val="arial"/>
        <b/>
        <color rgb="FF9900FF"/>
        <sz val="8.0"/>
      </rPr>
      <t>IEM (l)</t>
    </r>
    <r>
      <rPr>
        <rFont val="arial"/>
        <b/>
        <color rgb="FFFF9900"/>
        <sz val="8.0"/>
      </rPr>
      <t xml:space="preserve"> </t>
    </r>
    <r>
      <rPr>
        <rFont val="arial"/>
        <b/>
        <sz val="8.0"/>
      </rPr>
      <t>/
/ CIA (l)</t>
    </r>
  </si>
  <si>
    <r>
      <rPr>
        <rFont val="arial"/>
        <b/>
        <color rgb="FF0000FF"/>
        <sz val="8.0"/>
      </rPr>
      <t>SS3 (l)</t>
    </r>
    <r>
      <rPr>
        <rFont val="arial"/>
        <b/>
        <color rgb="FFFF0000"/>
        <sz val="8.0"/>
      </rPr>
      <t xml:space="preserve"> /
/ --</t>
    </r>
  </si>
  <si>
    <r>
      <rPr>
        <rFont val="arial"/>
        <b/>
        <color rgb="FFFF0000"/>
        <sz val="8.0"/>
      </rPr>
      <t xml:space="preserve">-- /
/ </t>
    </r>
    <r>
      <rPr>
        <rFont val="arial"/>
        <b/>
        <color rgb="FF0000FF"/>
        <sz val="8.0"/>
      </rPr>
      <t>SS3 (l)</t>
    </r>
  </si>
  <si>
    <r>
      <rPr>
        <rFont val="arial"/>
        <b/>
        <color rgb="FFFF9900"/>
        <sz val="8.0"/>
      </rPr>
      <t xml:space="preserve">TTI (l) </t>
    </r>
    <r>
      <rPr>
        <rFont val="arial"/>
        <b/>
        <sz val="8.0"/>
      </rPr>
      <t xml:space="preserve"> /
/ </t>
    </r>
    <r>
      <rPr>
        <rFont val="arial"/>
        <b/>
        <sz val="8.0"/>
      </rPr>
      <t>--</t>
    </r>
  </si>
  <si>
    <r>
      <rPr>
        <rFont val="arial"/>
        <b/>
        <sz val="8.0"/>
      </rPr>
      <t>--</t>
    </r>
    <r>
      <rPr>
        <rFont val="arial"/>
        <b/>
        <sz val="8.0"/>
      </rPr>
      <t xml:space="preserve"> /
/  </t>
    </r>
    <r>
      <rPr>
        <rFont val="arial"/>
        <b/>
        <color rgb="FFFF9900"/>
        <sz val="8.0"/>
      </rPr>
      <t xml:space="preserve">TTI (l) </t>
    </r>
  </si>
  <si>
    <t>BE1 (s)
B12</t>
  </si>
  <si>
    <t>Fizică 1 (curs)
prof. S. Ciobanu</t>
  </si>
  <si>
    <t>Componente si Circuite Pasive CCP (curs)
Prof. A. Vasile</t>
  </si>
  <si>
    <t xml:space="preserve">Analiză Matematică - AM (curs) 
prof. C. Bercia </t>
  </si>
  <si>
    <r>
      <rPr>
        <rFont val="arial"/>
        <b/>
        <color rgb="FF0000FF"/>
        <sz val="8.0"/>
      </rPr>
      <t>-- /</t>
    </r>
    <r>
      <rPr>
        <rFont val="arial"/>
        <b/>
        <color rgb="FF00FF00"/>
        <sz val="8.0"/>
      </rPr>
      <t xml:space="preserve"> uU (l) </t>
    </r>
  </si>
  <si>
    <t xml:space="preserve"> Python (p) / --</t>
  </si>
  <si>
    <r>
      <rPr>
        <rFont val="arial"/>
        <b/>
        <color rgb="FF00FF00"/>
        <sz val="8.0"/>
      </rPr>
      <t xml:space="preserve">uU (s) B218 </t>
    </r>
    <r>
      <rPr>
        <rFont val="arial"/>
        <b/>
        <color rgb="FF000000"/>
        <sz val="8.0"/>
      </rPr>
      <t xml:space="preserve">/ </t>
    </r>
    <r>
      <rPr>
        <rFont val="arial"/>
        <b/>
        <color rgb="FF0000FF"/>
        <sz val="8.0"/>
      </rPr>
      <t>SS3 (s) B13</t>
    </r>
  </si>
  <si>
    <t>--./  Python (p)</t>
  </si>
  <si>
    <t xml:space="preserve">Fundamentals of Electrical Engineering 1 - BE1 (curs)
 prof. O. Drosu  </t>
  </si>
  <si>
    <r>
      <rPr>
        <rFont val="arial"/>
        <b/>
        <color rgb="FF0000FF"/>
        <sz val="8.0"/>
      </rPr>
      <t xml:space="preserve">SS3 (s) B13 / </t>
    </r>
    <r>
      <rPr>
        <rFont val="arial"/>
        <b/>
        <color rgb="FF00FF00"/>
        <sz val="8.0"/>
      </rPr>
      <t>uU (s) B218</t>
    </r>
  </si>
  <si>
    <t xml:space="preserve"> Python (p) / SS (l)</t>
  </si>
  <si>
    <t>SS (l) /  Python (p)</t>
  </si>
  <si>
    <r>
      <rPr>
        <rFont val="arial"/>
        <color rgb="FF000000"/>
        <sz val="8.0"/>
      </rPr>
      <t xml:space="preserve"> /
/ </t>
    </r>
    <r>
      <rPr>
        <rFont val="arial"/>
        <color rgb="FF00FF00"/>
        <sz val="8.0"/>
      </rPr>
      <t>uU (l)</t>
    </r>
  </si>
  <si>
    <t>-- / CCP (l)</t>
  </si>
  <si>
    <t>CCP(l)/--</t>
  </si>
  <si>
    <t xml:space="preserve"> POWER ELECTRONIC PROCESSORS (lecture)
prof. C. Rădoi</t>
  </si>
  <si>
    <t>Pr. CEF 2</t>
  </si>
  <si>
    <r>
      <rPr>
        <rFont val="arial"/>
        <b/>
        <color rgb="FF0000FF"/>
        <sz val="8.0"/>
      </rPr>
      <t>SS3 (l)</t>
    </r>
    <r>
      <rPr>
        <rFont val="arial"/>
        <b/>
        <color rgb="FFFF0000"/>
        <sz val="8.0"/>
      </rPr>
      <t xml:space="preserve"> </t>
    </r>
    <r>
      <rPr>
        <rFont val="arial"/>
        <b/>
        <color rgb="FF9900FF"/>
        <sz val="8.0"/>
      </rPr>
      <t>/ MEST (l)</t>
    </r>
  </si>
  <si>
    <t>-- / 
  / PS (p)</t>
  </si>
  <si>
    <t>AMP(l) / CCP (l)</t>
  </si>
  <si>
    <r>
      <rPr>
        <rFont val="arial"/>
        <b/>
        <color rgb="FF9900FF"/>
        <sz val="8.0"/>
      </rPr>
      <t>MEST (l) /</t>
    </r>
    <r>
      <rPr>
        <rFont val="arial"/>
        <b/>
        <color rgb="FFFF0000"/>
        <sz val="8.0"/>
      </rPr>
      <t xml:space="preserve"> </t>
    </r>
    <r>
      <rPr>
        <rFont val="arial"/>
        <b/>
        <color rgb="FF0000FF"/>
        <sz val="8.0"/>
      </rPr>
      <t>SS3 (l)</t>
    </r>
  </si>
  <si>
    <t>PS (p) / 
  / --</t>
  </si>
  <si>
    <t>CCP(l) / AMP(l)</t>
  </si>
  <si>
    <t xml:space="preserve"> -- / SS3 (s) B206b</t>
  </si>
  <si>
    <r>
      <rPr>
        <rFont val="arial"/>
        <b/>
        <sz val="8.0"/>
      </rPr>
      <t>IV (l)</t>
    </r>
    <r>
      <rPr>
        <rFont val="arial"/>
        <b/>
        <sz val="8.0"/>
      </rPr>
      <t xml:space="preserve"> /
/ </t>
    </r>
    <r>
      <rPr>
        <rFont val="arial"/>
        <b/>
        <color rgb="FFFF9900"/>
        <sz val="8.0"/>
      </rPr>
      <t>--</t>
    </r>
  </si>
  <si>
    <r>
      <rPr>
        <rFont val="arial"/>
        <b/>
        <color rgb="FFFF9900"/>
        <sz val="8.0"/>
      </rPr>
      <t xml:space="preserve">-- </t>
    </r>
    <r>
      <rPr>
        <rFont val="arial"/>
        <b/>
        <color rgb="FF000000"/>
        <sz val="8.0"/>
      </rPr>
      <t xml:space="preserve">/
/ </t>
    </r>
    <r>
      <rPr>
        <rFont val="arial"/>
        <b/>
        <color rgb="FF000000"/>
        <sz val="8.0"/>
      </rPr>
      <t>IV (l)</t>
    </r>
  </si>
  <si>
    <t>-- / SS3 (s) B206b</t>
  </si>
  <si>
    <t>Instrumentatie electronica de masura (curs)
Prof. O. Fratu</t>
  </si>
  <si>
    <t>Dispozitive Electronice si Electronica Analogica DEEA (curs)
Prof. Gh. Brezeanu</t>
  </si>
  <si>
    <t>Microunde (curs) Prof. D. Brinaru / 
/  Circuite integrate analogice (curs) Prof. Prof. C. Popa</t>
  </si>
  <si>
    <r>
      <rPr>
        <rFont val="arial"/>
        <b/>
        <sz val="8.0"/>
      </rPr>
      <t xml:space="preserve">-- /
/ </t>
    </r>
    <r>
      <rPr>
        <rFont val="arial"/>
        <b/>
        <color rgb="FF9900FF"/>
        <sz val="8.0"/>
      </rPr>
      <t>IEM (l)</t>
    </r>
  </si>
  <si>
    <r>
      <rPr>
        <rFont val="arial"/>
        <b/>
        <color rgb="FF9900FF"/>
        <sz val="8.0"/>
      </rPr>
      <t>IEM (l)</t>
    </r>
    <r>
      <rPr>
        <rFont val="arial"/>
        <b/>
        <color rgb="FFFF9900"/>
        <sz val="8.0"/>
      </rPr>
      <t xml:space="preserve"> </t>
    </r>
    <r>
      <rPr>
        <rFont val="arial"/>
        <b/>
        <sz val="8.0"/>
      </rPr>
      <t>/
/ --</t>
    </r>
  </si>
  <si>
    <r>
      <rPr>
        <rFont val="arial"/>
        <b/>
        <color rgb="FFFF9900"/>
        <sz val="8.0"/>
      </rPr>
      <t xml:space="preserve">TTI (l) </t>
    </r>
    <r>
      <rPr>
        <rFont val="arial"/>
        <b/>
        <sz val="8.0"/>
      </rPr>
      <t>/
/ --</t>
    </r>
  </si>
  <si>
    <r>
      <rPr>
        <rFont val="arial"/>
        <b/>
        <sz val="8.0"/>
      </rPr>
      <t xml:space="preserve">-- /
/ </t>
    </r>
    <r>
      <rPr>
        <rFont val="arial"/>
        <b/>
        <color rgb="FFFF9900"/>
        <sz val="8.0"/>
      </rPr>
      <t xml:space="preserve">TTI (l) </t>
    </r>
  </si>
  <si>
    <r>
      <rPr>
        <rFont val="arial"/>
        <b/>
        <sz val="8.0"/>
      </rPr>
      <t>CIA (l)</t>
    </r>
    <r>
      <rPr>
        <rFont val="arial"/>
        <b/>
        <sz val="8.0"/>
      </rPr>
      <t xml:space="preserve"> /
/ </t>
    </r>
    <r>
      <rPr>
        <rFont val="arial"/>
        <b/>
        <color rgb="FFFF9900"/>
        <sz val="8.0"/>
      </rPr>
      <t>--</t>
    </r>
  </si>
  <si>
    <r>
      <rPr>
        <rFont val="arial"/>
        <b/>
        <color rgb="FFFF9900"/>
        <sz val="8.0"/>
      </rPr>
      <t xml:space="preserve">-- </t>
    </r>
    <r>
      <rPr>
        <rFont val="arial"/>
        <b/>
        <sz val="8.0"/>
      </rPr>
      <t xml:space="preserve">/
/ </t>
    </r>
    <r>
      <rPr>
        <rFont val="arial"/>
        <b/>
        <sz val="8.0"/>
      </rPr>
      <t>CIA (l)</t>
    </r>
  </si>
  <si>
    <r>
      <rPr>
        <rFont val="arial"/>
        <b/>
        <color rgb="FFFF9900"/>
        <sz val="8.0"/>
      </rPr>
      <t xml:space="preserve">TTI (s) B218 </t>
    </r>
    <r>
      <rPr>
        <rFont val="arial"/>
        <b/>
        <color rgb="FF00FF00"/>
        <sz val="8.0"/>
      </rPr>
      <t>/ uU (s) B218</t>
    </r>
  </si>
  <si>
    <t>-- / 
  / SEP (p)</t>
  </si>
  <si>
    <r>
      <rPr>
        <rFont val="arial"/>
        <b/>
        <color rgb="FF000000"/>
        <sz val="8.0"/>
      </rPr>
      <t>-- /</t>
    </r>
    <r>
      <rPr>
        <rFont val="arial"/>
        <b/>
        <color rgb="FFFF9900"/>
        <sz val="8.0"/>
      </rPr>
      <t xml:space="preserve"> TTI (s) B13</t>
    </r>
    <r>
      <rPr>
        <rFont val="arial"/>
        <color rgb="FF000000"/>
        <sz val="8.0"/>
      </rPr>
      <t xml:space="preserve">
</t>
    </r>
  </si>
  <si>
    <t>SEP (p) / 
  / --</t>
  </si>
  <si>
    <t>Structuri de Date si AlgoritmiSDA (curs)
Prof. R. Hobincu</t>
  </si>
  <si>
    <t>Python (p) / sport
A414 / --</t>
  </si>
  <si>
    <r>
      <rPr>
        <rFont val="arial"/>
        <b/>
        <color rgb="FF0000FF"/>
        <sz val="8.0"/>
      </rPr>
      <t>SS3 (l)</t>
    </r>
    <r>
      <rPr>
        <rFont val="arial"/>
        <b/>
        <color rgb="FFFF0000"/>
        <sz val="8.0"/>
      </rPr>
      <t xml:space="preserve"> </t>
    </r>
    <r>
      <rPr>
        <rFont val="arial"/>
        <b/>
        <color rgb="FF9900FF"/>
        <sz val="8.0"/>
      </rPr>
      <t>/ --</t>
    </r>
  </si>
  <si>
    <r>
      <rPr>
        <rFont val="arial"/>
        <b/>
        <color rgb="FF9900FF"/>
        <sz val="8.0"/>
      </rPr>
      <t>-- /</t>
    </r>
    <r>
      <rPr>
        <rFont val="arial"/>
        <b/>
        <color rgb="FFFF0000"/>
        <sz val="8.0"/>
      </rPr>
      <t xml:space="preserve"> </t>
    </r>
    <r>
      <rPr>
        <rFont val="arial"/>
        <b/>
        <color rgb="FF0000FF"/>
        <sz val="8.0"/>
      </rPr>
      <t>SS3 (l)</t>
    </r>
  </si>
  <si>
    <r>
      <rPr>
        <rFont val="arial"/>
        <b/>
        <color rgb="FF9900FF"/>
        <sz val="8.0"/>
      </rPr>
      <t>MEST (l)</t>
    </r>
    <r>
      <rPr>
        <rFont val="arial"/>
        <b/>
        <sz val="8.0"/>
      </rPr>
      <t xml:space="preserve"> / </t>
    </r>
    <r>
      <rPr>
        <rFont val="arial"/>
        <b/>
        <color rgb="FF0000FF"/>
        <sz val="8.0"/>
      </rPr>
      <t xml:space="preserve">SS3 (s) B206b </t>
    </r>
  </si>
  <si>
    <r>
      <rPr>
        <rFont val="arial"/>
        <b/>
        <color rgb="FF0000FF"/>
        <sz val="8.0"/>
      </rPr>
      <t>SS3 (s)</t>
    </r>
    <r>
      <rPr>
        <rFont val="arial"/>
        <b/>
        <sz val="8.0"/>
      </rPr>
      <t xml:space="preserve"> </t>
    </r>
    <r>
      <rPr>
        <rFont val="arial"/>
        <b/>
        <color rgb="FF0000FF"/>
        <sz val="8.0"/>
      </rPr>
      <t xml:space="preserve">B206b </t>
    </r>
    <r>
      <rPr>
        <rFont val="arial"/>
        <b/>
        <sz val="8.0"/>
      </rPr>
      <t xml:space="preserve">/ </t>
    </r>
    <r>
      <rPr>
        <rFont val="arial"/>
        <b/>
        <color rgb="FF9900FF"/>
        <sz val="8.0"/>
      </rPr>
      <t xml:space="preserve">MEST (l) </t>
    </r>
  </si>
  <si>
    <t xml:space="preserve">Bazele Electrotehnicii 1 - BE1 (curs)
prof. Gh. Paltanea </t>
  </si>
  <si>
    <r>
      <rPr>
        <rFont val="arial"/>
        <b/>
        <color rgb="FF9900FF"/>
        <sz val="8.0"/>
      </rPr>
      <t>IEM (l)</t>
    </r>
    <r>
      <rPr>
        <rFont val="arial"/>
        <b/>
        <color rgb="FFFF9900"/>
        <sz val="8.0"/>
      </rPr>
      <t xml:space="preserve"> </t>
    </r>
    <r>
      <rPr>
        <rFont val="arial"/>
        <b/>
        <sz val="8.0"/>
      </rPr>
      <t>/
/ --</t>
    </r>
  </si>
  <si>
    <r>
      <rPr>
        <rFont val="arial"/>
        <b/>
        <sz val="8.0"/>
      </rPr>
      <t xml:space="preserve">-- /
/ </t>
    </r>
    <r>
      <rPr>
        <rFont val="arial"/>
        <b/>
        <color rgb="FF9900FF"/>
        <sz val="8.0"/>
      </rPr>
      <t>IEM (l)</t>
    </r>
  </si>
  <si>
    <t>Legendă</t>
  </si>
  <si>
    <t>VINERI</t>
  </si>
  <si>
    <r>
      <rPr>
        <rFont val="arial"/>
        <b/>
        <color rgb="FFFF9900"/>
        <sz val="8.0"/>
      </rPr>
      <t>TTI (l)</t>
    </r>
    <r>
      <rPr>
        <rFont val="arial"/>
        <b/>
        <color rgb="FF000000"/>
        <sz val="8.0"/>
      </rPr>
      <t xml:space="preserve"> /
/ </t>
    </r>
    <r>
      <rPr>
        <rFont val="arial"/>
        <b/>
        <color rgb="FF000000"/>
        <sz val="8.0"/>
      </rPr>
      <t>--</t>
    </r>
  </si>
  <si>
    <r>
      <rPr>
        <rFont val="arial"/>
        <b/>
        <sz val="8.0"/>
      </rPr>
      <t>--</t>
    </r>
    <r>
      <rPr>
        <rFont val="arial"/>
        <b/>
        <sz val="8.0"/>
      </rPr>
      <t xml:space="preserve"> /
/ </t>
    </r>
    <r>
      <rPr>
        <rFont val="arial"/>
        <b/>
        <color rgb="FFFF9900"/>
        <sz val="8.0"/>
      </rPr>
      <t>TTI (l)</t>
    </r>
  </si>
  <si>
    <r>
      <rPr>
        <rFont val="arial"/>
        <b/>
        <sz val="8.0"/>
      </rPr>
      <t>IV (l)</t>
    </r>
    <r>
      <rPr>
        <rFont val="arial"/>
        <b/>
        <sz val="8.0"/>
      </rPr>
      <t xml:space="preserve"> /
/ </t>
    </r>
    <r>
      <rPr>
        <rFont val="arial"/>
        <b/>
        <color rgb="FFFF9900"/>
        <sz val="8.0"/>
      </rPr>
      <t>--</t>
    </r>
  </si>
  <si>
    <t>PS (l) / 
  / --</t>
  </si>
  <si>
    <r>
      <rPr>
        <rFont val="arial"/>
        <b/>
        <color rgb="FFFF9900"/>
        <sz val="8.0"/>
      </rPr>
      <t xml:space="preserve">-- </t>
    </r>
    <r>
      <rPr>
        <rFont val="arial"/>
        <b/>
        <color rgb="FF000000"/>
        <sz val="8.0"/>
      </rPr>
      <t xml:space="preserve">/
/ </t>
    </r>
    <r>
      <rPr>
        <rFont val="arial"/>
        <b/>
        <color rgb="FF000000"/>
        <sz val="8.0"/>
      </rPr>
      <t>IV (l)</t>
    </r>
  </si>
  <si>
    <t>-- / 
  / PS (l)</t>
  </si>
  <si>
    <r>
      <rPr>
        <rFont val="arial"/>
        <b/>
        <color rgb="FF0000FF"/>
        <sz val="8.0"/>
      </rPr>
      <t>SS3 (l)</t>
    </r>
    <r>
      <rPr>
        <rFont val="arial"/>
        <b/>
        <color rgb="FFFF0000"/>
        <sz val="8.0"/>
      </rPr>
      <t xml:space="preserve"> /
/ --</t>
    </r>
  </si>
  <si>
    <r>
      <rPr>
        <rFont val="arial"/>
        <b/>
        <color rgb="FFFF0000"/>
        <sz val="8.0"/>
      </rPr>
      <t xml:space="preserve">-- /
/ </t>
    </r>
    <r>
      <rPr>
        <rFont val="arial"/>
        <b/>
        <color rgb="FF0000FF"/>
        <sz val="8.0"/>
      </rPr>
      <t>SS3 (l)</t>
    </r>
  </si>
  <si>
    <t>Opt 1. SISTEME ELECTRONICE PROGRAMABILE (curs) 
prof. R. Constantinescu</t>
  </si>
  <si>
    <r>
      <rPr>
        <rFont val="arial"/>
        <b/>
        <color rgb="FF9900FF"/>
        <sz val="8.0"/>
      </rPr>
      <t>MEST (l)</t>
    </r>
    <r>
      <rPr>
        <rFont val="arial"/>
        <b/>
        <sz val="8.0"/>
      </rPr>
      <t xml:space="preserve"> / -</t>
    </r>
  </si>
  <si>
    <t>RC (l) / 
/ --</t>
  </si>
  <si>
    <r>
      <rPr>
        <rFont val="arial"/>
        <b/>
        <sz val="8.0"/>
      </rPr>
      <t xml:space="preserve">- / </t>
    </r>
    <r>
      <rPr>
        <rFont val="arial"/>
        <b/>
        <color rgb="FF9900FF"/>
        <sz val="8.0"/>
      </rPr>
      <t xml:space="preserve">MEST (l) </t>
    </r>
  </si>
  <si>
    <t>-- / 
/ RC (l)</t>
  </si>
  <si>
    <t>CAD(l)  / 
/ RC (l)</t>
  </si>
  <si>
    <r>
      <rPr>
        <rFont val="arial"/>
        <b/>
        <color rgb="FF0000FF"/>
        <sz val="8.0"/>
      </rPr>
      <t>SS3 (s) B218</t>
    </r>
    <r>
      <rPr>
        <rFont val="arial"/>
        <b/>
        <color rgb="FF000000"/>
        <sz val="8.0"/>
      </rPr>
      <t xml:space="preserve"> / </t>
    </r>
    <r>
      <rPr>
        <rFont val="arial"/>
        <b/>
        <color rgb="FFFF9900"/>
        <sz val="8.0"/>
      </rPr>
      <t>TTI (s) B206b</t>
    </r>
  </si>
  <si>
    <t>--  /
/ CD(s) B206a</t>
  </si>
  <si>
    <t>CD(s) B206a/
 / CAD (l)</t>
  </si>
  <si>
    <r>
      <rPr>
        <rFont val="arial"/>
        <b/>
        <color rgb="FF0000FF"/>
        <sz val="8.0"/>
      </rPr>
      <t xml:space="preserve">-- / </t>
    </r>
    <r>
      <rPr>
        <rFont val="arial"/>
        <b/>
        <color rgb="FF0000FF"/>
        <sz val="8.0"/>
      </rPr>
      <t xml:space="preserve">SS3 (s) B218 </t>
    </r>
  </si>
  <si>
    <t xml:space="preserve">AMP(l) / </t>
  </si>
  <si>
    <t>CD(s) B206a/ --</t>
  </si>
  <si>
    <r>
      <rPr>
        <rFont val="arial"/>
        <color rgb="FF000000"/>
        <sz val="8.0"/>
      </rPr>
      <t>SO (l)</t>
    </r>
    <r>
      <rPr>
        <rFont val="arial"/>
        <color rgb="FF000000"/>
        <sz val="8.0"/>
      </rPr>
      <t xml:space="preserve"> /
/ --</t>
    </r>
  </si>
  <si>
    <t>--/ AMP(l)</t>
  </si>
  <si>
    <r>
      <rPr>
        <rFont val="arial"/>
        <b/>
        <color rgb="FFFF9900"/>
        <sz val="8.0"/>
      </rPr>
      <t>TTI (s) B206b</t>
    </r>
    <r>
      <rPr>
        <rFont val="arial"/>
        <b/>
        <color rgb="FF000000"/>
        <sz val="8.0"/>
      </rPr>
      <t xml:space="preserve"> /  Pr. CEF 2</t>
    </r>
  </si>
  <si>
    <t>-- /
/ SO (l)</t>
  </si>
  <si>
    <t>-- / CIA (s) B124</t>
  </si>
  <si>
    <t>SS 3 (curs)
Prof. S. Halunga / M. Berceanu</t>
  </si>
  <si>
    <t>Instrumentatie electronica de masura (curs)
Prof. A. Vulpe</t>
  </si>
  <si>
    <r>
      <rPr>
        <rFont val="arial"/>
        <b/>
        <sz val="8.0"/>
      </rPr>
      <t xml:space="preserve">-- /
/  </t>
    </r>
    <r>
      <rPr>
        <rFont val="arial"/>
        <b/>
        <color rgb="FFFF9900"/>
        <sz val="8.0"/>
      </rPr>
      <t>TTI (s) B13</t>
    </r>
  </si>
  <si>
    <r>
      <rPr>
        <rFont val="arial"/>
        <b/>
        <color rgb="FFFF9900"/>
        <sz val="8.0"/>
      </rPr>
      <t>TTI (s) 13</t>
    </r>
    <r>
      <rPr>
        <rFont val="arial"/>
        <b/>
        <sz val="8.0"/>
      </rPr>
      <t xml:space="preserve"> /
/ --</t>
    </r>
  </si>
  <si>
    <r>
      <rPr>
        <rFont val="arial"/>
        <b/>
        <sz val="8.0"/>
      </rPr>
      <t>CIA (l)</t>
    </r>
    <r>
      <rPr>
        <rFont val="arial"/>
        <b/>
        <sz val="8.0"/>
      </rPr>
      <t xml:space="preserve"> /
/ </t>
    </r>
    <r>
      <rPr>
        <rFont val="arial"/>
        <b/>
        <color rgb="FFFF9900"/>
        <sz val="8.0"/>
      </rPr>
      <t>--</t>
    </r>
  </si>
  <si>
    <r>
      <rPr>
        <rFont val="arial"/>
        <b/>
        <color rgb="FFFF9900"/>
        <sz val="8.0"/>
      </rPr>
      <t xml:space="preserve">-- </t>
    </r>
    <r>
      <rPr>
        <rFont val="arial"/>
        <b/>
        <sz val="8.0"/>
      </rPr>
      <t xml:space="preserve">/
/ </t>
    </r>
    <r>
      <rPr>
        <rFont val="arial"/>
        <b/>
        <sz val="8.0"/>
      </rPr>
      <t>CIA (l)</t>
    </r>
  </si>
  <si>
    <t>Activitate didactică
obligatorie</t>
  </si>
  <si>
    <r>
      <rPr>
        <rFont val="arial"/>
        <b/>
        <color rgb="FF9900FF"/>
        <sz val="8.0"/>
      </rPr>
      <t>IEM (l)</t>
    </r>
    <r>
      <rPr>
        <rFont val="arial"/>
        <b/>
        <color rgb="FFFF9900"/>
        <sz val="8.0"/>
      </rPr>
      <t xml:space="preserve"> </t>
    </r>
    <r>
      <rPr>
        <rFont val="arial"/>
        <b/>
        <sz val="8.0"/>
      </rPr>
      <t xml:space="preserve">/
/ </t>
    </r>
    <r>
      <rPr>
        <rFont val="arial"/>
        <b/>
        <color rgb="FFFF9900"/>
        <sz val="8.0"/>
      </rPr>
      <t>TTI (s) B13</t>
    </r>
  </si>
  <si>
    <t>Act. Săpt impară /
/ Act. Săpt pară</t>
  </si>
  <si>
    <r>
      <rPr>
        <rFont val="arial"/>
        <b/>
        <color rgb="FFFF9900"/>
        <sz val="8.0"/>
      </rPr>
      <t>TTI (s)</t>
    </r>
    <r>
      <rPr>
        <rFont val="arial"/>
        <b/>
        <sz val="8.0"/>
      </rPr>
      <t xml:space="preserve"> </t>
    </r>
    <r>
      <rPr>
        <rFont val="arial"/>
        <b/>
        <color rgb="FFFF9900"/>
        <sz val="8.0"/>
      </rPr>
      <t xml:space="preserve">B13 </t>
    </r>
    <r>
      <rPr>
        <rFont val="arial"/>
        <b/>
        <sz val="8.0"/>
      </rPr>
      <t xml:space="preserve">/
/ </t>
    </r>
    <r>
      <rPr>
        <rFont val="arial"/>
        <b/>
        <color rgb="FF9900FF"/>
        <sz val="8.0"/>
      </rPr>
      <t>IEM (l)</t>
    </r>
  </si>
  <si>
    <t>Analog Integrated Circuits - CIA (curs)
Prof. F. Dumitru</t>
  </si>
  <si>
    <t xml:space="preserve"> -- / sport</t>
  </si>
  <si>
    <t>Arhitectura Microprocesoarelor 1 AMP1 (curs)
Prof. S. Zoican</t>
  </si>
  <si>
    <t>Dispozitive Electronice DE (curs)
Prof. C. Ravariu</t>
  </si>
  <si>
    <t>Python (p) / --
A414 / --</t>
  </si>
  <si>
    <t>-- / Python(p)
-- / A414</t>
  </si>
  <si>
    <t>Analiză Matematică - AM (curs)
prof. C. Ghiu</t>
  </si>
  <si>
    <t>GRAFICĂ 3D (curs) 
prof. V. Stoica</t>
  </si>
  <si>
    <r>
      <rPr>
        <rFont val="arial"/>
        <color rgb="FF000000"/>
        <sz val="8.0"/>
      </rPr>
      <t>SO</t>
    </r>
    <r>
      <rPr>
        <rFont val="arial"/>
        <color rgb="FF000000"/>
        <sz val="8.0"/>
      </rPr>
      <t xml:space="preserve"> /
/ --</t>
    </r>
  </si>
  <si>
    <t>-- /
 / CAD (l)</t>
  </si>
  <si>
    <r>
      <rPr>
        <rFont val="arial"/>
        <color rgb="FF000000"/>
        <sz val="8.0"/>
      </rPr>
      <t xml:space="preserve">-- /
 / </t>
    </r>
    <r>
      <rPr>
        <rFont val="arial"/>
        <color rgb="FF000000"/>
        <sz val="8.0"/>
      </rPr>
      <t>SO</t>
    </r>
  </si>
  <si>
    <t>CD(s)  B206a  /
/ --</t>
  </si>
  <si>
    <t>-- /
/ CD(s)  B206a</t>
  </si>
  <si>
    <r>
      <rPr>
        <rFont val="arial"/>
        <b/>
        <color rgb="FFFF9900"/>
        <sz val="8.0"/>
      </rPr>
      <t>TTI (l)</t>
    </r>
    <r>
      <rPr>
        <rFont val="arial"/>
        <b/>
        <sz val="8.0"/>
      </rPr>
      <t xml:space="preserve"> /</t>
    </r>
    <r>
      <rPr>
        <rFont val="arial"/>
        <b/>
        <color rgb="FF9900FF"/>
        <sz val="8.0"/>
      </rPr>
      <t xml:space="preserve"> MEST (l)</t>
    </r>
  </si>
  <si>
    <r>
      <rPr>
        <rFont val="arial"/>
        <b/>
        <color rgb="FF9900FF"/>
        <sz val="8.0"/>
      </rPr>
      <t>MEST (l)</t>
    </r>
    <r>
      <rPr>
        <rFont val="arial"/>
        <b/>
        <sz val="8.0"/>
      </rPr>
      <t xml:space="preserve"> /</t>
    </r>
    <r>
      <rPr>
        <rFont val="arial"/>
        <b/>
        <color rgb="FFFF9900"/>
        <sz val="8.0"/>
      </rPr>
      <t xml:space="preserve"> TTI (l)</t>
    </r>
  </si>
  <si>
    <t>Opt 1. PROGRAMABLE ELECTRONIC SYSTEMS (lecture) 
prof. B. Alexandrescu</t>
  </si>
  <si>
    <r>
      <rPr>
        <rFont val="arial"/>
        <b/>
        <color rgb="FF0000FF"/>
        <sz val="8.0"/>
      </rPr>
      <t xml:space="preserve">-- </t>
    </r>
    <r>
      <rPr>
        <rFont val="arial"/>
        <b/>
        <color rgb="FFFF0000"/>
        <sz val="8.0"/>
      </rPr>
      <t>/
/ APD (l)</t>
    </r>
  </si>
  <si>
    <r>
      <rPr>
        <rFont val="arial"/>
        <b/>
        <color rgb="FFFF0000"/>
        <sz val="8.0"/>
      </rPr>
      <t xml:space="preserve">APD (l) /
/ </t>
    </r>
    <r>
      <rPr>
        <rFont val="arial"/>
        <b/>
        <color rgb="FF0000FF"/>
        <sz val="8.0"/>
      </rPr>
      <t>--</t>
    </r>
  </si>
  <si>
    <r>
      <rPr>
        <rFont val="arial"/>
        <b/>
        <color rgb="FF00FF00"/>
        <sz val="8.0"/>
      </rPr>
      <t xml:space="preserve">-- </t>
    </r>
    <r>
      <rPr>
        <rFont val="arial"/>
        <b/>
        <sz val="8.0"/>
      </rPr>
      <t>/
/ IV (l)</t>
    </r>
  </si>
  <si>
    <r>
      <rPr>
        <rFont val="arial"/>
        <b/>
        <sz val="8.0"/>
      </rPr>
      <t xml:space="preserve">IV (l) /
/ </t>
    </r>
    <r>
      <rPr>
        <rFont val="arial"/>
        <b/>
        <color rgb="FF00FF00"/>
        <sz val="8.0"/>
      </rPr>
      <t>--</t>
    </r>
  </si>
  <si>
    <t xml:space="preserve"> Circuite integrate analogice (curs) Prof. C. Popa</t>
  </si>
  <si>
    <r>
      <rPr>
        <rFont val="arial"/>
        <b/>
        <color rgb="FF0000FF"/>
        <sz val="8.0"/>
      </rPr>
      <t xml:space="preserve">-- / </t>
    </r>
    <r>
      <rPr>
        <rFont val="arial"/>
        <b/>
        <color rgb="FF000000"/>
        <sz val="8.0"/>
      </rPr>
      <t xml:space="preserve"> Pr. CEF 2</t>
    </r>
  </si>
  <si>
    <r>
      <rPr>
        <rFont val="arial"/>
        <b/>
        <color rgb="FF000000"/>
        <sz val="8.0"/>
      </rPr>
      <t xml:space="preserve">  </t>
    </r>
    <r>
      <rPr>
        <rFont val="arial"/>
        <b/>
        <color rgb="FF0000FF"/>
        <sz val="8.0"/>
      </rPr>
      <t xml:space="preserve"> </t>
    </r>
    <r>
      <rPr>
        <rFont val="arial"/>
        <b/>
        <color rgb="FF000000"/>
        <sz val="8.0"/>
      </rPr>
      <t xml:space="preserve">Pr. CEF 2 / </t>
    </r>
    <r>
      <rPr>
        <rFont val="arial"/>
        <b/>
        <color rgb="FF0000FF"/>
        <sz val="8.0"/>
      </rPr>
      <t>--</t>
    </r>
  </si>
  <si>
    <r>
      <rPr>
        <rFont val="arial"/>
        <b/>
        <color rgb="FF00FF00"/>
        <sz val="8.0"/>
      </rPr>
      <t xml:space="preserve">uU (l) </t>
    </r>
    <r>
      <rPr>
        <rFont val="arial"/>
        <b/>
        <color rgb="FF000000"/>
        <sz val="8.0"/>
      </rPr>
      <t xml:space="preserve">/
/ </t>
    </r>
    <r>
      <rPr>
        <rFont val="arial"/>
        <b/>
        <color rgb="FF0000FF"/>
        <sz val="8.0"/>
      </rPr>
      <t>SS3 (l)</t>
    </r>
  </si>
  <si>
    <r>
      <rPr>
        <rFont val="arial"/>
        <b/>
        <color rgb="FF0000FF"/>
        <sz val="8.0"/>
      </rPr>
      <t xml:space="preserve">SS3 (l) </t>
    </r>
    <r>
      <rPr>
        <rFont val="arial"/>
        <b/>
        <color rgb="FF000000"/>
        <sz val="8.0"/>
      </rPr>
      <t xml:space="preserve">/
/ </t>
    </r>
    <r>
      <rPr>
        <rFont val="arial"/>
        <b/>
        <color rgb="FF00FF00"/>
        <sz val="8.0"/>
      </rPr>
      <t>uU (l)</t>
    </r>
  </si>
  <si>
    <t>SDA(l) / --</t>
  </si>
  <si>
    <r>
      <rPr>
        <rFont val="arial"/>
        <b/>
        <sz val="8.0"/>
      </rPr>
      <t xml:space="preserve">CIA (l) /
/ </t>
    </r>
    <r>
      <rPr>
        <rFont val="arial"/>
        <b/>
        <color rgb="FFFF9900"/>
        <sz val="8.0"/>
      </rPr>
      <t xml:space="preserve"> -</t>
    </r>
  </si>
  <si>
    <t>-- / SDA(l)</t>
  </si>
  <si>
    <t xml:space="preserve"> -/
/ CIA (l)</t>
  </si>
  <si>
    <r>
      <rPr>
        <rFont val="arial"/>
        <b/>
        <color rgb="FF000000"/>
        <sz val="8.0"/>
      </rPr>
      <t xml:space="preserve"> Pr. CEF 2</t>
    </r>
    <r>
      <rPr>
        <rFont val="arial"/>
        <b/>
        <color rgb="FFFF0000"/>
        <sz val="8.0"/>
      </rPr>
      <t xml:space="preserve"> /
/</t>
    </r>
    <r>
      <rPr>
        <rFont val="arial"/>
        <b/>
        <color rgb="FF9900FF"/>
        <sz val="8.0"/>
      </rPr>
      <t xml:space="preserve"> IEM (l)</t>
    </r>
  </si>
  <si>
    <r>
      <rPr>
        <rFont val="arial"/>
        <b/>
        <color rgb="FF9900FF"/>
        <sz val="8.0"/>
      </rPr>
      <t xml:space="preserve">IEM (l) </t>
    </r>
    <r>
      <rPr>
        <rFont val="arial"/>
        <b/>
        <color rgb="FFFF0000"/>
        <sz val="8.0"/>
      </rPr>
      <t xml:space="preserve">/
/ </t>
    </r>
    <r>
      <rPr>
        <rFont val="arial"/>
        <b/>
        <color rgb="FF0000FF"/>
        <sz val="8.0"/>
      </rPr>
      <t xml:space="preserve"> </t>
    </r>
    <r>
      <rPr>
        <rFont val="arial"/>
        <b/>
        <color rgb="FF000000"/>
        <sz val="8.0"/>
      </rPr>
      <t>Pr. CEF 2</t>
    </r>
  </si>
  <si>
    <t>SECR(l)
/ --</t>
  </si>
  <si>
    <r>
      <rPr>
        <rFont val="arial"/>
        <b/>
        <color rgb="FF000000"/>
        <sz val="8.0"/>
      </rPr>
      <t xml:space="preserve">CIA (s) B206b / </t>
    </r>
    <r>
      <rPr>
        <rFont val="arial"/>
        <b/>
        <color rgb="FF0000FF"/>
        <sz val="8.0"/>
      </rPr>
      <t>SS3 (s) B206b</t>
    </r>
  </si>
  <si>
    <t>-- /SECR (l)</t>
  </si>
  <si>
    <r>
      <rPr>
        <rFont val="arial"/>
        <b/>
        <color rgb="FF000000"/>
        <sz val="8.0"/>
      </rPr>
      <t xml:space="preserve">CIA (s) B218 / </t>
    </r>
    <r>
      <rPr>
        <rFont val="arial"/>
        <b/>
        <color rgb="FF9900FF"/>
        <sz val="8.0"/>
      </rPr>
      <t>IEM (s) B218</t>
    </r>
    <r>
      <rPr>
        <rFont val="arial"/>
        <color rgb="FF000000"/>
        <sz val="8.0"/>
      </rPr>
      <t xml:space="preserve">
</t>
    </r>
  </si>
  <si>
    <t>CAD(l) / --</t>
  </si>
  <si>
    <r>
      <rPr>
        <rFont val="arial"/>
        <b/>
        <color rgb="FFFF9900"/>
        <sz val="8.0"/>
      </rPr>
      <t>TTI (s) B13</t>
    </r>
    <r>
      <rPr>
        <rFont val="arial"/>
        <b/>
        <color rgb="FF000000"/>
        <sz val="8.0"/>
      </rPr>
      <t xml:space="preserve"> / CIA (s) B13</t>
    </r>
  </si>
  <si>
    <t>Componente si Circuite Pasive CCP (curs)
  Prof. I.B. Bacîș</t>
  </si>
  <si>
    <t>TAPDS (l) / 
 / DOE (l)</t>
  </si>
  <si>
    <t>Arhitectura Microprocesoarelor 1 AMP1 (curs)
Prof. C. Visan</t>
  </si>
  <si>
    <t>DOE (l) / 
 / TAPDS (l)</t>
  </si>
  <si>
    <t>AMP(l) / Python (p)
/ A414</t>
  </si>
  <si>
    <r>
      <rPr>
        <rFont val="arial"/>
        <b/>
        <color rgb="FF00FF00"/>
        <sz val="8.0"/>
      </rPr>
      <t>-</t>
    </r>
    <r>
      <rPr>
        <rFont val="arial"/>
        <b/>
        <sz val="8.0"/>
      </rPr>
      <t xml:space="preserve"> / </t>
    </r>
    <r>
      <rPr>
        <rFont val="arial"/>
        <b/>
        <color rgb="FF9900FF"/>
        <sz val="8.0"/>
      </rPr>
      <t>MEST (l)</t>
    </r>
  </si>
  <si>
    <r>
      <rPr>
        <rFont val="arial"/>
        <b/>
        <color rgb="FF9900FF"/>
        <sz val="8.0"/>
      </rPr>
      <t>MEST (l) /</t>
    </r>
    <r>
      <rPr>
        <rFont val="arial"/>
        <b/>
        <color rgb="FF00FF00"/>
        <sz val="8.0"/>
      </rPr>
      <t xml:space="preserve"> --</t>
    </r>
  </si>
  <si>
    <r>
      <rPr>
        <rFont val="arial"/>
        <b/>
        <color rgb="FF00FF00"/>
        <sz val="8.0"/>
      </rPr>
      <t>--</t>
    </r>
    <r>
      <rPr>
        <rFont val="arial"/>
        <b/>
        <sz val="8.0"/>
      </rPr>
      <t xml:space="preserve"> /
/ </t>
    </r>
    <r>
      <rPr>
        <rFont val="arial"/>
        <b/>
        <color rgb="FFFF9900"/>
        <sz val="8.0"/>
      </rPr>
      <t>TTI (l)</t>
    </r>
  </si>
  <si>
    <r>
      <rPr>
        <rFont val="arial"/>
        <b/>
        <color rgb="FFFF9900"/>
        <sz val="8.0"/>
      </rPr>
      <t>TTI (l)</t>
    </r>
    <r>
      <rPr>
        <rFont val="arial"/>
        <b/>
        <color rgb="FF000000"/>
        <sz val="8.0"/>
      </rPr>
      <t xml:space="preserve"> /
/ </t>
    </r>
    <r>
      <rPr>
        <rFont val="arial"/>
        <b/>
        <color rgb="FF00FF00"/>
        <sz val="8.0"/>
      </rPr>
      <t>--</t>
    </r>
  </si>
  <si>
    <r>
      <rPr>
        <rFont val="arial"/>
        <b/>
        <color rgb="FF0000FF"/>
        <sz val="8.0"/>
      </rPr>
      <t>SS3 (l)</t>
    </r>
    <r>
      <rPr>
        <rFont val="arial"/>
        <b/>
        <color rgb="FFFF0000"/>
        <sz val="8.0"/>
      </rPr>
      <t xml:space="preserve"> /
/ APD (l)</t>
    </r>
  </si>
  <si>
    <r>
      <rPr>
        <rFont val="arial"/>
        <b/>
        <color rgb="FFFF0000"/>
        <sz val="8.0"/>
      </rPr>
      <t xml:space="preserve">APD (l) /
/ </t>
    </r>
    <r>
      <rPr>
        <rFont val="arial"/>
        <b/>
        <color rgb="FF0000FF"/>
        <sz val="8.0"/>
      </rPr>
      <t>SS3 (l)</t>
    </r>
  </si>
  <si>
    <t xml:space="preserve">
Inteligenta Artificiala (curs)
 Prof. Stefan Liviu-Daniel </t>
  </si>
  <si>
    <t>-- / 
  / IS (l)</t>
  </si>
  <si>
    <t>IS (l) / 
  / --</t>
  </si>
  <si>
    <r>
      <rPr>
        <rFont val="arial"/>
        <b/>
        <color rgb="FF00FF00"/>
        <sz val="8.0"/>
      </rPr>
      <t xml:space="preserve">uU (l) </t>
    </r>
    <r>
      <rPr>
        <rFont val="arial"/>
        <b/>
        <color rgb="FF000000"/>
        <sz val="8.0"/>
      </rPr>
      <t>/
/</t>
    </r>
    <r>
      <rPr>
        <rFont val="arial"/>
        <b/>
        <color rgb="FF9900FF"/>
        <sz val="8.0"/>
      </rPr>
      <t xml:space="preserve"> IEM (l)</t>
    </r>
  </si>
  <si>
    <r>
      <rPr>
        <rFont val="arial"/>
        <b/>
        <color rgb="FF9900FF"/>
        <sz val="8.0"/>
      </rPr>
      <t>IEM (l)</t>
    </r>
    <r>
      <rPr>
        <rFont val="arial"/>
        <b/>
        <color rgb="FF0000FF"/>
        <sz val="8.0"/>
      </rPr>
      <t xml:space="preserve"> </t>
    </r>
    <r>
      <rPr>
        <rFont val="arial"/>
        <b/>
        <color rgb="FF000000"/>
        <sz val="8.0"/>
      </rPr>
      <t xml:space="preserve">/
/ </t>
    </r>
    <r>
      <rPr>
        <rFont val="arial"/>
        <b/>
        <color rgb="FF00FF00"/>
        <sz val="8.0"/>
      </rPr>
      <t>uU (l)</t>
    </r>
  </si>
  <si>
    <t>IEM (s) B206b / --</t>
  </si>
  <si>
    <t>Analiză Matematică - AM (curs) 
prof. I. Meghea</t>
  </si>
  <si>
    <r>
      <rPr>
        <rFont val="arial"/>
        <b/>
        <color rgb="FF9900FF"/>
        <sz val="8.0"/>
      </rPr>
      <t>IEM (s) B206b</t>
    </r>
    <r>
      <rPr>
        <rFont val="arial"/>
        <b/>
        <color rgb="FF000000"/>
        <sz val="8.0"/>
      </rPr>
      <t xml:space="preserve"> / --- </t>
    </r>
    <r>
      <rPr>
        <rFont val="arial"/>
        <color rgb="FF000000"/>
        <sz val="8.0"/>
      </rPr>
      <t xml:space="preserve">
</t>
    </r>
  </si>
  <si>
    <r>
      <rPr>
        <rFont val="arial"/>
        <color rgb="FF000000"/>
        <sz val="8.0"/>
      </rPr>
      <t xml:space="preserve">-- /
/ </t>
    </r>
    <r>
      <rPr>
        <rFont val="arial"/>
        <color rgb="FF000000"/>
        <sz val="8.0"/>
      </rPr>
      <t>RS (l)</t>
    </r>
  </si>
  <si>
    <t>PES (l) / 
 / --</t>
  </si>
  <si>
    <r>
      <rPr>
        <rFont val="arial"/>
        <b/>
        <sz val="8.0"/>
      </rPr>
      <t xml:space="preserve">-- /
/ </t>
    </r>
    <r>
      <rPr>
        <rFont val="arial"/>
        <b/>
        <color rgb="FF9900FF"/>
        <sz val="8.0"/>
      </rPr>
      <t>IEM (l)</t>
    </r>
  </si>
  <si>
    <r>
      <rPr>
        <rFont val="arial"/>
        <b/>
        <color rgb="FF9900FF"/>
        <sz val="8.0"/>
      </rPr>
      <t>IEM (l)</t>
    </r>
    <r>
      <rPr>
        <rFont val="arial"/>
        <b/>
        <color rgb="FFFF9900"/>
        <sz val="8.0"/>
      </rPr>
      <t xml:space="preserve"> </t>
    </r>
    <r>
      <rPr>
        <rFont val="arial"/>
        <b/>
        <sz val="8.0"/>
      </rPr>
      <t>/
/ --</t>
    </r>
  </si>
  <si>
    <t xml:space="preserve"> Dispozitive Electronice DE (curs)
Prof. D. Neculoiu</t>
  </si>
  <si>
    <r>
      <rPr>
        <rFont val="arial"/>
        <b/>
        <color rgb="FF00FF00"/>
        <sz val="8.0"/>
      </rPr>
      <t xml:space="preserve">uU (l) </t>
    </r>
    <r>
      <rPr>
        <rFont val="arial"/>
        <b/>
        <color rgb="FF000000"/>
        <sz val="8.0"/>
      </rPr>
      <t xml:space="preserve">/
/ </t>
    </r>
    <r>
      <rPr>
        <rFont val="arial"/>
        <b/>
        <color rgb="FF0000FF"/>
        <sz val="8.0"/>
      </rPr>
      <t>--</t>
    </r>
  </si>
  <si>
    <r>
      <rPr>
        <rFont val="arial"/>
        <b/>
        <color rgb="FF0000FF"/>
        <sz val="8.0"/>
      </rPr>
      <t xml:space="preserve">-- </t>
    </r>
    <r>
      <rPr>
        <rFont val="arial"/>
        <b/>
        <color rgb="FF000000"/>
        <sz val="8.0"/>
      </rPr>
      <t xml:space="preserve">/
/ </t>
    </r>
    <r>
      <rPr>
        <rFont val="arial"/>
        <b/>
        <color rgb="FF00FF00"/>
        <sz val="8.0"/>
      </rPr>
      <t>uU (l)</t>
    </r>
  </si>
  <si>
    <t>Activitate didactică
opţională</t>
  </si>
  <si>
    <r>
      <rPr>
        <rFont val="arial"/>
        <b/>
        <color rgb="FFFF9900"/>
        <sz val="8.0"/>
      </rPr>
      <t>TTI (l)</t>
    </r>
    <r>
      <rPr>
        <rFont val="arial"/>
        <b/>
        <color rgb="FF000000"/>
        <sz val="8.0"/>
      </rPr>
      <t xml:space="preserve"> /
/ </t>
    </r>
  </si>
  <si>
    <r>
      <rPr>
        <rFont val="arial"/>
        <b/>
        <sz val="8.0"/>
      </rPr>
      <t xml:space="preserve"> /
/ </t>
    </r>
    <r>
      <rPr>
        <rFont val="arial"/>
        <b/>
        <color rgb="FFFF9900"/>
        <sz val="8.0"/>
      </rPr>
      <t>TTI (l)</t>
    </r>
  </si>
  <si>
    <t>Act. Săpt impară /
/ ---</t>
  </si>
  <si>
    <r>
      <rPr>
        <rFont val="arial"/>
        <b/>
        <color rgb="FFFF0000"/>
        <sz val="8.0"/>
      </rPr>
      <t xml:space="preserve">-- /
/ </t>
    </r>
    <r>
      <rPr>
        <rFont val="arial"/>
        <b/>
        <color rgb="FF0000FF"/>
        <sz val="8.0"/>
      </rPr>
      <t>SS3 (l)</t>
    </r>
  </si>
  <si>
    <r>
      <rPr>
        <rFont val="arial"/>
        <b/>
        <color rgb="FF0000FF"/>
        <sz val="8.0"/>
      </rPr>
      <t>SS3 (l)</t>
    </r>
    <r>
      <rPr>
        <rFont val="arial"/>
        <b/>
        <color rgb="FFFF0000"/>
        <sz val="8.0"/>
      </rPr>
      <t xml:space="preserve"> /
/ --</t>
    </r>
  </si>
  <si>
    <t>AMP (l) / SS(l)</t>
  </si>
  <si>
    <t xml:space="preserve"> SS (l) / AMP (l)</t>
  </si>
  <si>
    <t>-- /
  / IA2RF (l)</t>
  </si>
  <si>
    <t>IA2RF (l) /
  / --</t>
  </si>
  <si>
    <t>Proiect CEF (A103)</t>
  </si>
  <si>
    <r>
      <rPr>
        <rFont val="arial"/>
        <b/>
        <color rgb="FFFF0000"/>
        <sz val="8.0"/>
      </rPr>
      <t>APD (l)</t>
    </r>
    <r>
      <rPr>
        <rFont val="arial"/>
        <b/>
        <color rgb="FF00FF00"/>
        <sz val="8.0"/>
      </rPr>
      <t xml:space="preserve"> </t>
    </r>
    <r>
      <rPr>
        <rFont val="arial"/>
        <b/>
        <sz val="8.0"/>
      </rPr>
      <t>/ IV (l)</t>
    </r>
  </si>
  <si>
    <r>
      <rPr>
        <rFont val="arial"/>
        <b/>
        <sz val="8.0"/>
      </rPr>
      <t xml:space="preserve">IV (l) / </t>
    </r>
    <r>
      <rPr>
        <rFont val="arial"/>
        <b/>
        <color rgb="FFFF0000"/>
        <sz val="8.0"/>
      </rPr>
      <t>APD (l)</t>
    </r>
  </si>
  <si>
    <r>
      <rPr>
        <rFont val="arial"/>
        <b/>
        <color rgb="FF0000FF"/>
        <sz val="8.0"/>
      </rPr>
      <t>SS3 (l)</t>
    </r>
    <r>
      <rPr>
        <rFont val="arial"/>
        <b/>
        <color rgb="FFFF0000"/>
        <sz val="8.0"/>
      </rPr>
      <t xml:space="preserve"> / --</t>
    </r>
  </si>
  <si>
    <r>
      <rPr>
        <rFont val="arial"/>
        <b/>
        <color rgb="FFFF0000"/>
        <sz val="8.0"/>
      </rPr>
      <t xml:space="preserve">-- / </t>
    </r>
    <r>
      <rPr>
        <rFont val="arial"/>
        <b/>
        <color rgb="FF0000FF"/>
        <sz val="8.0"/>
      </rPr>
      <t>SS3 (l)</t>
    </r>
  </si>
  <si>
    <r>
      <rPr>
        <rFont val="arial"/>
        <b/>
        <color rgb="FF0000FF"/>
        <sz val="8.0"/>
      </rPr>
      <t>-- /</t>
    </r>
    <r>
      <rPr>
        <rFont val="arial"/>
        <b/>
        <color rgb="FF00FF00"/>
        <sz val="8.0"/>
      </rPr>
      <t xml:space="preserve"> uU (s) B13</t>
    </r>
  </si>
  <si>
    <r>
      <rPr>
        <rFont val="arial"/>
        <b/>
        <color rgb="FF0000FF"/>
        <sz val="8.0"/>
      </rPr>
      <t xml:space="preserve"> </t>
    </r>
    <r>
      <rPr>
        <rFont val="arial"/>
        <b/>
        <color rgb="FF00FF00"/>
        <sz val="8.0"/>
      </rPr>
      <t xml:space="preserve">uU (s) B13 </t>
    </r>
    <r>
      <rPr>
        <rFont val="arial"/>
        <b/>
        <color rgb="FF0000FF"/>
        <sz val="8.0"/>
      </rPr>
      <t>/ --</t>
    </r>
  </si>
  <si>
    <t>IEM (s) B10 / --</t>
  </si>
  <si>
    <t>-- / IEM (s) B10</t>
  </si>
  <si>
    <t xml:space="preserve"> Pr. CEF 2 / CIA (s) B206b </t>
  </si>
  <si>
    <t>-- / 
  / APD1 (l)</t>
  </si>
  <si>
    <t>APD1 (l) / 
  / --</t>
  </si>
  <si>
    <r>
      <rPr>
        <rFont val="arial"/>
        <b/>
        <color rgb="FF7F6000"/>
        <sz val="8.0"/>
      </rPr>
      <t>TV(l) B223b</t>
    </r>
    <r>
      <rPr>
        <rFont val="arial"/>
        <b/>
        <color rgb="FFFF0000"/>
        <sz val="8.0"/>
      </rPr>
      <t xml:space="preserve"> /
/ IA (l) </t>
    </r>
  </si>
  <si>
    <r>
      <rPr>
        <rFont val="arial"/>
        <b/>
        <color rgb="FFFF0000"/>
        <sz val="8.0"/>
      </rPr>
      <t xml:space="preserve">IA (l) /
/ </t>
    </r>
    <r>
      <rPr>
        <rFont val="arial"/>
        <b/>
        <color rgb="FF7F6000"/>
        <sz val="8.0"/>
      </rPr>
      <t>TV(l) B223b</t>
    </r>
  </si>
  <si>
    <r>
      <rPr>
        <rFont val="arial"/>
        <b/>
        <color rgb="FF9900FF"/>
        <sz val="8.0"/>
      </rPr>
      <t xml:space="preserve">IEM(s) B218/ 
</t>
    </r>
    <r>
      <rPr>
        <rFont val="arial"/>
        <b/>
        <sz val="8.0"/>
      </rPr>
      <t>/ --</t>
    </r>
  </si>
  <si>
    <r>
      <rPr>
        <rFont val="arial, sans, sans-serif"/>
        <sz val="8.0"/>
      </rPr>
      <t xml:space="preserve">-- / 
/ </t>
    </r>
    <r>
      <rPr>
        <rFont val="arial, sans, sans-serif"/>
        <b/>
        <color rgb="FF9900FF"/>
        <sz val="8.0"/>
      </rPr>
      <t>IEM(l)</t>
    </r>
  </si>
  <si>
    <r>
      <rPr>
        <rFont val="arial"/>
        <b/>
        <color rgb="FF9900FF"/>
        <sz val="8.0"/>
      </rPr>
      <t xml:space="preserve">IEM(l) / 
</t>
    </r>
    <r>
      <rPr>
        <rFont val="arial"/>
        <b/>
        <sz val="8.0"/>
      </rPr>
      <t xml:space="preserve">/ </t>
    </r>
    <r>
      <rPr>
        <rFont val="arial"/>
        <b/>
        <color rgb="FF00FF00"/>
        <sz val="8.0"/>
      </rPr>
      <t>--</t>
    </r>
  </si>
  <si>
    <r>
      <rPr>
        <rFont val="arial"/>
        <b/>
        <color rgb="FF00FF00"/>
        <sz val="8.0"/>
      </rPr>
      <t xml:space="preserve">uU (l) </t>
    </r>
    <r>
      <rPr>
        <rFont val="arial"/>
        <b/>
        <sz val="8.0"/>
      </rPr>
      <t xml:space="preserve">/
/ </t>
    </r>
    <r>
      <rPr>
        <rFont val="arial"/>
        <b/>
        <color rgb="FF0000FF"/>
        <sz val="8.0"/>
      </rPr>
      <t>-</t>
    </r>
  </si>
  <si>
    <r>
      <rPr>
        <rFont val="arial"/>
        <b/>
        <color rgb="FF0000FF"/>
        <sz val="8.0"/>
      </rPr>
      <t>-</t>
    </r>
    <r>
      <rPr>
        <rFont val="arial"/>
        <b/>
        <sz val="8.0"/>
      </rPr>
      <t xml:space="preserve"> /
/ </t>
    </r>
    <r>
      <rPr>
        <rFont val="arial"/>
        <b/>
        <color rgb="FF00FF00"/>
        <sz val="8.0"/>
      </rPr>
      <t>uU (l)</t>
    </r>
  </si>
  <si>
    <t>CIA (s) B206b / --</t>
  </si>
  <si>
    <r>
      <rPr>
        <rFont val="arial"/>
        <b/>
        <color rgb="FF0000FF"/>
        <sz val="8.0"/>
      </rPr>
      <t xml:space="preserve">SS3 (s) B122 </t>
    </r>
    <r>
      <rPr>
        <rFont val="arial"/>
        <b/>
        <sz val="8.0"/>
      </rPr>
      <t>/ CIA (s) B218</t>
    </r>
  </si>
  <si>
    <t>Electronic measuring instrumentation - IEM (curs)
Prof. A. Paun</t>
  </si>
  <si>
    <t>Activitate didactică
facultativă</t>
  </si>
  <si>
    <t>--- /
/ Act. Săpt pară</t>
  </si>
  <si>
    <t>Structuri de Date si Algoritmi SDA (curs)
  Prof. M.G. Constantin</t>
  </si>
  <si>
    <t>Dispozitive Electronice DE (curs)
Prof. L. Dobrescu</t>
  </si>
  <si>
    <t xml:space="preserve">ALGAD (curs) / Fizică 1 (curs) 
prof. A. Petrescu-Niță /prof. C. Stan </t>
  </si>
  <si>
    <t>Componente si Circuite Pasive CCP (curs)
Prof. C. Marghescu</t>
  </si>
  <si>
    <t>Chimie (curs)
prof. D. Ioniță</t>
  </si>
  <si>
    <r>
      <rPr>
        <rFont val="arial"/>
        <b/>
        <color rgb="FFFF9900"/>
        <sz val="8.0"/>
      </rPr>
      <t xml:space="preserve">TTI (s) B218 </t>
    </r>
    <r>
      <rPr>
        <rFont val="arial"/>
        <b/>
        <color rgb="FF0000FF"/>
        <sz val="8.0"/>
      </rPr>
      <t xml:space="preserve"> /</t>
    </r>
    <r>
      <rPr>
        <rFont val="arial"/>
        <b/>
        <color rgb="FF00FF00"/>
        <sz val="8.0"/>
      </rPr>
      <t xml:space="preserve"> uU (s) A103</t>
    </r>
  </si>
  <si>
    <r>
      <rPr>
        <rFont val="arial"/>
        <b/>
        <color rgb="FF00FF00"/>
        <sz val="8.0"/>
      </rPr>
      <t xml:space="preserve">uU (s) A103 </t>
    </r>
    <r>
      <rPr>
        <rFont val="arial"/>
        <b/>
        <color rgb="FF000000"/>
        <sz val="8.0"/>
      </rPr>
      <t xml:space="preserve">/ </t>
    </r>
    <r>
      <rPr>
        <rFont val="arial"/>
        <b/>
        <color rgb="FFFF9900"/>
        <sz val="8.0"/>
      </rPr>
      <t>TTI (s) B218</t>
    </r>
  </si>
  <si>
    <r>
      <rPr>
        <rFont val="arial"/>
        <b/>
        <color rgb="FF00FF00"/>
        <sz val="8.0"/>
      </rPr>
      <t xml:space="preserve">uU (l) </t>
    </r>
    <r>
      <rPr>
        <rFont val="arial"/>
        <b/>
        <sz val="8.0"/>
      </rPr>
      <t xml:space="preserve">/
/ </t>
    </r>
    <r>
      <rPr>
        <rFont val="arial"/>
        <b/>
        <color rgb="FF0000FF"/>
        <sz val="8.0"/>
      </rPr>
      <t>-</t>
    </r>
  </si>
  <si>
    <r>
      <rPr>
        <rFont val="arial"/>
        <b/>
        <color rgb="FF0000FF"/>
        <sz val="8.0"/>
      </rPr>
      <t>-</t>
    </r>
    <r>
      <rPr>
        <rFont val="arial"/>
        <b/>
        <sz val="8.0"/>
      </rPr>
      <t xml:space="preserve"> /
/ </t>
    </r>
    <r>
      <rPr>
        <rFont val="arial"/>
        <b/>
        <color rgb="FF00FF00"/>
        <sz val="8.0"/>
      </rPr>
      <t>uU (l)</t>
    </r>
  </si>
  <si>
    <r>
      <rPr>
        <rFont val="arial"/>
        <b/>
        <color rgb="FF0000FF"/>
        <sz val="8.0"/>
      </rPr>
      <t>SS3 (l)</t>
    </r>
    <r>
      <rPr>
        <rFont val="arial"/>
        <b/>
        <color rgb="FFFF0000"/>
        <sz val="8.0"/>
      </rPr>
      <t xml:space="preserve"> /
/ -</t>
    </r>
  </si>
  <si>
    <r>
      <rPr>
        <rFont val="arial"/>
        <b/>
        <color rgb="FFFF0000"/>
        <sz val="8.0"/>
      </rPr>
      <t xml:space="preserve">-- /
/ </t>
    </r>
    <r>
      <rPr>
        <rFont val="arial"/>
        <b/>
        <color rgb="FF0000FF"/>
        <sz val="8.0"/>
      </rPr>
      <t>SS3 (l)</t>
    </r>
  </si>
  <si>
    <r>
      <rPr>
        <rFont val="arial"/>
        <b/>
        <color rgb="FF7F6000"/>
        <sz val="8.0"/>
      </rPr>
      <t>TV(l)</t>
    </r>
    <r>
      <rPr>
        <rFont val="arial"/>
        <b/>
        <color rgb="FFFF0000"/>
        <sz val="8.0"/>
      </rPr>
      <t xml:space="preserve"> </t>
    </r>
    <r>
      <rPr>
        <rFont val="arial"/>
        <b/>
        <color rgb="FF7F6000"/>
        <sz val="8.0"/>
      </rPr>
      <t>B223b</t>
    </r>
    <r>
      <rPr>
        <rFont val="arial"/>
        <b/>
        <color rgb="FFFF0000"/>
        <sz val="8.0"/>
      </rPr>
      <t xml:space="preserve">/
/ IA (l) </t>
    </r>
  </si>
  <si>
    <r>
      <rPr>
        <rFont val="arial"/>
        <b/>
        <color rgb="FFFF0000"/>
        <sz val="8.0"/>
      </rPr>
      <t xml:space="preserve">IA (l) /
/ </t>
    </r>
    <r>
      <rPr>
        <rFont val="arial"/>
        <b/>
        <color rgb="FF7F6000"/>
        <sz val="8.0"/>
      </rPr>
      <t xml:space="preserve">TV(l) </t>
    </r>
    <r>
      <rPr>
        <rFont val="arial"/>
        <b/>
        <color rgb="FF7F6000"/>
        <sz val="8.0"/>
      </rPr>
      <t>B223b</t>
    </r>
  </si>
  <si>
    <t xml:space="preserve">-- / CIA (s) B206b </t>
  </si>
  <si>
    <r>
      <rPr>
        <rFont val="arial"/>
        <color rgb="FF008000"/>
        <sz val="8.0"/>
      </rPr>
      <t>TTI (l)</t>
    </r>
    <r>
      <rPr>
        <rFont val="arial"/>
        <color rgb="FF008000"/>
        <sz val="8.0"/>
      </rPr>
      <t xml:space="preserve"> /
/ CIA (l)</t>
    </r>
  </si>
  <si>
    <r>
      <rPr>
        <rFont val="arial"/>
        <b/>
        <color rgb="FFFF0000"/>
        <sz val="8.0"/>
      </rPr>
      <t>TTI (s) B236</t>
    </r>
    <r>
      <rPr>
        <rFont val="arial"/>
        <b/>
        <color rgb="FF9900FF"/>
        <sz val="8.0"/>
      </rPr>
      <t xml:space="preserve"> / 
</t>
    </r>
    <r>
      <rPr>
        <rFont val="arial"/>
        <b/>
        <sz val="8.0"/>
      </rPr>
      <t xml:space="preserve">/ </t>
    </r>
    <r>
      <rPr>
        <rFont val="arial"/>
        <b/>
        <color rgb="FF00FF00"/>
        <sz val="8.0"/>
      </rPr>
      <t>uU (s) B13</t>
    </r>
  </si>
  <si>
    <r>
      <rPr>
        <rFont val="arial"/>
        <b/>
        <color rgb="FF00FF00"/>
        <sz val="8.0"/>
      </rPr>
      <t xml:space="preserve">uU (s) B13 </t>
    </r>
    <r>
      <rPr>
        <rFont val="arial"/>
        <sz val="8.0"/>
      </rPr>
      <t xml:space="preserve">/
/ </t>
    </r>
    <r>
      <rPr>
        <rFont val="arial"/>
        <b/>
        <color rgb="FF9900FF"/>
        <sz val="8.0"/>
      </rPr>
      <t xml:space="preserve">IEM(l) </t>
    </r>
  </si>
  <si>
    <r>
      <rPr>
        <rFont val="arial"/>
        <b/>
        <color rgb="FF9900FF"/>
        <sz val="8.0"/>
      </rPr>
      <t xml:space="preserve">IEM(l) / </t>
    </r>
    <r>
      <rPr>
        <rFont val="arial"/>
        <b/>
        <color rgb="FFFF0000"/>
        <sz val="8.0"/>
      </rPr>
      <t>TTI (s) B236</t>
    </r>
  </si>
  <si>
    <t>PCLP1 (l)
B322</t>
  </si>
  <si>
    <r>
      <rPr>
        <rFont val="arial"/>
        <b/>
        <sz val="8.0"/>
      </rPr>
      <t xml:space="preserve">CIA (l) /
/ </t>
    </r>
    <r>
      <rPr>
        <rFont val="arial"/>
        <b/>
        <color rgb="FFFF9900"/>
        <sz val="8.0"/>
      </rPr>
      <t>--</t>
    </r>
  </si>
  <si>
    <r>
      <rPr>
        <rFont val="arial"/>
        <b/>
        <color rgb="FFFF9900"/>
        <sz val="8.0"/>
      </rPr>
      <t xml:space="preserve">-- </t>
    </r>
    <r>
      <rPr>
        <rFont val="arial"/>
        <b/>
        <sz val="8.0"/>
      </rPr>
      <t xml:space="preserve">/
/ </t>
    </r>
    <r>
      <rPr>
        <rFont val="arial"/>
        <b/>
        <sz val="8.0"/>
      </rPr>
      <t>CIA (l)</t>
    </r>
  </si>
  <si>
    <t>Programarea Calculatoarelor și Limbaje de Programare 1 - PCLP1 (curs)
prof. C. Bîra</t>
  </si>
  <si>
    <r>
      <rPr>
        <rFont val="arial"/>
        <b/>
        <color rgb="FF00FF00"/>
        <sz val="8.0"/>
      </rPr>
      <t xml:space="preserve">uU (l) </t>
    </r>
    <r>
      <rPr>
        <rFont val="arial"/>
        <b/>
        <sz val="8.0"/>
      </rPr>
      <t xml:space="preserve">/
/ </t>
    </r>
    <r>
      <rPr>
        <rFont val="arial"/>
        <b/>
        <color rgb="FF0000FF"/>
        <sz val="8.0"/>
      </rPr>
      <t>-</t>
    </r>
  </si>
  <si>
    <t>Algebră Liniară, Geometrie Analitică și Diferențială - ALGAD (curs)
prof. I. Badralexi</t>
  </si>
  <si>
    <r>
      <rPr>
        <rFont val="arial"/>
        <b/>
        <color rgb="FF0000FF"/>
        <sz val="8.0"/>
      </rPr>
      <t>-</t>
    </r>
    <r>
      <rPr>
        <rFont val="arial"/>
        <b/>
        <sz val="8.0"/>
      </rPr>
      <t xml:space="preserve"> /
/ </t>
    </r>
    <r>
      <rPr>
        <rFont val="arial"/>
        <b/>
        <color rgb="FF00FF00"/>
        <sz val="8.0"/>
      </rPr>
      <t>uU (l)</t>
    </r>
  </si>
  <si>
    <t>CIA (s) A101 / --</t>
  </si>
  <si>
    <t>Pr. CEF 2 / --</t>
  </si>
  <si>
    <t>--/ Circuite integrate analogice (curs) Prof. C. Dan</t>
  </si>
  <si>
    <t>Information transmission theory - TTI (curs)
Prof. D. Stoichescu</t>
  </si>
  <si>
    <t>ALGAD (s) / AM (s)
B12</t>
  </si>
  <si>
    <r>
      <rPr>
        <rFont val="arial"/>
        <b/>
        <color rgb="FF9900FF"/>
        <sz val="8.0"/>
      </rPr>
      <t xml:space="preserve">MEST (l) </t>
    </r>
    <r>
      <rPr>
        <rFont val="arial"/>
        <b/>
        <sz val="8.0"/>
      </rPr>
      <t xml:space="preserve"> / </t>
    </r>
    <r>
      <rPr>
        <rFont val="arial"/>
        <b/>
        <color rgb="FFFF9900"/>
        <sz val="8.0"/>
      </rPr>
      <t>--</t>
    </r>
  </si>
  <si>
    <t>Sali laboratoare</t>
  </si>
  <si>
    <t>Arhitectura Microprocesoarelor 1 AMP1 (curs)
Prof. G. Nicolae</t>
  </si>
  <si>
    <r>
      <rPr>
        <rFont val="arial"/>
        <b/>
        <color rgb="FF00FF00"/>
        <sz val="8.0"/>
      </rPr>
      <t xml:space="preserve">uU (s) B13 </t>
    </r>
    <r>
      <rPr>
        <rFont val="arial"/>
        <sz val="8.0"/>
      </rPr>
      <t xml:space="preserve">/
/ </t>
    </r>
    <r>
      <rPr>
        <rFont val="arial"/>
        <b/>
        <color rgb="FF9900FF"/>
        <sz val="8.0"/>
      </rPr>
      <t>--</t>
    </r>
  </si>
  <si>
    <r>
      <rPr>
        <rFont val="arial"/>
        <b/>
        <color rgb="FF9900FF"/>
        <sz val="8.0"/>
      </rPr>
      <t xml:space="preserve">-- / </t>
    </r>
    <r>
      <rPr>
        <rFont val="arial"/>
        <b/>
        <color rgb="FFFF0000"/>
        <sz val="8.0"/>
      </rPr>
      <t>TTI (s) B236</t>
    </r>
  </si>
  <si>
    <t>Componente si Circuite Pasive CCP (curs)
Prof. M. Moise</t>
  </si>
  <si>
    <r>
      <rPr>
        <rFont val="arial"/>
        <b/>
        <color rgb="FF000000"/>
        <sz val="8.0"/>
      </rPr>
      <t xml:space="preserve">Pr. CEF 2 / </t>
    </r>
    <r>
      <rPr>
        <rFont val="arial"/>
        <b/>
        <color rgb="FF9900FF"/>
        <sz val="8.0"/>
      </rPr>
      <t>IEM (l)</t>
    </r>
  </si>
  <si>
    <t>Disciplina</t>
  </si>
  <si>
    <t>Seriile</t>
  </si>
  <si>
    <t>Fizică</t>
  </si>
  <si>
    <t>A-G</t>
  </si>
  <si>
    <r>
      <rPr>
        <rFont val="arial"/>
        <b/>
        <color rgb="FF00FF00"/>
        <sz val="8.0"/>
      </rPr>
      <t>uU (l)</t>
    </r>
    <r>
      <rPr>
        <rFont val="arial"/>
        <b/>
        <color rgb="FFFF0000"/>
        <sz val="8.0"/>
      </rPr>
      <t xml:space="preserve"> /
/ </t>
    </r>
  </si>
  <si>
    <t>BN121</t>
  </si>
  <si>
    <t>Structuri de Date si Algoritmi SDA (curs)
Prof. R. Lupu</t>
  </si>
  <si>
    <r>
      <rPr>
        <rFont val="arial"/>
        <b/>
        <color rgb="FFFF0000"/>
        <sz val="8.0"/>
      </rPr>
      <t xml:space="preserve"> /
/</t>
    </r>
    <r>
      <rPr>
        <rFont val="arial"/>
        <b/>
        <color rgb="FF00FF00"/>
        <sz val="8.0"/>
      </rPr>
      <t xml:space="preserve"> uU (l)</t>
    </r>
  </si>
  <si>
    <t>Chimie</t>
  </si>
  <si>
    <t>L026 (Polizu)</t>
  </si>
  <si>
    <r>
      <rPr>
        <rFont val="arial"/>
        <b/>
        <sz val="8.0"/>
      </rPr>
      <t xml:space="preserve"> </t>
    </r>
    <r>
      <rPr>
        <rFont val="arial"/>
        <b/>
        <color rgb="FF9900FF"/>
        <sz val="8.0"/>
      </rPr>
      <t xml:space="preserve">MEST (l) / </t>
    </r>
    <r>
      <rPr>
        <rFont val="arial"/>
        <b/>
        <color rgb="FFFF9900"/>
        <sz val="8.0"/>
      </rPr>
      <t>TTI (s) B218</t>
    </r>
  </si>
  <si>
    <t>Programarea Calculatoarelor și Limbaje de Programare 1 (PCLP1)</t>
  </si>
  <si>
    <r>
      <rPr>
        <rFont val="arial"/>
        <b/>
        <color rgb="FFFF9900"/>
        <sz val="8.0"/>
      </rPr>
      <t xml:space="preserve">TTI (s) </t>
    </r>
    <r>
      <rPr>
        <rFont val="arial"/>
        <b/>
        <color rgb="FFFF0000"/>
        <sz val="8.0"/>
      </rPr>
      <t>B218</t>
    </r>
    <r>
      <rPr>
        <rFont val="arial"/>
        <b/>
        <color rgb="FFFF9900"/>
        <sz val="8.0"/>
      </rPr>
      <t xml:space="preserve"> </t>
    </r>
    <r>
      <rPr>
        <rFont val="arial"/>
        <b/>
        <sz val="8.0"/>
      </rPr>
      <t>/ --</t>
    </r>
  </si>
  <si>
    <t>A</t>
  </si>
  <si>
    <t>Sala 1 Calculatoare</t>
  </si>
  <si>
    <r>
      <rPr>
        <rFont val="arial"/>
        <b/>
        <color rgb="FF7F6000"/>
        <sz val="8.0"/>
      </rPr>
      <t>TV(l) B223b</t>
    </r>
    <r>
      <rPr>
        <rFont val="arial"/>
        <b/>
        <color rgb="FFFF0000"/>
        <sz val="8.0"/>
      </rPr>
      <t xml:space="preserve"> /
/ -</t>
    </r>
  </si>
  <si>
    <t>411Ba, 413Bb, 414B</t>
  </si>
  <si>
    <r>
      <rPr>
        <rFont val="arial"/>
        <b/>
        <color rgb="FFFF0000"/>
        <sz val="8.0"/>
      </rPr>
      <t xml:space="preserve">- /
/ </t>
    </r>
    <r>
      <rPr>
        <rFont val="arial"/>
        <b/>
        <color rgb="FF7F6000"/>
        <sz val="8.0"/>
      </rPr>
      <t>TV(l) B223b</t>
    </r>
  </si>
  <si>
    <t>B234</t>
  </si>
  <si>
    <r>
      <rPr>
        <rFont val="arial"/>
        <b/>
        <color rgb="FF0000FF"/>
        <sz val="8.0"/>
      </rPr>
      <t>SS3 (l)</t>
    </r>
    <r>
      <rPr>
        <rFont val="arial"/>
        <b/>
        <color rgb="FFFF0000"/>
        <sz val="8.0"/>
      </rPr>
      <t xml:space="preserve"> /
/ </t>
    </r>
    <r>
      <rPr>
        <rFont val="arial"/>
        <b/>
        <color rgb="FF9900FF"/>
        <sz val="8.0"/>
      </rPr>
      <t xml:space="preserve"> --</t>
    </r>
  </si>
  <si>
    <t>412B, 413Ba</t>
  </si>
  <si>
    <r>
      <rPr>
        <rFont val="arial"/>
        <b/>
        <color rgb="FF9900FF"/>
        <sz val="8.0"/>
      </rPr>
      <t>--</t>
    </r>
    <r>
      <rPr>
        <rFont val="arial"/>
        <b/>
        <color rgb="FFFF0000"/>
        <sz val="8.0"/>
      </rPr>
      <t xml:space="preserve"> /
/ </t>
    </r>
    <r>
      <rPr>
        <rFont val="arial"/>
        <b/>
        <color rgb="FF0000FF"/>
        <sz val="8.0"/>
      </rPr>
      <t>SS3 (l)</t>
    </r>
  </si>
  <si>
    <r>
      <rPr>
        <rFont val="arial"/>
        <b/>
        <sz val="8.0"/>
      </rPr>
      <t xml:space="preserve">CIA (l) /
/ </t>
    </r>
    <r>
      <rPr>
        <rFont val="arial"/>
        <b/>
        <color rgb="FFFF9900"/>
        <sz val="8.0"/>
      </rPr>
      <t>--</t>
    </r>
  </si>
  <si>
    <t>B322</t>
  </si>
  <si>
    <r>
      <rPr>
        <rFont val="arial"/>
        <b/>
        <color rgb="FFFF9900"/>
        <sz val="8.0"/>
      </rPr>
      <t xml:space="preserve">-- </t>
    </r>
    <r>
      <rPr>
        <rFont val="arial"/>
        <b/>
        <sz val="8.0"/>
      </rPr>
      <t xml:space="preserve">/
/ </t>
    </r>
    <r>
      <rPr>
        <rFont val="arial"/>
        <b/>
        <sz val="8.0"/>
      </rPr>
      <t>CIA (l)</t>
    </r>
  </si>
  <si>
    <t>C</t>
  </si>
  <si>
    <t>A413, A415</t>
  </si>
  <si>
    <t>-- / IEM (s)  A103</t>
  </si>
  <si>
    <t>D</t>
  </si>
  <si>
    <t>Sala Calculatoare 1, 2</t>
  </si>
  <si>
    <t>uU (l) /
/ --</t>
  </si>
  <si>
    <t>411E, 413E</t>
  </si>
  <si>
    <t>CIA (s) A05 / --</t>
  </si>
  <si>
    <t>Sala Calculatoare 1</t>
  </si>
  <si>
    <r>
      <rPr>
        <rFont val="arial"/>
        <b/>
        <color rgb="FF9900FF"/>
        <sz val="8.0"/>
      </rPr>
      <t xml:space="preserve">IEM(s) B13 </t>
    </r>
    <r>
      <rPr>
        <rFont val="arial"/>
        <b/>
        <sz val="8.0"/>
      </rPr>
      <t xml:space="preserve">/ </t>
    </r>
    <r>
      <rPr>
        <rFont val="arial"/>
        <b/>
        <color rgb="FFFF0000"/>
        <sz val="8.0"/>
      </rPr>
      <t>TTI (s) B236</t>
    </r>
  </si>
  <si>
    <t>412E, 414E</t>
  </si>
  <si>
    <t>B307</t>
  </si>
  <si>
    <r>
      <rPr>
        <rFont val="arial"/>
        <b/>
        <color rgb="FF00FF00"/>
        <sz val="8.0"/>
      </rPr>
      <t>uU (s) B206b</t>
    </r>
    <r>
      <rPr>
        <rFont val="arial"/>
        <b/>
        <sz val="8.0"/>
      </rPr>
      <t xml:space="preserve"> / CIA (s) A05</t>
    </r>
  </si>
  <si>
    <t>F</t>
  </si>
  <si>
    <r>
      <rPr>
        <rFont val="arial"/>
        <b/>
        <color rgb="FFFF0000"/>
        <sz val="8.0"/>
      </rPr>
      <t>TTI (s) B236</t>
    </r>
    <r>
      <rPr>
        <rFont val="arial"/>
        <b/>
        <color rgb="FF00FF00"/>
        <sz val="8.0"/>
      </rPr>
      <t xml:space="preserve"> / uU (s) B206b </t>
    </r>
    <r>
      <rPr>
        <rFont val="arial"/>
        <b/>
        <sz val="8.0"/>
      </rPr>
      <t xml:space="preserve"> </t>
    </r>
  </si>
  <si>
    <t>G</t>
  </si>
  <si>
    <r>
      <rPr>
        <rFont val="arial"/>
        <b/>
        <sz val="8.0"/>
      </rPr>
      <t xml:space="preserve">Pr. CEF 2 / </t>
    </r>
    <r>
      <rPr>
        <rFont val="arial"/>
        <b/>
        <color rgb="FF0000FF"/>
        <sz val="8.0"/>
      </rPr>
      <t>SS3 (s) B13</t>
    </r>
  </si>
  <si>
    <t>-- / Pr. CEF 2</t>
  </si>
  <si>
    <r>
      <rPr>
        <rFont val="arial"/>
        <b/>
        <color rgb="FF0000FF"/>
        <sz val="8.0"/>
      </rPr>
      <t xml:space="preserve">-- / </t>
    </r>
    <r>
      <rPr>
        <rFont val="arial"/>
        <b/>
        <color rgb="FF9900FF"/>
        <sz val="8.0"/>
      </rPr>
      <t>IEM (l)</t>
    </r>
  </si>
  <si>
    <t>Discipline facultative (liber alese)</t>
  </si>
  <si>
    <t>Microunde (curs)
Prof. A. Anghel</t>
  </si>
  <si>
    <t>Ziua si ora</t>
  </si>
  <si>
    <t>Analog Integrated Circuits - CIA (curs) Prof.  F. Dumitru /
/ Microwaves - uU (curs) Prof. I. Mocanu</t>
  </si>
  <si>
    <t>Psihologia Educației (curs)</t>
  </si>
  <si>
    <t>Marti 13-15</t>
  </si>
  <si>
    <t>prof. S. Neagu</t>
  </si>
  <si>
    <t>Activitatile la disciplina Psihologia Educatiei incep din saptamana a 2a</t>
  </si>
  <si>
    <t>Marti 15-17</t>
  </si>
  <si>
    <t>AM (curs) / Elth1 (curs) 
prof. R. Purnichescu / prof. M. Vasilescu</t>
  </si>
  <si>
    <t>Psihologia Educației (seminar)</t>
  </si>
  <si>
    <t>Miercuri 15-17</t>
  </si>
  <si>
    <t>prof. R. Baba</t>
  </si>
  <si>
    <t>Miercuri 17-19</t>
  </si>
  <si>
    <t xml:space="preserve"> Algebră Liniară, Geometrie Analitică și Diferențială - ALGAD (curs)
prof. M. Cimpoeaș</t>
  </si>
  <si>
    <t>Miercuri 19-21</t>
  </si>
  <si>
    <t>Joi 15-17</t>
  </si>
  <si>
    <r>
      <rPr>
        <rFont val="arial"/>
        <b/>
        <color rgb="FF008000"/>
        <sz val="8.0"/>
      </rPr>
      <t xml:space="preserve">BE1 (curs) / </t>
    </r>
    <r>
      <rPr>
        <rFont val="arial"/>
        <b/>
        <color rgb="FF008000"/>
        <sz val="8.0"/>
      </rPr>
      <t xml:space="preserve">-- </t>
    </r>
    <r>
      <rPr>
        <rFont val="arial"/>
        <b/>
        <color rgb="FF008000"/>
        <sz val="8.0"/>
      </rPr>
      <t xml:space="preserve">
prof. M. Vasilescu / --</t>
    </r>
  </si>
  <si>
    <t>Joi 17-19</t>
  </si>
  <si>
    <t>prof. C. Ciocazanu</t>
  </si>
  <si>
    <t>AM (s) / ALGAD (s)
B12</t>
  </si>
  <si>
    <t>Vineri 15-17</t>
  </si>
  <si>
    <t>Vineri 17-19</t>
  </si>
  <si>
    <t>Vineri 19-21</t>
  </si>
  <si>
    <t>Fizică - noțiuni fundamentale (curs)</t>
  </si>
  <si>
    <r>
      <rPr>
        <rFont val="arial"/>
        <b/>
        <color rgb="FF00FF00"/>
        <sz val="8.0"/>
      </rPr>
      <t xml:space="preserve">uU (l) </t>
    </r>
    <r>
      <rPr>
        <rFont val="arial"/>
        <b/>
        <sz val="8.0"/>
      </rPr>
      <t xml:space="preserve">/
/ </t>
    </r>
    <r>
      <rPr>
        <rFont val="arial"/>
        <b/>
        <color rgb="FF0000FF"/>
        <sz val="8.0"/>
      </rPr>
      <t>-</t>
    </r>
  </si>
  <si>
    <r>
      <rPr>
        <rFont val="arial"/>
        <b/>
        <color rgb="FF0000FF"/>
        <sz val="8.0"/>
      </rPr>
      <t>-</t>
    </r>
    <r>
      <rPr>
        <rFont val="arial"/>
        <b/>
        <sz val="8.0"/>
      </rPr>
      <t xml:space="preserve"> /
/ </t>
    </r>
    <r>
      <rPr>
        <rFont val="arial"/>
        <b/>
        <color rgb="FF00FF00"/>
        <sz val="8.0"/>
      </rPr>
      <t>uU (l)</t>
    </r>
  </si>
  <si>
    <t>prof. C.CIRTOAJE</t>
  </si>
  <si>
    <t>Cursul incepe din saptamana a 2-a</t>
  </si>
  <si>
    <r>
      <rPr>
        <rFont val="arial"/>
        <b/>
        <sz val="8.0"/>
      </rPr>
      <t xml:space="preserve">CIA (l) /
/ </t>
    </r>
    <r>
      <rPr>
        <rFont val="arial"/>
        <b/>
        <color rgb="FFFF9900"/>
        <sz val="8.0"/>
      </rPr>
      <t>--</t>
    </r>
  </si>
  <si>
    <r>
      <rPr>
        <rFont val="arial"/>
        <b/>
        <color rgb="FFFF9900"/>
        <sz val="8.0"/>
      </rPr>
      <t xml:space="preserve">-- </t>
    </r>
    <r>
      <rPr>
        <rFont val="arial"/>
        <b/>
        <sz val="8.0"/>
      </rPr>
      <t xml:space="preserve">/
/ </t>
    </r>
    <r>
      <rPr>
        <rFont val="arial"/>
        <b/>
        <sz val="8.0"/>
      </rPr>
      <t>CIA (l)</t>
    </r>
  </si>
  <si>
    <t>IEM (s) B312 / --</t>
  </si>
  <si>
    <t xml:space="preserve">-- / IEM (s) B312 </t>
  </si>
  <si>
    <t>FC. Pedagogie 1 (curs) - 4 predari
dintre care studentii vor alege doar un curs săptamânal</t>
  </si>
  <si>
    <r>
      <rPr>
        <rFont val="arial"/>
        <b/>
        <color rgb="FF7F6000"/>
        <sz val="8.0"/>
      </rPr>
      <t>TV(l) B223b</t>
    </r>
    <r>
      <rPr>
        <rFont val="arial"/>
        <b/>
        <color rgb="FFFF0000"/>
        <sz val="8.0"/>
      </rPr>
      <t xml:space="preserve"> /
/ -</t>
    </r>
  </si>
  <si>
    <t>A,B,C,D,E,F,G (Prof. Bălănescu Ramona)</t>
  </si>
  <si>
    <r>
      <rPr>
        <rFont val="arial"/>
        <b/>
        <color rgb="FF0000FF"/>
        <sz val="8.0"/>
      </rPr>
      <t>--</t>
    </r>
    <r>
      <rPr>
        <rFont val="arial"/>
        <b/>
        <color rgb="FFFF0000"/>
        <sz val="8.0"/>
      </rPr>
      <t xml:space="preserve"> /
/ </t>
    </r>
    <r>
      <rPr>
        <rFont val="arial"/>
        <b/>
        <color rgb="FF7F6000"/>
        <sz val="8.0"/>
      </rPr>
      <t>TV(l) B223b</t>
    </r>
  </si>
  <si>
    <t>Marti 17-19</t>
  </si>
  <si>
    <t>IEM (s) B312  / --</t>
  </si>
  <si>
    <r>
      <rPr>
        <rFont val="arial"/>
        <b/>
        <color rgb="FF0000FF"/>
        <sz val="8.0"/>
      </rPr>
      <t>--</t>
    </r>
    <r>
      <rPr>
        <rFont val="arial"/>
        <b/>
        <color rgb="FF9900FF"/>
        <sz val="8.0"/>
      </rPr>
      <t xml:space="preserve"> / IEM (s) B312 </t>
    </r>
  </si>
  <si>
    <r>
      <rPr>
        <rFont val="arial"/>
        <b/>
        <color rgb="FF000000"/>
        <sz val="8.0"/>
      </rPr>
      <t xml:space="preserve">Pr. CEF 2 / </t>
    </r>
    <r>
      <rPr>
        <rFont val="arial"/>
        <b/>
        <color rgb="FF0000FF"/>
        <sz val="8.0"/>
      </rPr>
      <t>SS3 (s) B13</t>
    </r>
  </si>
  <si>
    <t>A,B,C,D,E,F,G (Prof. Dogaru Mariana)</t>
  </si>
  <si>
    <r>
      <rPr>
        <rFont val="arial"/>
        <b/>
        <sz val="8.0"/>
      </rPr>
      <t xml:space="preserve">CIA (s) B13 </t>
    </r>
    <r>
      <rPr>
        <rFont val="arial"/>
        <b/>
        <color rgb="FF9900FF"/>
        <sz val="8.0"/>
      </rPr>
      <t>/ --</t>
    </r>
    <r>
      <rPr>
        <rFont val="arial"/>
        <b/>
        <sz val="8.0"/>
      </rPr>
      <t xml:space="preserve">
</t>
    </r>
  </si>
  <si>
    <t>Luni 17-19</t>
  </si>
  <si>
    <r>
      <rPr>
        <rFont val="arial"/>
        <b/>
        <color rgb="FF9900FF"/>
        <sz val="8.0"/>
      </rPr>
      <t xml:space="preserve"> IEM(s) B218 / </t>
    </r>
    <r>
      <rPr>
        <rFont val="arial"/>
        <b/>
        <sz val="8.0"/>
      </rPr>
      <t>CIA (s) B218</t>
    </r>
  </si>
  <si>
    <t>FC. Pedagogie 1 (seminar) - 13 predari
dintre care studentii vor alege doar un seminar săptamânal</t>
  </si>
  <si>
    <t>Prof. Bălănescu Ramona</t>
  </si>
  <si>
    <r>
      <rPr>
        <rFont val="arial"/>
        <b/>
        <color rgb="FF000000"/>
        <sz val="8.0"/>
      </rPr>
      <t>-- /
/</t>
    </r>
    <r>
      <rPr>
        <rFont val="arial"/>
        <b/>
        <color rgb="FFFF9900"/>
        <sz val="8.0"/>
      </rPr>
      <t>TTI (l)</t>
    </r>
  </si>
  <si>
    <r>
      <rPr>
        <rFont val="arial"/>
        <b/>
        <color rgb="FFFF9900"/>
        <sz val="8.0"/>
      </rPr>
      <t>TTI (l)</t>
    </r>
    <r>
      <rPr>
        <rFont val="arial"/>
        <b/>
        <color rgb="FF000000"/>
        <sz val="8.0"/>
      </rPr>
      <t xml:space="preserve"> /
/ --</t>
    </r>
  </si>
  <si>
    <t>Prof. Dogaru Mariana</t>
  </si>
  <si>
    <t>Luni 19-21</t>
  </si>
  <si>
    <r>
      <rPr>
        <rFont val="arial"/>
        <b/>
        <color rgb="FF0000FF"/>
        <sz val="8.0"/>
      </rPr>
      <t>SS3 (l)</t>
    </r>
    <r>
      <rPr>
        <rFont val="arial"/>
        <b/>
        <color rgb="FFFF0000"/>
        <sz val="8.0"/>
      </rPr>
      <t xml:space="preserve"> /
/ -</t>
    </r>
  </si>
  <si>
    <r>
      <rPr>
        <rFont val="arial"/>
        <b/>
        <color rgb="FFFF0000"/>
        <sz val="8.0"/>
      </rPr>
      <t xml:space="preserve">-- /
/ </t>
    </r>
    <r>
      <rPr>
        <rFont val="arial"/>
        <b/>
        <color rgb="FF0000FF"/>
        <sz val="8.0"/>
      </rPr>
      <t>SS3 (l)</t>
    </r>
  </si>
  <si>
    <t>Joi 19-21</t>
  </si>
  <si>
    <r>
      <rPr>
        <rFont val="arial"/>
        <b/>
        <color rgb="FF00FF00"/>
        <sz val="8.0"/>
      </rPr>
      <t xml:space="preserve">uU (l) </t>
    </r>
    <r>
      <rPr>
        <rFont val="arial"/>
        <b/>
        <color rgb="FF000000"/>
        <sz val="8.0"/>
      </rPr>
      <t xml:space="preserve">/
/ </t>
    </r>
    <r>
      <rPr>
        <rFont val="arial"/>
        <b/>
        <color rgb="FF0000FF"/>
        <sz val="8.0"/>
      </rPr>
      <t>--</t>
    </r>
  </si>
  <si>
    <r>
      <rPr>
        <rFont val="arial"/>
        <b/>
        <color rgb="FF0000FF"/>
        <sz val="8.0"/>
      </rPr>
      <t xml:space="preserve">-- </t>
    </r>
    <r>
      <rPr>
        <rFont val="arial"/>
        <b/>
        <color rgb="FF000000"/>
        <sz val="8.0"/>
      </rPr>
      <t xml:space="preserve">/
/ </t>
    </r>
    <r>
      <rPr>
        <rFont val="arial"/>
        <b/>
        <color rgb="FF00FF00"/>
        <sz val="8.0"/>
      </rPr>
      <t>uU (l)</t>
    </r>
  </si>
  <si>
    <t>Vieriu Aniella</t>
  </si>
  <si>
    <t>Luni 15-17</t>
  </si>
  <si>
    <t>Marti 19-21</t>
  </si>
  <si>
    <t>--- /
/ uU (l)</t>
  </si>
  <si>
    <t>Alte anunturi</t>
  </si>
  <si>
    <t>Laboratoare optionale</t>
  </si>
  <si>
    <t>Grupele</t>
  </si>
  <si>
    <t>O1. Grafica inginereasca</t>
  </si>
  <si>
    <t>411D, 412D</t>
  </si>
  <si>
    <t xml:space="preserve">-- / O2 TCAD pentru electronica (c) A103 
-- / </t>
  </si>
  <si>
    <t>Impar Marti 9-11</t>
  </si>
  <si>
    <t>413D, 414D</t>
  </si>
  <si>
    <t>Par Marti 9-11</t>
  </si>
  <si>
    <t>sport / TCAD (c)</t>
  </si>
  <si>
    <t>414B, 414F</t>
  </si>
  <si>
    <t>Impar Marti 11-13</t>
  </si>
  <si>
    <t>412B, 412F</t>
  </si>
  <si>
    <t>Par Marti 11-13</t>
  </si>
  <si>
    <t>411C, 411E</t>
  </si>
  <si>
    <t>Impar Marti 13-15</t>
  </si>
  <si>
    <r>
      <rPr>
        <rFont val="arial"/>
        <b/>
        <color rgb="FF00FF00"/>
        <sz val="8.0"/>
      </rPr>
      <t xml:space="preserve">uU (l) </t>
    </r>
    <r>
      <rPr>
        <rFont val="arial"/>
        <b/>
        <sz val="8.0"/>
      </rPr>
      <t xml:space="preserve">/
/ </t>
    </r>
    <r>
      <rPr>
        <rFont val="arial"/>
        <b/>
        <color rgb="FF0000FF"/>
        <sz val="8.0"/>
      </rPr>
      <t>-</t>
    </r>
  </si>
  <si>
    <t>413C, 413E</t>
  </si>
  <si>
    <t>Par Marti 13-15</t>
  </si>
  <si>
    <r>
      <rPr>
        <rFont val="arial"/>
        <b/>
        <color rgb="FF0000FF"/>
        <sz val="8.0"/>
      </rPr>
      <t>-</t>
    </r>
    <r>
      <rPr>
        <rFont val="arial"/>
        <b/>
        <sz val="8.0"/>
      </rPr>
      <t xml:space="preserve"> /
/ </t>
    </r>
    <r>
      <rPr>
        <rFont val="arial"/>
        <b/>
        <color rgb="FF00FF00"/>
        <sz val="8.0"/>
      </rPr>
      <t>uU (l)</t>
    </r>
  </si>
  <si>
    <t xml:space="preserve">DE (s)
B219b	
	</t>
  </si>
  <si>
    <t>411A, 412A, 414C</t>
  </si>
  <si>
    <t>Impar Marti 15-17</t>
  </si>
  <si>
    <t>413A, 414A, 412C</t>
  </si>
  <si>
    <t>Par Marti 15-17</t>
  </si>
  <si>
    <t>411B, 414E</t>
  </si>
  <si>
    <t>Impar Joi 9-11</t>
  </si>
  <si>
    <t>413B</t>
  </si>
  <si>
    <t>Par Joi 9-11</t>
  </si>
  <si>
    <t>412E, 413F</t>
  </si>
  <si>
    <t>Impar Joi 11-13</t>
  </si>
  <si>
    <t>411F</t>
  </si>
  <si>
    <t>Par Joi 11-13</t>
  </si>
  <si>
    <t>-- / Python (p)</t>
  </si>
  <si>
    <r>
      <rPr>
        <rFont val="arial"/>
        <color rgb="FF000000"/>
        <sz val="8.0"/>
      </rPr>
      <t xml:space="preserve">-- / AM (s)
</t>
    </r>
    <r>
      <rPr>
        <rFont val="arial"/>
        <color rgb="FFFF0000"/>
        <sz val="8.0"/>
      </rPr>
      <t>B10</t>
    </r>
  </si>
  <si>
    <t>O1. Software pentru birotica</t>
  </si>
  <si>
    <t>411A</t>
  </si>
  <si>
    <t>AM (s) / --
B10</t>
  </si>
  <si>
    <t>Par Luni 15-17</t>
  </si>
  <si>
    <t>412A</t>
  </si>
  <si>
    <t>Impar Marti 17-19</t>
  </si>
  <si>
    <r>
      <rPr>
        <rFont val="arial"/>
        <b/>
        <color rgb="FF0000FF"/>
        <sz val="8.0"/>
      </rPr>
      <t>SS3 (s) B218/ --</t>
    </r>
    <r>
      <rPr>
        <rFont val="arial"/>
        <b/>
        <color rgb="FF9900FF"/>
        <sz val="8.0"/>
      </rPr>
      <t xml:space="preserve"> </t>
    </r>
  </si>
  <si>
    <t>LS1 (s)
B212</t>
  </si>
  <si>
    <t>413A</t>
  </si>
  <si>
    <t>Par Marti 17-19</t>
  </si>
  <si>
    <r>
      <rPr>
        <rFont val="arial"/>
        <b/>
        <color rgb="FF9900FF"/>
        <sz val="8.0"/>
      </rPr>
      <t xml:space="preserve"> --</t>
    </r>
    <r>
      <rPr>
        <rFont val="arial"/>
        <b/>
        <color rgb="FF0000FF"/>
        <sz val="8.0"/>
      </rPr>
      <t>/SS3 (s) B218</t>
    </r>
  </si>
  <si>
    <t>414A</t>
  </si>
  <si>
    <t>SS3 (s) B218/ --</t>
  </si>
  <si>
    <t>411B</t>
  </si>
  <si>
    <t xml:space="preserve"> -- /SS3 (s) B218</t>
  </si>
  <si>
    <t>Impar Miercuri 13-15</t>
  </si>
  <si>
    <r>
      <rPr>
        <rFont val="arial"/>
        <b/>
        <color rgb="FF7F6000"/>
        <sz val="8.0"/>
      </rPr>
      <t>TV(l) B223b</t>
    </r>
    <r>
      <rPr>
        <rFont val="arial"/>
        <b/>
        <color rgb="FFFF0000"/>
        <sz val="8.0"/>
      </rPr>
      <t xml:space="preserve"> /
/ </t>
    </r>
    <r>
      <rPr>
        <rFont val="arial"/>
        <b/>
        <color rgb="FF9900FF"/>
        <sz val="8.0"/>
      </rPr>
      <t xml:space="preserve"> --</t>
    </r>
  </si>
  <si>
    <t>412B</t>
  </si>
  <si>
    <t>Par Marti 19-21</t>
  </si>
  <si>
    <r>
      <rPr>
        <rFont val="arial"/>
        <b/>
        <color rgb="FF9900FF"/>
        <sz val="8.0"/>
      </rPr>
      <t xml:space="preserve">-- </t>
    </r>
    <r>
      <rPr>
        <rFont val="arial"/>
        <b/>
        <color rgb="FFFF0000"/>
        <sz val="8.0"/>
      </rPr>
      <t xml:space="preserve">/
/ </t>
    </r>
    <r>
      <rPr>
        <rFont val="arial"/>
        <b/>
        <color rgb="FF7F6000"/>
        <sz val="8.0"/>
      </rPr>
      <t>TV(l) B223b</t>
    </r>
  </si>
  <si>
    <t>Impar Luni 15-17</t>
  </si>
  <si>
    <t>414B</t>
  </si>
  <si>
    <r>
      <rPr>
        <rFont val="arial"/>
        <b/>
        <color rgb="FF000000"/>
        <sz val="8.0"/>
      </rPr>
      <t>-- /
/</t>
    </r>
    <r>
      <rPr>
        <rFont val="arial"/>
        <b/>
        <color rgb="FFFF9900"/>
        <sz val="8.0"/>
      </rPr>
      <t xml:space="preserve"> TTI (l) </t>
    </r>
    <r>
      <rPr>
        <rFont val="arial"/>
        <b/>
        <color rgb="FFFF0000"/>
        <sz val="8.0"/>
      </rPr>
      <t>B121</t>
    </r>
  </si>
  <si>
    <r>
      <rPr>
        <rFont val="arial"/>
        <b/>
        <color rgb="FFFF9900"/>
        <sz val="8.0"/>
      </rPr>
      <t xml:space="preserve">TTI (l) </t>
    </r>
    <r>
      <rPr>
        <rFont val="arial"/>
        <b/>
        <color rgb="FFFF0000"/>
        <sz val="8.0"/>
      </rPr>
      <t>B121</t>
    </r>
    <r>
      <rPr>
        <rFont val="arial"/>
        <b/>
        <color rgb="FF000000"/>
        <sz val="8.0"/>
      </rPr>
      <t xml:space="preserve"> /
/ --</t>
    </r>
  </si>
  <si>
    <t>411C</t>
  </si>
  <si>
    <t>Impar Marti 19-21</t>
  </si>
  <si>
    <t>412C</t>
  </si>
  <si>
    <r>
      <rPr>
        <rFont val="arial"/>
        <b/>
        <color rgb="FF000000"/>
        <sz val="8.0"/>
      </rPr>
      <t>-- /
/</t>
    </r>
    <r>
      <rPr>
        <rFont val="arial"/>
        <b/>
        <color rgb="FFFF9900"/>
        <sz val="8.0"/>
      </rPr>
      <t>TTI (l)</t>
    </r>
  </si>
  <si>
    <r>
      <rPr>
        <rFont val="arial"/>
        <b/>
        <color rgb="FFFF9900"/>
        <sz val="8.0"/>
      </rPr>
      <t>TTI (l)</t>
    </r>
    <r>
      <rPr>
        <rFont val="arial"/>
        <b/>
        <color rgb="FF000000"/>
        <sz val="8.0"/>
      </rPr>
      <t xml:space="preserve"> /
/ --</t>
    </r>
  </si>
  <si>
    <t>413C</t>
  </si>
  <si>
    <t>Impar Vineri 9-11</t>
  </si>
  <si>
    <t>414C</t>
  </si>
  <si>
    <r>
      <rPr>
        <rFont val="arial"/>
        <b/>
        <sz val="8.0"/>
      </rPr>
      <t xml:space="preserve">CIA (l) /
/ </t>
    </r>
    <r>
      <rPr>
        <rFont val="arial"/>
        <b/>
        <color rgb="FF0000FF"/>
        <sz val="8.0"/>
      </rPr>
      <t xml:space="preserve">SS3 (l) </t>
    </r>
  </si>
  <si>
    <t>411D</t>
  </si>
  <si>
    <t>412D</t>
  </si>
  <si>
    <r>
      <rPr>
        <rFont val="arial"/>
        <b/>
        <color rgb="FF0000FF"/>
        <sz val="8.0"/>
      </rPr>
      <t xml:space="preserve">SS3 (l) </t>
    </r>
    <r>
      <rPr>
        <rFont val="arial"/>
        <b/>
        <color rgb="FFFF9900"/>
        <sz val="8.0"/>
      </rPr>
      <t xml:space="preserve"> </t>
    </r>
    <r>
      <rPr>
        <rFont val="arial"/>
        <b/>
        <sz val="8.0"/>
      </rPr>
      <t>/
/ CIA (l)</t>
    </r>
  </si>
  <si>
    <t>413D</t>
  </si>
  <si>
    <r>
      <rPr>
        <rFont val="arial"/>
        <b/>
        <color rgb="FF00FF00"/>
        <sz val="8.0"/>
      </rPr>
      <t xml:space="preserve">uU (l) </t>
    </r>
    <r>
      <rPr>
        <rFont val="arial"/>
        <b/>
        <color rgb="FF000000"/>
        <sz val="8.0"/>
      </rPr>
      <t xml:space="preserve">/
/ </t>
    </r>
    <r>
      <rPr>
        <rFont val="arial"/>
        <b/>
        <color rgb="FF0000FF"/>
        <sz val="8.0"/>
      </rPr>
      <t>--</t>
    </r>
  </si>
  <si>
    <t>414D</t>
  </si>
  <si>
    <r>
      <rPr>
        <rFont val="arial"/>
        <b/>
        <color rgb="FF0000FF"/>
        <sz val="8.0"/>
      </rPr>
      <t xml:space="preserve">-- </t>
    </r>
    <r>
      <rPr>
        <rFont val="arial"/>
        <b/>
        <color rgb="FF000000"/>
        <sz val="8.0"/>
      </rPr>
      <t xml:space="preserve">/
/ </t>
    </r>
    <r>
      <rPr>
        <rFont val="arial"/>
        <b/>
        <color rgb="FF00FF00"/>
        <sz val="8.0"/>
      </rPr>
      <t>uU (l)</t>
    </r>
  </si>
  <si>
    <t>411E</t>
  </si>
  <si>
    <t>Par Miercuri 15-17</t>
  </si>
  <si>
    <t>412E</t>
  </si>
  <si>
    <t>Impar Miercuri 15-17</t>
  </si>
  <si>
    <t>413E</t>
  </si>
  <si>
    <t>Par Miercuri 13-15</t>
  </si>
  <si>
    <t>414E</t>
  </si>
  <si>
    <t>412F</t>
  </si>
  <si>
    <t>413F</t>
  </si>
  <si>
    <t>414F</t>
  </si>
  <si>
    <t>FC. Servicii Internet</t>
  </si>
  <si>
    <t>411D+411G+414G</t>
  </si>
  <si>
    <t>Impar Miercuri 11-13</t>
  </si>
  <si>
    <t>412D+414E+412G</t>
  </si>
  <si>
    <t>411A+412A+413A+411B</t>
  </si>
  <si>
    <t>412B+413B+414B</t>
  </si>
  <si>
    <t>Par Vineri 11-13</t>
  </si>
  <si>
    <t>412C+413C+411E</t>
  </si>
  <si>
    <t>Impar Vineri 13-15</t>
  </si>
  <si>
    <t>414C+413D+414D</t>
  </si>
  <si>
    <t>Par Vineri 13-15</t>
  </si>
  <si>
    <t>411C+412E+413E</t>
  </si>
  <si>
    <t>Impar Vineri 15-17</t>
  </si>
  <si>
    <t>Limba străină 1 (Limba Engleza)</t>
  </si>
  <si>
    <r>
      <rPr>
        <rFont val="arial"/>
        <b/>
        <sz val="8.0"/>
      </rPr>
      <t xml:space="preserve">CIA (l) /
/ </t>
    </r>
    <r>
      <rPr>
        <rFont val="arial"/>
        <b/>
        <color rgb="FFFF9900"/>
        <sz val="8.0"/>
      </rPr>
      <t>--</t>
    </r>
  </si>
  <si>
    <r>
      <rPr>
        <rFont val="arial"/>
        <b/>
        <color rgb="FFFF9900"/>
        <sz val="8.0"/>
      </rPr>
      <t xml:space="preserve">-- </t>
    </r>
    <r>
      <rPr>
        <rFont val="arial"/>
        <b/>
        <sz val="8.0"/>
      </rPr>
      <t xml:space="preserve">/
/ </t>
    </r>
    <r>
      <rPr>
        <rFont val="arial"/>
        <b/>
        <sz val="8.0"/>
      </rPr>
      <t>CIA (l)</t>
    </r>
  </si>
  <si>
    <r>
      <rPr>
        <rFont val="arial"/>
        <b/>
        <color rgb="FF000000"/>
        <sz val="8.0"/>
      </rPr>
      <t>-- /
/</t>
    </r>
    <r>
      <rPr>
        <rFont val="arial"/>
        <b/>
        <color rgb="FFFF9900"/>
        <sz val="8.0"/>
      </rPr>
      <t>TTI (l)</t>
    </r>
  </si>
  <si>
    <t>Miercuri 13-15</t>
  </si>
  <si>
    <r>
      <rPr>
        <rFont val="arial"/>
        <b/>
        <color rgb="FFFF9900"/>
        <sz val="8.0"/>
      </rPr>
      <t>TTI (l)</t>
    </r>
    <r>
      <rPr>
        <rFont val="arial"/>
        <b/>
        <color rgb="FF000000"/>
        <sz val="8.0"/>
      </rPr>
      <t xml:space="preserve"> /
/ --</t>
    </r>
  </si>
  <si>
    <r>
      <rPr>
        <rFont val="arial"/>
        <sz val="8.0"/>
      </rPr>
      <t xml:space="preserve">PCLP1 (l)
</t>
    </r>
    <r>
      <rPr>
        <rFont val="arial"/>
        <color rgb="FFFF0000"/>
        <sz val="8.0"/>
      </rPr>
      <t>B322</t>
    </r>
  </si>
  <si>
    <r>
      <rPr>
        <rFont val="arial"/>
        <b/>
        <color rgb="FF0000FF"/>
        <sz val="8.0"/>
      </rPr>
      <t>SS3 (l)</t>
    </r>
    <r>
      <rPr>
        <rFont val="arial"/>
        <b/>
        <color rgb="FFFF0000"/>
        <sz val="8.0"/>
      </rPr>
      <t xml:space="preserve"> /
/ --</t>
    </r>
  </si>
  <si>
    <r>
      <rPr>
        <rFont val="arial"/>
        <b/>
        <color rgb="FFFF0000"/>
        <sz val="8.0"/>
      </rPr>
      <t xml:space="preserve">-- /
/ </t>
    </r>
    <r>
      <rPr>
        <rFont val="arial"/>
        <b/>
        <color rgb="FF0000FF"/>
        <sz val="8.0"/>
      </rPr>
      <t>SS3 (l)</t>
    </r>
  </si>
  <si>
    <t xml:space="preserve">DE (s)
B122	
	</t>
  </si>
  <si>
    <t>Luni 9-11</t>
  </si>
  <si>
    <t>Joi 13-15</t>
  </si>
  <si>
    <t>Miercuri 13-15</t>
  </si>
  <si>
    <t>Vineri 9-11</t>
  </si>
  <si>
    <t>Vineri 11-13</t>
  </si>
  <si>
    <t>Miercuri 9-11</t>
  </si>
  <si>
    <t>Luni 13-15</t>
  </si>
  <si>
    <t>Python (p) / AMP(l)</t>
  </si>
  <si>
    <t>O1. Elemente de Drept si Legislatia Afacerilor (curs) A05</t>
  </si>
  <si>
    <t>Vineri 13-15</t>
  </si>
  <si>
    <t>Joi 9-11</t>
  </si>
  <si>
    <t>411G</t>
  </si>
  <si>
    <t>412G</t>
  </si>
  <si>
    <t>413G</t>
  </si>
  <si>
    <t>Joi 11-13</t>
  </si>
  <si>
    <t>Educaţie fizică şi sport 1</t>
  </si>
  <si>
    <t>Sala Sport LEU</t>
  </si>
  <si>
    <t>prof. N. Neagu</t>
  </si>
  <si>
    <t>Microunde (curs)
Prof. L. Dogariu</t>
  </si>
  <si>
    <t>SS 3 (curs)
Prof. C. Ristea</t>
  </si>
  <si>
    <r>
      <rPr>
        <rFont val="arial"/>
        <b/>
        <color rgb="FF0000FF"/>
        <sz val="8.0"/>
      </rPr>
      <t>SS3 (l)</t>
    </r>
    <r>
      <rPr>
        <rFont val="arial"/>
        <b/>
        <color rgb="FF000000"/>
        <sz val="8.0"/>
      </rPr>
      <t xml:space="preserve"> / CIA (l)</t>
    </r>
  </si>
  <si>
    <r>
      <rPr>
        <rFont val="arial"/>
        <b/>
        <color rgb="FF000000"/>
        <sz val="8.0"/>
      </rPr>
      <t xml:space="preserve">CIA (l) / </t>
    </r>
    <r>
      <rPr>
        <rFont val="arial"/>
        <b/>
        <color rgb="FF0000FF"/>
        <sz val="8.0"/>
      </rPr>
      <t>SS3 (l)</t>
    </r>
  </si>
  <si>
    <r>
      <rPr>
        <rFont val="arial"/>
        <b/>
        <color rgb="FFFF9900"/>
        <sz val="8.0"/>
      </rPr>
      <t>TTI (l)</t>
    </r>
    <r>
      <rPr>
        <rFont val="arial"/>
        <b/>
        <sz val="8.0"/>
      </rPr>
      <t xml:space="preserve"> /
/ --</t>
    </r>
  </si>
  <si>
    <r>
      <rPr>
        <rFont val="arial"/>
        <b/>
        <sz val="8.0"/>
      </rPr>
      <t xml:space="preserve">-- /
/ </t>
    </r>
    <r>
      <rPr>
        <rFont val="arial"/>
        <b/>
        <color rgb="FFFF9900"/>
        <sz val="8.0"/>
      </rPr>
      <t>TTI (l)</t>
    </r>
  </si>
  <si>
    <r>
      <rPr>
        <rFont val="arial"/>
        <b/>
        <color rgb="FF00FF00"/>
        <sz val="8.0"/>
      </rPr>
      <t>uU (l)</t>
    </r>
    <r>
      <rPr>
        <rFont val="arial"/>
        <b/>
        <color rgb="FF000000"/>
        <sz val="8.0"/>
      </rPr>
      <t xml:space="preserve"> /
/</t>
    </r>
    <r>
      <rPr>
        <rFont val="arial"/>
        <b/>
        <color rgb="FFFF0000"/>
        <sz val="8.0"/>
      </rPr>
      <t xml:space="preserve"> --</t>
    </r>
  </si>
  <si>
    <r>
      <rPr>
        <rFont val="arial"/>
        <b/>
        <color rgb="FF0000FF"/>
        <sz val="8.0"/>
      </rPr>
      <t xml:space="preserve">-- </t>
    </r>
    <r>
      <rPr>
        <rFont val="arial"/>
        <b/>
        <color rgb="FF000000"/>
        <sz val="8.0"/>
      </rPr>
      <t xml:space="preserve">/ </t>
    </r>
    <r>
      <rPr>
        <rFont val="arial"/>
        <b/>
        <color rgb="FF00FF00"/>
        <sz val="8.0"/>
      </rPr>
      <t>uU (l)</t>
    </r>
  </si>
  <si>
    <t xml:space="preserve">IEM(l) /  --  </t>
  </si>
  <si>
    <r>
      <rPr>
        <rFont val="arial"/>
        <b/>
        <color rgb="FF000000"/>
        <sz val="8.0"/>
      </rPr>
      <t xml:space="preserve">- / 
/ </t>
    </r>
    <r>
      <rPr>
        <rFont val="arial"/>
        <b/>
        <color rgb="FF00FF00"/>
        <sz val="8.0"/>
      </rPr>
      <t>uU (s) B206b</t>
    </r>
  </si>
  <si>
    <r>
      <rPr>
        <rFont val="arial"/>
        <b/>
        <color rgb="FF00FF00"/>
        <sz val="8.0"/>
      </rPr>
      <t>uU (s) B206b</t>
    </r>
    <r>
      <rPr>
        <rFont val="arial"/>
        <b/>
        <color rgb="FF000000"/>
        <sz val="8.0"/>
      </rPr>
      <t xml:space="preserve">/ 
/ </t>
    </r>
    <r>
      <rPr>
        <rFont val="arial"/>
        <b/>
        <color rgb="FFFF9900"/>
        <sz val="8.0"/>
      </rPr>
      <t>TTI (s) B218</t>
    </r>
  </si>
  <si>
    <r>
      <rPr>
        <rFont val="arial"/>
        <b/>
        <color rgb="FF9900FF"/>
        <sz val="8.0"/>
      </rPr>
      <t>IEM (s) B13</t>
    </r>
    <r>
      <rPr>
        <rFont val="arial"/>
        <b/>
        <color rgb="FF000000"/>
        <sz val="8.0"/>
      </rPr>
      <t xml:space="preserve">  / 
/ --</t>
    </r>
  </si>
  <si>
    <r>
      <rPr>
        <rFont val="arial"/>
        <b/>
        <color rgb="FFFF9900"/>
        <sz val="8.0"/>
      </rPr>
      <t>TTI (s)</t>
    </r>
    <r>
      <rPr>
        <rFont val="arial"/>
        <b/>
        <color rgb="FF9900FF"/>
        <sz val="8.0"/>
      </rPr>
      <t xml:space="preserve"> </t>
    </r>
    <r>
      <rPr>
        <rFont val="arial"/>
        <b/>
        <color rgb="FFFF9900"/>
        <sz val="8.0"/>
      </rPr>
      <t xml:space="preserve">B218 </t>
    </r>
    <r>
      <rPr>
        <rFont val="arial"/>
        <b/>
        <color rgb="FF9900FF"/>
        <sz val="8.0"/>
      </rPr>
      <t>/ 
IEM (s)</t>
    </r>
    <r>
      <rPr>
        <rFont val="arial"/>
        <b/>
        <color rgb="FF000000"/>
        <sz val="8.0"/>
      </rPr>
      <t xml:space="preserve"> </t>
    </r>
    <r>
      <rPr>
        <rFont val="arial"/>
        <b/>
        <color rgb="FF9900FF"/>
        <sz val="8.0"/>
      </rPr>
      <t>B13</t>
    </r>
  </si>
  <si>
    <r>
      <rPr>
        <rFont val="arial"/>
        <b/>
        <color rgb="FF000000"/>
        <sz val="8.0"/>
      </rPr>
      <t>-- /</t>
    </r>
    <r>
      <rPr>
        <rFont val="arial"/>
        <b/>
        <color rgb="FF9900FF"/>
        <sz val="8.0"/>
      </rPr>
      <t xml:space="preserve"> IEM (l)</t>
    </r>
    <r>
      <rPr>
        <rFont val="arial"/>
        <b/>
        <color rgb="FF000000"/>
        <sz val="8.0"/>
      </rPr>
      <t xml:space="preserve"> </t>
    </r>
  </si>
  <si>
    <t>Măsurători electronice, senzori şi traductoare (curs)
Prof. R. Preda</t>
  </si>
  <si>
    <t>Televiziune (curs)
Prof. I. Tache</t>
  </si>
  <si>
    <r>
      <rPr>
        <rFont val="arial"/>
        <b/>
        <color rgb="FF00FF00"/>
        <sz val="8.0"/>
      </rPr>
      <t>uU (l)</t>
    </r>
    <r>
      <rPr>
        <rFont val="arial"/>
        <b/>
        <color rgb="FF000000"/>
        <sz val="8.0"/>
      </rPr>
      <t xml:space="preserve"> /
/</t>
    </r>
    <r>
      <rPr>
        <rFont val="arial"/>
        <b/>
        <color rgb="FFFF0000"/>
        <sz val="8.0"/>
      </rPr>
      <t xml:space="preserve"> </t>
    </r>
    <r>
      <rPr>
        <rFont val="arial"/>
        <b/>
        <color rgb="FFFF9900"/>
        <sz val="8.0"/>
      </rPr>
      <t>TTI (l)</t>
    </r>
  </si>
  <si>
    <r>
      <rPr>
        <rFont val="arial"/>
        <b/>
        <color rgb="FFFF9900"/>
        <sz val="8.0"/>
      </rPr>
      <t>TTI (l)</t>
    </r>
    <r>
      <rPr>
        <rFont val="arial"/>
        <b/>
        <color rgb="FF0000FF"/>
        <sz val="8.0"/>
      </rPr>
      <t xml:space="preserve"> </t>
    </r>
    <r>
      <rPr>
        <rFont val="arial"/>
        <b/>
        <color rgb="FF000000"/>
        <sz val="8.0"/>
      </rPr>
      <t xml:space="preserve">/ </t>
    </r>
    <r>
      <rPr>
        <rFont val="arial"/>
        <b/>
        <color rgb="FF00FF00"/>
        <sz val="8.0"/>
      </rPr>
      <t>uU (l)</t>
    </r>
  </si>
  <si>
    <r>
      <rPr>
        <rFont val="arial"/>
        <b/>
        <color rgb="FF0000FF"/>
        <sz val="8.0"/>
      </rPr>
      <t>SS3 (l)</t>
    </r>
    <r>
      <rPr>
        <rFont val="arial"/>
        <b/>
        <color rgb="FF000000"/>
        <sz val="8.0"/>
      </rPr>
      <t xml:space="preserve"> / --</t>
    </r>
  </si>
  <si>
    <r>
      <rPr>
        <rFont val="arial"/>
        <b/>
        <color rgb="FF000000"/>
        <sz val="8.0"/>
      </rPr>
      <t xml:space="preserve">-- / </t>
    </r>
    <r>
      <rPr>
        <rFont val="arial"/>
        <b/>
        <color rgb="FF0000FF"/>
        <sz val="8.0"/>
      </rPr>
      <t>SS3 (l)</t>
    </r>
  </si>
  <si>
    <r>
      <rPr>
        <rFont val="arial"/>
        <b/>
        <sz val="8.0"/>
      </rPr>
      <t>CIA (l)</t>
    </r>
    <r>
      <rPr>
        <rFont val="arial"/>
        <b/>
        <sz val="8.0"/>
      </rPr>
      <t xml:space="preserve"> /
/ </t>
    </r>
    <r>
      <rPr>
        <rFont val="arial"/>
        <b/>
        <color rgb="FFFF9900"/>
        <sz val="8.0"/>
      </rPr>
      <t>--</t>
    </r>
  </si>
  <si>
    <r>
      <rPr>
        <rFont val="arial"/>
        <b/>
        <color rgb="FFFF9900"/>
        <sz val="8.0"/>
      </rPr>
      <t xml:space="preserve">-- </t>
    </r>
    <r>
      <rPr>
        <rFont val="arial"/>
        <b/>
        <sz val="8.0"/>
      </rPr>
      <t xml:space="preserve">/
/ </t>
    </r>
    <r>
      <rPr>
        <rFont val="arial"/>
        <b/>
        <sz val="8.0"/>
      </rPr>
      <t>CIA (l)</t>
    </r>
  </si>
  <si>
    <r>
      <rPr>
        <rFont val="arial"/>
        <b/>
        <color rgb="FF9900FF"/>
        <sz val="8.0"/>
      </rPr>
      <t xml:space="preserve">IEM(l) /  </t>
    </r>
    <r>
      <rPr>
        <rFont val="arial"/>
        <b/>
        <color rgb="FF000000"/>
        <sz val="8.0"/>
      </rPr>
      <t>--</t>
    </r>
  </si>
  <si>
    <r>
      <rPr>
        <rFont val="arial"/>
        <b/>
        <color rgb="FFFF9900"/>
        <sz val="8.0"/>
      </rPr>
      <t>TTI (s) B218</t>
    </r>
    <r>
      <rPr>
        <rFont val="arial"/>
        <b/>
        <color rgb="FF000000"/>
        <sz val="8.0"/>
      </rPr>
      <t xml:space="preserve">  / 
/  </t>
    </r>
    <r>
      <rPr>
        <rFont val="arial"/>
        <b/>
        <color rgb="FF9900FF"/>
        <sz val="8.0"/>
      </rPr>
      <t>IEM (s) B13</t>
    </r>
  </si>
  <si>
    <t>Analiză Matematică - AM (curs) 
prof. R. Purnichescu</t>
  </si>
  <si>
    <r>
      <rPr>
        <rFont val="arial"/>
        <b/>
        <color rgb="FF9900FF"/>
        <sz val="8.0"/>
      </rPr>
      <t xml:space="preserve"> IEM (s) B13</t>
    </r>
    <r>
      <rPr>
        <rFont val="arial"/>
        <b/>
        <color rgb="FF000000"/>
        <sz val="8.0"/>
      </rPr>
      <t xml:space="preserve">  / 
/ --</t>
    </r>
  </si>
  <si>
    <r>
      <rPr>
        <rFont val="arial"/>
        <b/>
        <color rgb="FF00FF00"/>
        <sz val="8.0"/>
      </rPr>
      <t>uU (s) B206b</t>
    </r>
    <r>
      <rPr>
        <rFont val="arial"/>
        <b/>
        <sz val="8.0"/>
      </rPr>
      <t xml:space="preserve"> / </t>
    </r>
    <r>
      <rPr>
        <rFont val="arial"/>
        <b/>
        <color rgb="FFFF9900"/>
        <sz val="8.0"/>
      </rPr>
      <t>TTI (s) B218</t>
    </r>
  </si>
  <si>
    <r>
      <rPr>
        <rFont val="arial"/>
        <b/>
        <color rgb="FFFF9900"/>
        <sz val="8.0"/>
      </rPr>
      <t>--</t>
    </r>
    <r>
      <rPr>
        <rFont val="arial"/>
        <b/>
        <color rgb="FF00FF00"/>
        <sz val="8.0"/>
      </rPr>
      <t xml:space="preserve"> / uU (s) B206b </t>
    </r>
    <r>
      <rPr>
        <rFont val="arial"/>
        <b/>
        <sz val="8.0"/>
      </rPr>
      <t xml:space="preserve"> </t>
    </r>
  </si>
  <si>
    <t>Algebră Liniară, Geometrie Analitică și Diferențială - ALGAD (curs)
prof. C. Ghiu</t>
  </si>
  <si>
    <r>
      <rPr>
        <rFont val="arial"/>
        <b/>
        <sz val="8.0"/>
      </rPr>
      <t xml:space="preserve">-- /
/ </t>
    </r>
    <r>
      <rPr>
        <rFont val="arial"/>
        <b/>
        <color rgb="FFFF9900"/>
        <sz val="8.0"/>
      </rPr>
      <t xml:space="preserve"> </t>
    </r>
    <r>
      <rPr>
        <rFont val="arial"/>
        <b/>
        <sz val="8.0"/>
      </rPr>
      <t>Pr. CEF 2</t>
    </r>
  </si>
  <si>
    <r>
      <rPr>
        <rFont val="arial"/>
        <b/>
        <sz val="8.0"/>
      </rPr>
      <t xml:space="preserve"> Pr. CEF 2</t>
    </r>
    <r>
      <rPr>
        <rFont val="arial"/>
        <b/>
        <color rgb="FFFF9900"/>
        <sz val="8.0"/>
      </rPr>
      <t xml:space="preserve"> </t>
    </r>
    <r>
      <rPr>
        <rFont val="arial"/>
        <b/>
        <sz val="8.0"/>
      </rPr>
      <t>/
/ --</t>
    </r>
  </si>
  <si>
    <t>-- / AM (s)
-- / B09</t>
  </si>
  <si>
    <t>AM (s) / Sport
B09 /</t>
  </si>
  <si>
    <t>Bazele Electrotehnicii 1 - BE1 (curs)
prof. R. Costea</t>
  </si>
  <si>
    <t>Bazele Electrotehnicii 1 (curs) / Analiză Matematică (curs)
prof. I. Nemoianu / prof. M. Cimpoeaș</t>
  </si>
  <si>
    <r>
      <rPr>
        <rFont val="arial"/>
        <b/>
        <color rgb="FF9900FF"/>
        <sz val="8.0"/>
      </rPr>
      <t xml:space="preserve"> IEM (l)</t>
    </r>
    <r>
      <rPr>
        <rFont val="arial"/>
        <b/>
        <color rgb="FF000000"/>
        <sz val="8.0"/>
      </rPr>
      <t xml:space="preserve"> / 
/ --</t>
    </r>
  </si>
  <si>
    <r>
      <rPr>
        <rFont val="arial"/>
        <b/>
        <color rgb="FF000000"/>
        <sz val="8.0"/>
      </rPr>
      <t>-- /</t>
    </r>
    <r>
      <rPr>
        <rFont val="arial"/>
        <b/>
        <color rgb="FF9900FF"/>
        <sz val="8.0"/>
      </rPr>
      <t xml:space="preserve"> IEM (l)</t>
    </r>
    <r>
      <rPr>
        <rFont val="arial"/>
        <b/>
        <color rgb="FF000000"/>
        <sz val="8.0"/>
      </rPr>
      <t xml:space="preserve"> </t>
    </r>
  </si>
  <si>
    <r>
      <rPr>
        <rFont val="arial"/>
        <b/>
        <color rgb="FF9900FF"/>
        <sz val="8.0"/>
      </rPr>
      <t xml:space="preserve">MEST (s) A03 </t>
    </r>
    <r>
      <rPr>
        <rFont val="arial"/>
        <b/>
        <color rgb="FF000000"/>
        <sz val="8.0"/>
      </rPr>
      <t>/
/ --</t>
    </r>
  </si>
  <si>
    <r>
      <rPr>
        <rFont val="arial"/>
        <b/>
        <color rgb="FF9900FF"/>
        <sz val="8.0"/>
      </rPr>
      <t>MEST (s) A03</t>
    </r>
    <r>
      <rPr>
        <rFont val="arial"/>
        <b/>
        <color rgb="FF000000"/>
        <sz val="8.0"/>
      </rPr>
      <t>/
/  --</t>
    </r>
  </si>
  <si>
    <r>
      <rPr>
        <rFont val="arial"/>
        <b/>
        <color rgb="FF000000"/>
        <sz val="8.0"/>
      </rPr>
      <t xml:space="preserve">-- /
/ </t>
    </r>
    <r>
      <rPr>
        <rFont val="arial"/>
        <b/>
        <color rgb="FF9900FF"/>
        <sz val="8.0"/>
      </rPr>
      <t>MEST (s) A03</t>
    </r>
  </si>
  <si>
    <r>
      <rPr>
        <rFont val="arial"/>
        <b/>
        <color rgb="FFFF0000"/>
        <sz val="8.0"/>
      </rPr>
      <t xml:space="preserve">-- </t>
    </r>
    <r>
      <rPr>
        <rFont val="arial"/>
        <b/>
        <color rgb="FF000000"/>
        <sz val="8.0"/>
      </rPr>
      <t xml:space="preserve">/
/ </t>
    </r>
    <r>
      <rPr>
        <rFont val="arial"/>
        <b/>
        <color rgb="FF9900FF"/>
        <sz val="8.0"/>
      </rPr>
      <t>MEST (s) A03</t>
    </r>
  </si>
  <si>
    <t>Instrumentatie electronica de masura (curs)
Prof M. Stanciu</t>
  </si>
  <si>
    <r>
      <rPr>
        <rFont val="arial"/>
        <b/>
        <color rgb="FF00FF00"/>
        <sz val="8.0"/>
      </rPr>
      <t>uU (l)</t>
    </r>
    <r>
      <rPr>
        <rFont val="arial"/>
        <b/>
        <color rgb="FF000000"/>
        <sz val="8.0"/>
      </rPr>
      <t xml:space="preserve"> /
/ </t>
    </r>
    <r>
      <rPr>
        <rFont val="arial"/>
        <b/>
        <color rgb="FF0000FF"/>
        <sz val="8.0"/>
      </rPr>
      <t>--</t>
    </r>
  </si>
  <si>
    <r>
      <rPr>
        <rFont val="arial"/>
        <b/>
        <color rgb="FF0000FF"/>
        <sz val="8.0"/>
      </rPr>
      <t>--</t>
    </r>
    <r>
      <rPr>
        <rFont val="arial"/>
        <b/>
        <color rgb="FF000000"/>
        <sz val="8.0"/>
      </rPr>
      <t xml:space="preserve"> /
/ </t>
    </r>
    <r>
      <rPr>
        <rFont val="arial"/>
        <b/>
        <color rgb="FF00FF00"/>
        <sz val="8.0"/>
      </rPr>
      <t>uU (l)</t>
    </r>
  </si>
  <si>
    <r>
      <rPr>
        <rFont val="arial"/>
        <b/>
        <color rgb="FF0000FF"/>
        <sz val="8.0"/>
      </rPr>
      <t>SS3 (l)</t>
    </r>
    <r>
      <rPr>
        <rFont val="arial"/>
        <b/>
        <color rgb="FF000000"/>
        <sz val="8.0"/>
      </rPr>
      <t xml:space="preserve"> / --</t>
    </r>
  </si>
  <si>
    <r>
      <rPr>
        <rFont val="arial"/>
        <b/>
        <color rgb="FF000000"/>
        <sz val="8.0"/>
      </rPr>
      <t xml:space="preserve">-- / </t>
    </r>
    <r>
      <rPr>
        <rFont val="arial"/>
        <b/>
        <color rgb="FF0000FF"/>
        <sz val="8.0"/>
      </rPr>
      <t>SS3 (l)</t>
    </r>
  </si>
  <si>
    <r>
      <rPr>
        <rFont val="arial"/>
        <b/>
        <sz val="8.0"/>
      </rPr>
      <t xml:space="preserve">-- /
/ </t>
    </r>
    <r>
      <rPr>
        <rFont val="arial"/>
        <b/>
        <color rgb="FFFF9900"/>
        <sz val="8.0"/>
      </rPr>
      <t>TTI (l)</t>
    </r>
  </si>
  <si>
    <r>
      <rPr>
        <rFont val="arial"/>
        <b/>
        <color rgb="FFFF9900"/>
        <sz val="8.0"/>
      </rPr>
      <t>TTI (l)</t>
    </r>
    <r>
      <rPr>
        <rFont val="arial"/>
        <b/>
        <sz val="8.0"/>
      </rPr>
      <t xml:space="preserve"> /
/ --</t>
    </r>
  </si>
  <si>
    <r>
      <rPr>
        <rFont val="arial"/>
        <b/>
        <color rgb="FFFF9900"/>
        <sz val="8.0"/>
      </rPr>
      <t xml:space="preserve">TTI (l) </t>
    </r>
    <r>
      <rPr>
        <rFont val="arial"/>
        <b/>
        <sz val="8.0"/>
      </rPr>
      <t xml:space="preserve">/
/ </t>
    </r>
    <r>
      <rPr>
        <rFont val="arial"/>
        <b/>
        <color rgb="FF0000FF"/>
        <sz val="8.0"/>
      </rPr>
      <t>SS3 (s) B218</t>
    </r>
  </si>
  <si>
    <r>
      <rPr>
        <rFont val="arial"/>
        <b/>
        <color rgb="FF0000FF"/>
        <sz val="8.0"/>
      </rPr>
      <t xml:space="preserve">SS3 (s) B218 </t>
    </r>
    <r>
      <rPr>
        <rFont val="arial"/>
        <b/>
        <sz val="8.0"/>
      </rPr>
      <t xml:space="preserve"> /
/ </t>
    </r>
    <r>
      <rPr>
        <rFont val="arial"/>
        <b/>
        <color rgb="FFFF9900"/>
        <sz val="8.0"/>
      </rPr>
      <t xml:space="preserve">TTI (l) </t>
    </r>
  </si>
  <si>
    <r>
      <rPr>
        <rFont val="arial"/>
        <b/>
        <sz val="8.0"/>
      </rPr>
      <t xml:space="preserve">CIA (s) B13 / </t>
    </r>
    <r>
      <rPr>
        <rFont val="arial"/>
        <b/>
        <color rgb="FF9900FF"/>
        <sz val="8.0"/>
      </rPr>
      <t>IEM (s) B206b</t>
    </r>
  </si>
  <si>
    <r>
      <rPr>
        <rFont val="arial"/>
        <b/>
        <color rgb="FF9900FF"/>
        <sz val="8.0"/>
      </rPr>
      <t>IEM (s) B206b</t>
    </r>
    <r>
      <rPr>
        <rFont val="arial"/>
        <b/>
        <sz val="8.0"/>
      </rPr>
      <t xml:space="preserve"> / CIA (s) B13</t>
    </r>
  </si>
  <si>
    <r>
      <rPr>
        <rFont val="arial"/>
        <b/>
        <color rgb="FF9900FF"/>
        <sz val="8.0"/>
      </rPr>
      <t>IEM (s) B206b</t>
    </r>
    <r>
      <rPr>
        <rFont val="arial"/>
        <b/>
        <color rgb="FFFF9900"/>
        <sz val="8.0"/>
      </rPr>
      <t xml:space="preserve"> </t>
    </r>
    <r>
      <rPr>
        <rFont val="arial"/>
        <b/>
        <sz val="8.0"/>
      </rPr>
      <t xml:space="preserve">/
/ </t>
    </r>
    <r>
      <rPr>
        <rFont val="arial"/>
        <b/>
        <color rgb="FF0000FF"/>
        <sz val="8.0"/>
      </rPr>
      <t>SS3 (s) B218</t>
    </r>
  </si>
  <si>
    <r>
      <rPr>
        <rFont val="arial"/>
        <b/>
        <color rgb="FF0000FF"/>
        <sz val="8.0"/>
      </rPr>
      <t>SS3 (s) B218</t>
    </r>
    <r>
      <rPr>
        <rFont val="arial"/>
        <b/>
        <sz val="8.0"/>
      </rPr>
      <t xml:space="preserve"> /
/</t>
    </r>
    <r>
      <rPr>
        <rFont val="arial"/>
        <b/>
        <color rgb="FF9900FF"/>
        <sz val="8.0"/>
      </rPr>
      <t xml:space="preserve"> IEM (s) B206b</t>
    </r>
  </si>
  <si>
    <r>
      <rPr>
        <rFont val="arial"/>
        <b/>
        <sz val="8.0"/>
      </rPr>
      <t xml:space="preserve">CIA (s) B13 / </t>
    </r>
    <r>
      <rPr>
        <rFont val="arial"/>
        <b/>
        <color rgb="FF9900FF"/>
        <sz val="8.0"/>
      </rPr>
      <t>--</t>
    </r>
  </si>
  <si>
    <r>
      <rPr>
        <rFont val="arial"/>
        <b/>
        <color rgb="FF9900FF"/>
        <sz val="8.0"/>
      </rPr>
      <t>--</t>
    </r>
    <r>
      <rPr>
        <rFont val="arial"/>
        <b/>
        <sz val="8.0"/>
      </rPr>
      <t xml:space="preserve"> / CIA (s) B13</t>
    </r>
  </si>
  <si>
    <t>CIA (l) /
/ --</t>
  </si>
  <si>
    <t xml:space="preserve"> Programarea Calculatoarelor și Limbaje de Programare 1 - PCLP1 (curs) 
prof. B. Ionescu</t>
  </si>
  <si>
    <t>Fizică 1 (curs)
prof. M. Stafe</t>
  </si>
  <si>
    <t xml:space="preserve"> Proiect APD B110 / --</t>
  </si>
  <si>
    <t>BE1 (s)
B09</t>
  </si>
  <si>
    <t xml:space="preserve"> -Proiect APD B110 / --</t>
  </si>
  <si>
    <t>-- / AM (s)
-- /B12</t>
  </si>
  <si>
    <t xml:space="preserve"> -- / Proiect APD B110</t>
  </si>
  <si>
    <t>AM (s) / Sport
B12 / --</t>
  </si>
  <si>
    <r>
      <rPr>
        <rFont val="arial"/>
        <b/>
        <sz val="8.0"/>
      </rPr>
      <t xml:space="preserve">CIA (l) /
/ </t>
    </r>
    <r>
      <rPr>
        <rFont val="arial"/>
        <b/>
        <color rgb="FFFF9900"/>
        <sz val="8.0"/>
      </rPr>
      <t>--</t>
    </r>
  </si>
  <si>
    <t>-- / AM (s)
-- / B10</t>
  </si>
  <si>
    <r>
      <rPr>
        <rFont val="arial"/>
        <b/>
        <color rgb="FFFF9900"/>
        <sz val="8.0"/>
      </rPr>
      <t xml:space="preserve">-- </t>
    </r>
    <r>
      <rPr>
        <rFont val="arial"/>
        <b/>
        <sz val="8.0"/>
      </rPr>
      <t xml:space="preserve">/
/ </t>
    </r>
    <r>
      <rPr>
        <rFont val="arial"/>
        <b/>
        <sz val="8.0"/>
      </rPr>
      <t>CIA (l)</t>
    </r>
  </si>
  <si>
    <t>AM (s) / --
B10 / --</t>
  </si>
  <si>
    <r>
      <rPr>
        <rFont val="arial"/>
        <b/>
        <color rgb="FF000000"/>
        <sz val="8.0"/>
      </rPr>
      <t xml:space="preserve">-- / </t>
    </r>
    <r>
      <rPr>
        <rFont val="arial"/>
        <b/>
        <color rgb="FF0000FF"/>
        <sz val="8.0"/>
      </rPr>
      <t>SS3 (l)</t>
    </r>
  </si>
  <si>
    <t>-- / --</t>
  </si>
  <si>
    <r>
      <rPr>
        <rFont val="arial"/>
        <b/>
        <color rgb="FF0000FF"/>
        <sz val="8.0"/>
      </rPr>
      <t>SS3 (l)</t>
    </r>
    <r>
      <rPr>
        <rFont val="arial"/>
        <b/>
        <color rgb="FF000000"/>
        <sz val="8.0"/>
      </rPr>
      <t xml:space="preserve"> / --</t>
    </r>
  </si>
  <si>
    <r>
      <rPr>
        <rFont val="arial"/>
        <b/>
        <color rgb="FF000000"/>
        <sz val="8.0"/>
      </rPr>
      <t>-- /</t>
    </r>
    <r>
      <rPr>
        <rFont val="arial"/>
        <b/>
        <color rgb="FF9900FF"/>
        <sz val="8.0"/>
      </rPr>
      <t xml:space="preserve"> IEM (l)</t>
    </r>
    <r>
      <rPr>
        <rFont val="arial"/>
        <b/>
        <color rgb="FF000000"/>
        <sz val="8.0"/>
      </rPr>
      <t xml:space="preserve"> </t>
    </r>
  </si>
  <si>
    <t>AM (curs) / ALGAD (curs)
prof. C. Bercia / prof. V. Slesar</t>
  </si>
  <si>
    <r>
      <rPr>
        <rFont val="arial"/>
        <b/>
        <sz val="8.0"/>
      </rPr>
      <t xml:space="preserve">CIA (s) A03 / </t>
    </r>
    <r>
      <rPr>
        <rFont val="arial"/>
        <b/>
        <color rgb="FF9900FF"/>
        <sz val="8.0"/>
      </rPr>
      <t>IEM (s) A103</t>
    </r>
  </si>
  <si>
    <r>
      <rPr>
        <rFont val="arial"/>
        <b/>
        <color rgb="FF9900FF"/>
        <sz val="8.0"/>
      </rPr>
      <t>IEM (s) A103</t>
    </r>
    <r>
      <rPr>
        <rFont val="arial"/>
        <b/>
        <sz val="8.0"/>
      </rPr>
      <t xml:space="preserve"> / CIA (s) A03</t>
    </r>
  </si>
  <si>
    <r>
      <rPr>
        <rFont val="arial"/>
        <b/>
        <color rgb="FF0000FF"/>
        <sz val="8.0"/>
      </rPr>
      <t xml:space="preserve">SS3 (s) B206a </t>
    </r>
    <r>
      <rPr>
        <rFont val="arial"/>
        <b/>
        <sz val="8.0"/>
      </rPr>
      <t xml:space="preserve"> /
/ </t>
    </r>
    <r>
      <rPr>
        <rFont val="arial"/>
        <b/>
        <color rgb="FFFF9900"/>
        <sz val="8.0"/>
      </rPr>
      <t>--</t>
    </r>
  </si>
  <si>
    <t>Programarea Calculatoarelor și Limbaje de Programare 1 - PCLP1 (curs)
prof. R. Hobincu</t>
  </si>
  <si>
    <r>
      <rPr>
        <rFont val="arial"/>
        <b/>
        <color rgb="FFFF9900"/>
        <sz val="8.0"/>
      </rPr>
      <t xml:space="preserve">-- </t>
    </r>
    <r>
      <rPr>
        <rFont val="arial"/>
        <b/>
        <sz val="8.0"/>
      </rPr>
      <t xml:space="preserve">/
/ </t>
    </r>
    <r>
      <rPr>
        <rFont val="arial"/>
        <b/>
        <color rgb="FF0000FF"/>
        <sz val="8.0"/>
      </rPr>
      <t>SS3 (s) B206a</t>
    </r>
  </si>
  <si>
    <r>
      <rPr>
        <rFont val="arial"/>
        <b/>
        <sz val="8.0"/>
      </rPr>
      <t xml:space="preserve">CIA (s) A03 /
/ </t>
    </r>
    <r>
      <rPr>
        <rFont val="arial"/>
        <b/>
        <color rgb="FFFF9900"/>
        <sz val="8.0"/>
      </rPr>
      <t xml:space="preserve">TTI (l) </t>
    </r>
  </si>
  <si>
    <r>
      <rPr>
        <rFont val="arial"/>
        <b/>
        <color rgb="FFFF9900"/>
        <sz val="8.0"/>
      </rPr>
      <t xml:space="preserve">TTI (l) </t>
    </r>
    <r>
      <rPr>
        <rFont val="arial"/>
        <b/>
        <sz val="8.0"/>
      </rPr>
      <t>/
/ CIA (s) A03</t>
    </r>
  </si>
  <si>
    <r>
      <rPr>
        <rFont val="arial"/>
        <b/>
        <color rgb="FF9900FF"/>
        <sz val="8.0"/>
      </rPr>
      <t>IEM (s) A103</t>
    </r>
    <r>
      <rPr>
        <rFont val="arial"/>
        <b/>
        <color rgb="FFFF9900"/>
        <sz val="8.0"/>
      </rPr>
      <t xml:space="preserve"> </t>
    </r>
    <r>
      <rPr>
        <rFont val="arial"/>
        <b/>
        <sz val="8.0"/>
      </rPr>
      <t xml:space="preserve">/
/ </t>
    </r>
    <r>
      <rPr>
        <rFont val="arial"/>
        <b/>
        <color rgb="FF0000FF"/>
        <sz val="8.0"/>
      </rPr>
      <t>SS3 (s) B206a</t>
    </r>
  </si>
  <si>
    <r>
      <rPr>
        <rFont val="arial"/>
        <b/>
        <color rgb="FF0000FF"/>
        <sz val="8.0"/>
      </rPr>
      <t>SS3 (s) B206a</t>
    </r>
    <r>
      <rPr>
        <rFont val="arial"/>
        <b/>
        <sz val="8.0"/>
      </rPr>
      <t xml:space="preserve"> /
/</t>
    </r>
    <r>
      <rPr>
        <rFont val="arial"/>
        <b/>
        <color rgb="FF9900FF"/>
        <sz val="8.0"/>
      </rPr>
      <t xml:space="preserve"> IEM (s) A103</t>
    </r>
  </si>
  <si>
    <t xml:space="preserve">-- / Sport </t>
  </si>
  <si>
    <t>IEM (s) B13 / --</t>
  </si>
  <si>
    <t xml:space="preserve"> IEM (l) / --</t>
  </si>
  <si>
    <t>Pr1Proiect1 (Infineon) /
/ --</t>
  </si>
  <si>
    <t>Fizică 1 (curs)
prof. C. Stan</t>
  </si>
  <si>
    <t>SDA(l) / AMP(l)</t>
  </si>
  <si>
    <t>AM (curs) / BE1 (curs)
prof. I. Meghea / prof. Gh. Paltanea</t>
  </si>
  <si>
    <t>AMP(l) / SDA(l)</t>
  </si>
  <si>
    <t>-- / ALGAD (s)
-- / B09</t>
  </si>
  <si>
    <t>ALGAD (s) / --
A103 / --</t>
  </si>
  <si>
    <t>Dispozitive Electronice DE (curs)
Prof. F. Draghici</t>
  </si>
  <si>
    <t>AM (s) / --
B09 / --</t>
  </si>
  <si>
    <t>LS1 (s)
A102</t>
  </si>
  <si>
    <t>SS (s)
B12</t>
  </si>
  <si>
    <t>Algebră Liniară, Geometrie Analitică și Diferențială - ALGAD (curs)
prof. M. Cimpoeaș</t>
  </si>
  <si>
    <t>Microprocessor Architecture 1 AMP1 (curs)
Prof. H. Cucu</t>
  </si>
  <si>
    <t xml:space="preserve"> AM (s) / ALGAD (s) 
B10</t>
  </si>
  <si>
    <t>Curs</t>
  </si>
  <si>
    <t>-- / AM (s) 
-- / A103</t>
  </si>
  <si>
    <t>S</t>
  </si>
  <si>
    <t>L</t>
  </si>
  <si>
    <t>P</t>
  </si>
  <si>
    <t>Obs</t>
  </si>
  <si>
    <t>TTI</t>
  </si>
  <si>
    <t>Seminar luni 15-17, marti 9-11, marti 15-17, marti 17-19. Una din cele 5 grupe va fi tinuta de altcineva si se poate pune in paralel (alta sala) cu o alta grupa.
Lab - cu semigrupa (toate grupele) - Prefer luni &amp; marti dupa 11 (Nu ma deranjeaza sa fie ultima ora)</t>
  </si>
  <si>
    <t>- Nu suprapune TTI (seminar B) + (lab C 2 grupe)  luni- vineri 8-10 sau 18-20
- Nu suprapune TTI (lab B) + (seminar D)</t>
  </si>
  <si>
    <t xml:space="preserve">Lab - 2 zile,  In intervalul 17-21, nu joi sau vineri </t>
  </si>
  <si>
    <t>Pastrare
Lab - B234</t>
  </si>
  <si>
    <t>uU</t>
  </si>
  <si>
    <t xml:space="preserve">Nu suprapune uU (cursuri A+B)+(seminarii A+B+D) + (lab B+4grA) + (NU Joi 11-13) </t>
  </si>
  <si>
    <t>Pastrare</t>
  </si>
  <si>
    <t>Seminar - Dupa ora 11 (nu joi 11-13)</t>
  </si>
  <si>
    <t>Luni 15-17 seminar 31 F/G, Marti 11-13 lab 31 F/G, 13-15 lab 31 F/G, 15-17 lab/sem 32G</t>
  </si>
  <si>
    <t>CIA</t>
  </si>
  <si>
    <t>Seminar - luni 13-17 pentru seria IIIB si vineri 9-13 pentru seria IIID  (sala proiector)</t>
  </si>
  <si>
    <t>Seminar 9-11 sau 11-13 in oricare zi.</t>
  </si>
  <si>
    <t xml:space="preserve"> 
Luni, paritati alternative, seria G (= 2 grupe) = 9-11. Luni, impare, seria F (= 1 grupa) = 13-15. Miercuri, impare, seria E (una dintre grupe) = 15-17.</t>
  </si>
  <si>
    <t>Luni, paritati alternative, seria G (= 2 grupe) = 9-11. Luni, impare, seria F (= 1 grupa) = 13-15. Miercuri, impare, seria E (una dintre grupe) = 15-17.</t>
  </si>
  <si>
    <t>IEM</t>
  </si>
  <si>
    <t>Cursul de Joi de mutat de la 11-13 pe impare  ??</t>
  </si>
  <si>
    <t>uC</t>
  </si>
  <si>
    <t>Componente si Circuite Pasive CCP (curs)
Prof. A. Drumea</t>
  </si>
  <si>
    <t>CAD (p) / --</t>
  </si>
  <si>
    <t>Proiect1</t>
  </si>
  <si>
    <t>Cu grupa - luni dupa amiaza</t>
  </si>
  <si>
    <t>Signals and Systems SS (curs)
Prof. V. Popa</t>
  </si>
  <si>
    <t>Opt1</t>
  </si>
  <si>
    <t>ALGAD (s) / --
B09 / --</t>
  </si>
  <si>
    <t>ALGAD (s) / AM (s) 
B12</t>
  </si>
  <si>
    <t>AM (s) / ALGAD (s)
B10</t>
  </si>
  <si>
    <t>TTI (curs)</t>
  </si>
  <si>
    <t>Structuri de date si algoritmi (curs)
Prof. C. Bîră</t>
  </si>
  <si>
    <t>Prof. A. Radoi</t>
  </si>
  <si>
    <t>DE (s)
B206a</t>
  </si>
  <si>
    <t>DE (s)
B312</t>
  </si>
  <si>
    <t>sport / SS (l)</t>
  </si>
  <si>
    <t>Prof. M. Frunzete</t>
  </si>
  <si>
    <t>SS(l) / sport</t>
  </si>
  <si>
    <t>Prof. L. Perisoara</t>
  </si>
  <si>
    <t>Algorithms and Data Structures (curs)
Prof. I. Nastac</t>
  </si>
  <si>
    <t>Prof. D. Faur</t>
  </si>
  <si>
    <t>Prof. D. Coltuc</t>
  </si>
  <si>
    <t>Prof. D. Stoichescu</t>
  </si>
  <si>
    <t>uU (curs)</t>
  </si>
  <si>
    <t>Prof. D. Brinaru</t>
  </si>
  <si>
    <t>Prof. R. Cacoveanu</t>
  </si>
  <si>
    <t>Prof. N. Militaru</t>
  </si>
  <si>
    <t>Prof. T. Petrescu</t>
  </si>
  <si>
    <t>Prof. A. Anghel</t>
  </si>
  <si>
    <t>Prof. G. Lojewski</t>
  </si>
  <si>
    <t>CIA (curs)</t>
  </si>
  <si>
    <t>Prof. C. Dan</t>
  </si>
  <si>
    <t>CCP(l) / DE (l)</t>
  </si>
  <si>
    <t>Prof. C. Popa</t>
  </si>
  <si>
    <t>AMP(l) / SS(l)</t>
  </si>
  <si>
    <t>SS(l) / AMP(l)</t>
  </si>
  <si>
    <t>Prof. F. Mitu</t>
  </si>
  <si>
    <t>DE (s) 
A05</t>
  </si>
  <si>
    <t>Prof. M. Enachescu</t>
  </si>
  <si>
    <t>IEM (curs)</t>
  </si>
  <si>
    <t>Prof. R. Preda</t>
  </si>
  <si>
    <t>Prof. M. Stanciu</t>
  </si>
  <si>
    <t>Prof. O. Fratu</t>
  </si>
  <si>
    <t>Prof A. Vulpe</t>
  </si>
  <si>
    <t>Prof. O. Datcu</t>
  </si>
  <si>
    <t>Prof. A. Paun</t>
  </si>
  <si>
    <t>uC (curs)</t>
  </si>
  <si>
    <t>Opt (curs)</t>
  </si>
  <si>
    <t>#</t>
  </si>
  <si>
    <t>TTI (s)</t>
  </si>
  <si>
    <t>ALGAD (curs)</t>
  </si>
  <si>
    <t>SS (curs)</t>
  </si>
  <si>
    <t>ME (curs)</t>
  </si>
  <si>
    <t>AM (curs)</t>
  </si>
  <si>
    <t>DE (curs)</t>
  </si>
  <si>
    <t>CCP (curs)</t>
  </si>
  <si>
    <t>BE1 (curs)</t>
  </si>
  <si>
    <t>POO (curs)</t>
  </si>
  <si>
    <t>Elth1 (curs)</t>
  </si>
  <si>
    <t>TTI(s)</t>
  </si>
  <si>
    <t>Fizică 1 (curs)</t>
  </si>
  <si>
    <t>MN (c)</t>
  </si>
  <si>
    <t>CIA (s)</t>
  </si>
  <si>
    <t>uU (s)</t>
  </si>
  <si>
    <t>PCLP1 (curs)</t>
  </si>
  <si>
    <t>TCAD (c)</t>
  </si>
  <si>
    <t>Chimie (curs)</t>
  </si>
  <si>
    <t>O1</t>
  </si>
  <si>
    <t>uU(s)</t>
  </si>
  <si>
    <t>TTI (l)</t>
  </si>
  <si>
    <t>SS (s)</t>
  </si>
  <si>
    <t>SS _(s)</t>
  </si>
  <si>
    <t>CIA(s)</t>
  </si>
  <si>
    <t>uU (l)</t>
  </si>
  <si>
    <t>DE (s)</t>
  </si>
  <si>
    <t>DE _(s)</t>
  </si>
  <si>
    <t>TTI(l)</t>
  </si>
  <si>
    <t>CIA (l)</t>
  </si>
  <si>
    <t>POO (l)</t>
  </si>
  <si>
    <t>uU(l)</t>
  </si>
  <si>
    <t>IEM (l)</t>
  </si>
  <si>
    <t>Discipline obligatorii / Mandatory subjects</t>
  </si>
  <si>
    <t>Disciplina / Subject</t>
  </si>
  <si>
    <t>Seriile / Series</t>
  </si>
  <si>
    <t>Sala / Room</t>
  </si>
  <si>
    <t>Observatii</t>
  </si>
  <si>
    <t>CIA(l)</t>
  </si>
  <si>
    <t>Semnale si sisteme 1</t>
  </si>
  <si>
    <t>Toate</t>
  </si>
  <si>
    <t>B203</t>
  </si>
  <si>
    <t>Dispozitive electronice</t>
  </si>
  <si>
    <t>Proiect</t>
  </si>
  <si>
    <t>A410, A412</t>
  </si>
  <si>
    <t>Laboratorul de DE incepe din saptamana 5</t>
  </si>
  <si>
    <t>Arhitectura microprocesoarelor 1</t>
  </si>
  <si>
    <t>E</t>
  </si>
  <si>
    <t>IEM(l)</t>
  </si>
  <si>
    <t>sala 2 calculatoare (Luni) + sala 1 calculatoare (Vineri)</t>
  </si>
  <si>
    <t>A, B, F, G</t>
  </si>
  <si>
    <t>sala 3 calculatoare</t>
  </si>
  <si>
    <t>Incepe din saptamana 2</t>
  </si>
  <si>
    <t>C, D</t>
  </si>
  <si>
    <t>B128</t>
  </si>
  <si>
    <t>Componente și circuite pasive</t>
  </si>
  <si>
    <t>B123, B303</t>
  </si>
  <si>
    <t>Structuri de date și algoritmi</t>
  </si>
  <si>
    <t>421G</t>
  </si>
  <si>
    <t>SP (p)</t>
  </si>
  <si>
    <t>sala 1 calculatoare</t>
  </si>
  <si>
    <t>422G, 423G, 424G</t>
  </si>
  <si>
    <t>sala 2 calculatoare</t>
  </si>
  <si>
    <t>421D, 422D</t>
  </si>
  <si>
    <t>423D, 424D</t>
  </si>
  <si>
    <t>B02c</t>
  </si>
  <si>
    <t>C, F</t>
  </si>
  <si>
    <t>A413, A414, A415</t>
  </si>
  <si>
    <t>B</t>
  </si>
  <si>
    <t>Educație fizică și sport 3</t>
  </si>
  <si>
    <t>sala de sport</t>
  </si>
  <si>
    <t>Discipline optionale / Optional subjects</t>
  </si>
  <si>
    <t>Ziua si ora / Day and time</t>
  </si>
  <si>
    <t>Tehnici CAD pentru electronică (curs)</t>
  </si>
  <si>
    <t>Joi 13 15 par</t>
  </si>
  <si>
    <t>Luni 15 - 17 par</t>
  </si>
  <si>
    <t xml:space="preserve">C </t>
  </si>
  <si>
    <t>Luni 13 - 15 par</t>
  </si>
  <si>
    <t>Luni 13 - 15 impar</t>
  </si>
  <si>
    <t>Modelare și design 3D (curs)</t>
  </si>
  <si>
    <t>Luni 13-15 par</t>
  </si>
  <si>
    <t>Modelare și design 3D (laborator)</t>
  </si>
  <si>
    <t>Luni 15-17 par
Miercuri 9-11 
Miercuri 11-13 
Miercuri 15-17 
Miercuri 17-19 impar</t>
  </si>
  <si>
    <t>B304</t>
  </si>
  <si>
    <t>Inscriere: https://docs.google.com/spreadsheets/d/1qbormHzEHq-ZELTwvMNPxRFgGhCJhqJWzoF-WyXMvKE/edit?gid=0#gid=0</t>
  </si>
  <si>
    <t>Macroeconomie (curs)</t>
  </si>
  <si>
    <t>C, E, F, G</t>
  </si>
  <si>
    <t>Marți 13 - 15</t>
  </si>
  <si>
    <t>A, B, D</t>
  </si>
  <si>
    <t>Marți 15 - 17</t>
  </si>
  <si>
    <t>Microeconomie (curs)</t>
  </si>
  <si>
    <t>Elemente de drept și legislația afacerilor (curs)</t>
  </si>
  <si>
    <t>C, E, F</t>
  </si>
  <si>
    <t>Joi 15 - 17</t>
  </si>
  <si>
    <t>Proiect Python</t>
  </si>
  <si>
    <t>confrorm orarului</t>
  </si>
  <si>
    <t xml:space="preserve">Vodafone Innovation Hub </t>
  </si>
  <si>
    <t>421B, 422B</t>
  </si>
  <si>
    <t>A315</t>
  </si>
  <si>
    <t>421D, 423D</t>
  </si>
  <si>
    <t>A202</t>
  </si>
  <si>
    <t>Proiect CAD</t>
  </si>
  <si>
    <t>423B, 422D, 424D</t>
  </si>
  <si>
    <t>B302</t>
  </si>
  <si>
    <t>FC. Pedagogie II (curs)</t>
  </si>
  <si>
    <t>Marti 15-17
Marti 17-19
Miercuri 15-17</t>
  </si>
  <si>
    <t>B312
B312
B312</t>
  </si>
  <si>
    <t xml:space="preserve">FC. Pedagogie II (sem) </t>
  </si>
  <si>
    <t>Luni 13-15
Luni 15-17
Joi 15-17
Joi 17-19</t>
  </si>
  <si>
    <t>B122
B122
B219b
B13</t>
  </si>
  <si>
    <t>Prof. Alina Ioana CONSTANTIN</t>
  </si>
  <si>
    <r>
      <rPr/>
      <t>Luni 13-15
Luni 15-17</t>
    </r>
    <r>
      <rPr>
        <color rgb="FFFF0000"/>
      </rPr>
      <t xml:space="preserve">
Luni par 17-19
Luni impar 19-21</t>
    </r>
    <r>
      <rPr/>
      <t xml:space="preserve">
Marti 15-17
Marti 17-19
Marti 19-21</t>
    </r>
  </si>
  <si>
    <r>
      <rPr/>
      <t xml:space="preserve">B10
B10
</t>
    </r>
    <r>
      <rPr>
        <color rgb="FFFF0000"/>
      </rPr>
      <t xml:space="preserve">B11
B12
</t>
    </r>
    <r>
      <rPr/>
      <t>A101
B12
B13</t>
    </r>
  </si>
  <si>
    <t>prof. Roxana BABA</t>
  </si>
  <si>
    <t>Sala laborator</t>
  </si>
  <si>
    <t>Teoria transmisiunii informatiei</t>
  </si>
  <si>
    <t>F, G, 431E</t>
  </si>
  <si>
    <t>B121</t>
  </si>
  <si>
    <t>A, B, C, D, 432E, 433E, 434E</t>
  </si>
  <si>
    <t>B236</t>
  </si>
  <si>
    <t>Circuite integrate analogice</t>
  </si>
  <si>
    <t>A, B, C, D, E, F, G</t>
  </si>
  <si>
    <t>B214 / B215</t>
  </si>
  <si>
    <t>Microunde</t>
  </si>
  <si>
    <t>B04 / A302</t>
  </si>
  <si>
    <t>Instrumentatie electronica de masura</t>
  </si>
  <si>
    <t>B204 / B205</t>
  </si>
  <si>
    <t>Semnale si sisteme 3</t>
  </si>
  <si>
    <t>B202</t>
  </si>
  <si>
    <t>Achizitia si prelucrarea datelor</t>
  </si>
  <si>
    <t>B215</t>
  </si>
  <si>
    <t>Instrumentatie virtuala</t>
  </si>
  <si>
    <t>B217</t>
  </si>
  <si>
    <t>Inginerie Audio</t>
  </si>
  <si>
    <t>A308</t>
  </si>
  <si>
    <t>Discipline optionale</t>
  </si>
  <si>
    <t>Sala Curs</t>
  </si>
  <si>
    <t>Automatizări în electr. și telecom.</t>
  </si>
  <si>
    <t>ALGAD (s)</t>
  </si>
  <si>
    <t>DE s</t>
  </si>
  <si>
    <t>X</t>
  </si>
  <si>
    <t>Inginerie audio</t>
  </si>
  <si>
    <t>SS s</t>
  </si>
  <si>
    <t>Compatibilitate electromagnetica</t>
  </si>
  <si>
    <t>A, B, E, F</t>
  </si>
  <si>
    <t>Sisteme de operare 
/ 
Curs aplicativ de Linux si Python</t>
  </si>
  <si>
    <t>B, C, D, E, F, G</t>
  </si>
  <si>
    <t>Baze de date - Programarea interfețelor</t>
  </si>
  <si>
    <t xml:space="preserve">Optoelectronica </t>
  </si>
  <si>
    <t>Dezvoltarea aplicațiilor Android inovatoare (titular E. Popovici)</t>
  </si>
  <si>
    <t>amp l</t>
  </si>
  <si>
    <t>Joi 15-17 (curs)</t>
  </si>
  <si>
    <t>Repartizarea studenților la laborator si proiect se face la curs</t>
  </si>
  <si>
    <t>de l</t>
  </si>
  <si>
    <t>Instruire asistată de calculator (curs + seminar)</t>
  </si>
  <si>
    <t>Marti 9-10</t>
  </si>
  <si>
    <t>Marti 10-11</t>
  </si>
  <si>
    <t>Instruire asistată de calculator (seminar) (Claudia Oprescu)</t>
  </si>
  <si>
    <t>B218</t>
  </si>
  <si>
    <t>Luni 11-13</t>
  </si>
  <si>
    <t>Luni 19 - 21</t>
  </si>
  <si>
    <t>B13</t>
  </si>
  <si>
    <t>Verificare în proiectarea circuitelor (Vlăduț Popescu)</t>
  </si>
  <si>
    <t>Luni 15 -17 impar (curs)</t>
  </si>
  <si>
    <t>ss l</t>
  </si>
  <si>
    <t>Circuite Integrate Digitale 2 / Sisteme Electronice Digitale</t>
  </si>
  <si>
    <t>Luni 17-19 curs</t>
  </si>
  <si>
    <t xml:space="preserve">A103 </t>
  </si>
  <si>
    <t>Luni 15-17 (laborator) (lab nu se face in sap 1)</t>
  </si>
  <si>
    <t>Joi 17-19 (laborator) (lab nu se face in sap 1)</t>
  </si>
  <si>
    <t>Joi 15-17 (laborator) (lab nu se face in sap 1)</t>
  </si>
  <si>
    <t>Educatie fizica si sport 5</t>
  </si>
  <si>
    <t>Contact:
prof. Narcis Neagu
Sala Sport sau tel 0744912126</t>
  </si>
  <si>
    <t>Sala de sport</t>
  </si>
  <si>
    <t>sda l</t>
  </si>
  <si>
    <t>Disciplina Instrumentație Electronică de Măsură (seriile F+G)</t>
  </si>
  <si>
    <t>- seminarul de IEM începe dupa primul curs</t>
  </si>
  <si>
    <t xml:space="preserve">Proiect CEF </t>
  </si>
  <si>
    <t>Seria E 9-13 miercuri, B100</t>
  </si>
  <si>
    <t>Seria D 15-19 miercuri, B100; prima întâlnire în B306 ora 15-16</t>
  </si>
  <si>
    <t>ccp l</t>
  </si>
  <si>
    <t>Automatizări în electronică și telecomunicații
(laborator)
Laboratorul incepe in saptamana a 4-a!</t>
  </si>
  <si>
    <t>AM (s)</t>
  </si>
  <si>
    <t>Grupa</t>
  </si>
  <si>
    <t>SP s</t>
  </si>
  <si>
    <t>Bazele Stiintei Informatiei
BSI
(laborator)
Studentii de la toate grupele anului III se vor orienta catre aceste intervale orare in functie de disponibilitatile lor.</t>
  </si>
  <si>
    <t>C.D.</t>
  </si>
  <si>
    <t>prof. B. Alexandrescu</t>
  </si>
  <si>
    <t>proiect</t>
  </si>
  <si>
    <t>Baze de date - Programarea interfețelor
(proiect)
Repartizarea studentilor pentru proiect se face la primul curs
Laboratorul incepe in saptamana 3!</t>
  </si>
  <si>
    <t>Seria, grupa</t>
  </si>
  <si>
    <t>Marti 9-11</t>
  </si>
  <si>
    <t>B125a</t>
  </si>
  <si>
    <t>Marti 11-13</t>
  </si>
  <si>
    <t>Miercuri 11-13</t>
  </si>
  <si>
    <t>Disciplina Inginerie Audio</t>
  </si>
  <si>
    <t>- cursul incepe in saptamana 2</t>
  </si>
  <si>
    <t>- laboratorul incepe in saptamana 3 (sala A308)</t>
  </si>
  <si>
    <t>- repartizarea studenților la laborator se face la primul curs</t>
  </si>
  <si>
    <t>- Inscrierea pentru laborator pentru studenti se face pe platforma Moodle</t>
  </si>
  <si>
    <t>Disciplina Compatibilitate Electromagnetica</t>
  </si>
  <si>
    <t xml:space="preserve">Compatibilitate Electromagnetica. Laboratorul incepe din saptamana a 2-a. </t>
  </si>
  <si>
    <t>BE1 (s)</t>
  </si>
  <si>
    <t>Se tine cu subgrupa (in jur de 13-15 studenti /sedinta).</t>
  </si>
  <si>
    <t>Dedesubt aveti precizate subgrupele care trebuie sa vina in fiecare slot temporal, pentru a mentine grupele echilibrate.</t>
  </si>
  <si>
    <t>Compatibilitate electromagnetica
 CEM
 (laborator)</t>
  </si>
  <si>
    <t>Grupe</t>
  </si>
  <si>
    <t>Ora</t>
  </si>
  <si>
    <t>B304A</t>
  </si>
  <si>
    <t>3xA+31B+33B</t>
  </si>
  <si>
    <t>Luni 15-17 impar</t>
  </si>
  <si>
    <t>32B</t>
  </si>
  <si>
    <t>Marti 13-15 impar</t>
  </si>
  <si>
    <t>33E(15 pers.)</t>
  </si>
  <si>
    <t>Marti 17-19 impar</t>
  </si>
  <si>
    <t>32E+33E(2 pers.)+34E</t>
  </si>
  <si>
    <t>Luni 09-11 par</t>
  </si>
  <si>
    <t>31E+31F+32F+34B</t>
  </si>
  <si>
    <t>Marti 17-19 par</t>
  </si>
  <si>
    <t>rezerva</t>
  </si>
  <si>
    <t>Miercuri 18-20 impar</t>
  </si>
  <si>
    <t>Sisteme de operare / Curs aplicativ de Linux si Python</t>
  </si>
  <si>
    <t xml:space="preserve">Disciplina poarta denumirea </t>
  </si>
  <si>
    <t xml:space="preserve">* Sisteme de operare la seriile ELA (B), MON (E), ELA-Eng(F), respectiv </t>
  </si>
  <si>
    <t>* Curs aplicativ de Linux si Python la seriile TST(C), RST(D), TST-Eng(G)</t>
  </si>
  <si>
    <r>
      <rPr>
        <color rgb="FF000000"/>
      </rPr>
      <t xml:space="preserve">Laboratorul se tine in sala A202. Pentru inscriere completati-va numele, in limita locurilor disponibile, in documentul </t>
    </r>
    <r>
      <rPr>
        <color rgb="FF000000"/>
        <u/>
      </rPr>
      <t>tiny.cc/calp_plan</t>
    </r>
  </si>
  <si>
    <t xml:space="preserve">#
</t>
  </si>
  <si>
    <t>Elth1 (s)</t>
  </si>
  <si>
    <t>Luni 15-17 par</t>
  </si>
  <si>
    <t>Marti 13-15 par</t>
  </si>
  <si>
    <t>Miercuri 15-17 impar</t>
  </si>
  <si>
    <t>Miercuri 15-17 par</t>
  </si>
  <si>
    <r>
      <rPr>
        <rFont val="arial"/>
        <b/>
      </rPr>
      <t xml:space="preserve">Optoelectronică (OE) / Bazele optoelectronicii (BOE)
(laborator)
</t>
    </r>
    <r>
      <rPr>
        <rFont val="arial"/>
        <b/>
        <color rgb="FFFF0000"/>
      </rPr>
      <t xml:space="preserve">Laboratorul incepe din saptamana a 2-a. </t>
    </r>
    <r>
      <rPr>
        <rFont val="arial"/>
        <b/>
      </rPr>
      <t xml:space="preserve">
Pentru repartizare, vă rog să completați formularul aflat la capatul tabelului. </t>
    </r>
  </si>
  <si>
    <t>Interval laborator</t>
  </si>
  <si>
    <t>Formular repartizare grupe</t>
  </si>
  <si>
    <t>A402 (sapt. 1-8), A408 (sapt. 9-14)</t>
  </si>
  <si>
    <t>https://form.jotform.com/262641843024352</t>
  </si>
  <si>
    <t>uC (l)</t>
  </si>
  <si>
    <t>Sali laboratoare - seriile CDG</t>
  </si>
  <si>
    <t>PCLP1 (l)</t>
  </si>
  <si>
    <t>ANTENE ŞI PROPAGARE</t>
  </si>
  <si>
    <t>C (TST)</t>
  </si>
  <si>
    <t>B028</t>
  </si>
  <si>
    <t>G (TST)</t>
  </si>
  <si>
    <t>ARHITECTURA SISTEMELOR DE CALCUL</t>
  </si>
  <si>
    <t>D (RST)</t>
  </si>
  <si>
    <t>A313</t>
  </si>
  <si>
    <t>INTELIGENȚĂ ARTIFICIALĂ</t>
  </si>
  <si>
    <t>IVC</t>
  </si>
  <si>
    <t>SC2</t>
  </si>
  <si>
    <t>Laboratorul începe din prima săptămână</t>
  </si>
  <si>
    <t>IVD</t>
  </si>
  <si>
    <t>ARTIFICIAL INTELLIGENCE</t>
  </si>
  <si>
    <t>IVG</t>
  </si>
  <si>
    <t>COMUNICAŢII ANALOGICE ŞI DIGITALE</t>
  </si>
  <si>
    <t xml:space="preserve">C, D, G </t>
  </si>
  <si>
    <t>B118</t>
  </si>
  <si>
    <t xml:space="preserve">Laboratorul de CAD începe din prima săptămână </t>
  </si>
  <si>
    <t>PROCESOARE DE SEMNAL ÎN COMUNICAŢII (opt 2)</t>
  </si>
  <si>
    <t>C, G (TST)</t>
  </si>
  <si>
    <t>Vineri  9-12, 12-15
Cursul și laboratorul încep din a 2a săptămână.</t>
  </si>
  <si>
    <t>INTRODUCERE ÎN PRELUCRAREA IMAGINILOR ȘI VEDERE ARTIFICIALĂ - IPIVA (opt 2)</t>
  </si>
  <si>
    <t>Joi 15-18
Vineri 15-18
Cursul și laboratorul încep din a 2a săptămână
Repartizarea studentilor la laborator se face la curs</t>
  </si>
  <si>
    <t>REŢELE DE COMUNICAŢII</t>
  </si>
  <si>
    <t>COMMUNICATIONS NETWORKS</t>
  </si>
  <si>
    <t>SISTEME DE OPERARE</t>
  </si>
  <si>
    <t>A314</t>
  </si>
  <si>
    <t>SISTEME ȘI ECHIPAMENTE DE COMUNICAȚII RADIO</t>
  </si>
  <si>
    <t xml:space="preserve"> C, G (TST)</t>
  </si>
  <si>
    <t>A306/B01</t>
  </si>
  <si>
    <t>Primul lab SECR se tine in B01</t>
  </si>
  <si>
    <t>REŢELE ȘI SERVICII</t>
  </si>
  <si>
    <t>Sali laboratoare - seriile ABEF</t>
  </si>
  <si>
    <t>Procesoare de semnal (PS)</t>
  </si>
  <si>
    <t>Calitate şi fiabilitate (CAF)</t>
  </si>
  <si>
    <t>B032</t>
  </si>
  <si>
    <t>Cursul și laboratoarele de CAF încep din săptămâna a 2-a</t>
  </si>
  <si>
    <t>Mai multe informații pe site https://www.euroqual.pub.ro, meniul Cursuri -&gt; Calitate și fiabilitate și pe platforma Moodle</t>
  </si>
  <si>
    <t>Inteligență artificială 2 - recunoașterea formelor (IA2RF)</t>
  </si>
  <si>
    <t>Sala 2 de calculatoare</t>
  </si>
  <si>
    <t>Prelucrarea imaginilor (PI)</t>
  </si>
  <si>
    <t>B135a</t>
  </si>
  <si>
    <t>Inginerie software (IS)</t>
  </si>
  <si>
    <t>Reţele de calculatoare (RC)</t>
  </si>
  <si>
    <t>Interfețe om - mașină (IOM)</t>
  </si>
  <si>
    <t>Algoritmi paraleli și distribuiți 1 (APD1)</t>
  </si>
  <si>
    <t>Electronică şi informatică medicală (EIM)
Medical Electronics and Informatics (MEI)</t>
  </si>
  <si>
    <t>B, F</t>
  </si>
  <si>
    <t>B136</t>
  </si>
  <si>
    <t>Tehnologii de programare în Internet (TPI)</t>
  </si>
  <si>
    <t>443B</t>
  </si>
  <si>
    <t>B125b</t>
  </si>
  <si>
    <t>441B, 442B, 444B</t>
  </si>
  <si>
    <t>Imagistică medicală (IM)
Medical Imaging (MI)</t>
  </si>
  <si>
    <t>B323</t>
  </si>
  <si>
    <t>Arhitectura sistemelor de calcul (ASC) Computer Architectures (CA)</t>
  </si>
  <si>
    <t xml:space="preserve">B125b </t>
  </si>
  <si>
    <t>Procesoare electronice de putere (PEP)
Power electronic processors (PEP)</t>
  </si>
  <si>
    <t>B235</t>
  </si>
  <si>
    <t>Grafică 3D (G3D)
3D Graphics (3DG)</t>
  </si>
  <si>
    <t>Tehnici avansate de prelucrare digitală a semnalelor (TAPDS)</t>
  </si>
  <si>
    <t>B029</t>
  </si>
  <si>
    <t>Tehnici de proiectare pentru structuri VLSI (TPSVLSI)</t>
  </si>
  <si>
    <t>B120</t>
  </si>
  <si>
    <t>Bazele tehnologice ale microelectronicii (BTM)</t>
  </si>
  <si>
    <t>Dispozitive optoelectronice (DOE)</t>
  </si>
  <si>
    <t xml:space="preserve">E </t>
  </si>
  <si>
    <t>A402 - sapt. 1-8</t>
  </si>
  <si>
    <t>A408 - sapt. 9-14</t>
  </si>
  <si>
    <t>Arhitectura sistemelor de calcul (ASC)</t>
  </si>
  <si>
    <t>Testare şi instrumentație virtuală în microelectronică (TIVM)</t>
  </si>
  <si>
    <t>Neural networks and fuzzy systems (NNFS)</t>
  </si>
  <si>
    <t>Proiectarea bazelor de date - Proiect (PBD)</t>
  </si>
  <si>
    <t>442A / 443A</t>
  </si>
  <si>
    <t>Procesoare de semnal - Proiect (PS)</t>
  </si>
  <si>
    <t>441Ab + 444Ab</t>
  </si>
  <si>
    <t>Joi 17-19 impar</t>
  </si>
  <si>
    <t>B237</t>
  </si>
  <si>
    <t xml:space="preserve">441Aa + 444Aa </t>
  </si>
  <si>
    <t>Joi 17-19 par</t>
  </si>
  <si>
    <t>LS1 (s)</t>
  </si>
  <si>
    <t>Sisteme electronice programabile (SEP) - laborator</t>
  </si>
  <si>
    <t>441B / 444B</t>
  </si>
  <si>
    <t>Luni 9-11 
impar - 441B, par - 444B</t>
  </si>
  <si>
    <t>443B / 442B</t>
  </si>
  <si>
    <t>Luni 11-13
impar - 443B, par - 442B</t>
  </si>
  <si>
    <t>Sisteme electronice programabile - Proiect (SEP)</t>
  </si>
  <si>
    <t>441Bb + 442Bb</t>
  </si>
  <si>
    <t>Joi 19-21 impar</t>
  </si>
  <si>
    <t>441Ba + 442Ba</t>
  </si>
  <si>
    <t>Joi 19-21 par</t>
  </si>
  <si>
    <t>Tehnologii Web - Proiect (Tech. Web)</t>
  </si>
  <si>
    <t>Luni 13-15 impar</t>
  </si>
  <si>
    <t>444B</t>
  </si>
  <si>
    <t>RADAR</t>
  </si>
  <si>
    <t>C, D, G</t>
  </si>
  <si>
    <t>MEDII DE TRANSMISIUNE</t>
  </si>
  <si>
    <t>BAZELE CRIPTOLOGIEI 2</t>
  </si>
  <si>
    <t xml:space="preserve">Inteligență artificială - Proiect
</t>
  </si>
  <si>
    <t>Luni 11-13 impar</t>
  </si>
  <si>
    <t xml:space="preserve">Comunicații de date - Proiect
</t>
  </si>
  <si>
    <t xml:space="preserve">Procesoare de semnal în comunicații - Proiect
</t>
  </si>
  <si>
    <t>Marti 15-16</t>
  </si>
  <si>
    <t>B01</t>
  </si>
  <si>
    <t xml:space="preserve">Rețele și servicii - Proiect
</t>
  </si>
  <si>
    <t>A110</t>
  </si>
  <si>
    <t xml:space="preserve">Data Communications - Project
</t>
  </si>
  <si>
    <t>Luni 17-18</t>
  </si>
  <si>
    <t>B218/A102</t>
  </si>
  <si>
    <t>Tehnici avansate de prelucrare digitală a semnalelor - Proiect</t>
  </si>
  <si>
    <t>Joi par 13-15</t>
  </si>
  <si>
    <t>Tehnici de proiectare pentru structuri VLSI - Proiect</t>
  </si>
  <si>
    <t>Luni par 19-21</t>
  </si>
  <si>
    <t>B221</t>
  </si>
  <si>
    <t>Bazele tehnologice ale microelectronicii - Proiect</t>
  </si>
  <si>
    <t>Miercuri impar 17-19</t>
  </si>
  <si>
    <t>Arhitectura sistemelor de calcul - Proiect</t>
  </si>
  <si>
    <t>Vineri impar 15-17</t>
  </si>
  <si>
    <t>Programable Electronic Systems (PES)</t>
  </si>
  <si>
    <t>Vineri impar 13-15</t>
  </si>
  <si>
    <t>Programable Electronic Systems - Project (PES)</t>
  </si>
  <si>
    <t>441Fb / 441Fa</t>
  </si>
  <si>
    <t>Luni 19-21
impar - 441Fb, par - 441Fa</t>
  </si>
  <si>
    <t>Electronică auto</t>
  </si>
  <si>
    <t>toate</t>
  </si>
  <si>
    <t>Laboratoare Opţionale seriile C, D, G:</t>
  </si>
  <si>
    <t>Radar</t>
  </si>
  <si>
    <t>B02</t>
  </si>
  <si>
    <t>Medii de transmisiune</t>
  </si>
  <si>
    <t>Luni 11-13 Marti 9-11 Miercuri 9-11, 11-13 (par), 13-15</t>
  </si>
  <si>
    <t>B043</t>
  </si>
  <si>
    <t>Bazele criptologiei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</si>
</sst>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"/>
    <numFmt numFmtId="165" formatCode="m-d"/>
  </numFmts>
  <fonts count="73">
    <font>
      <sz val="10.0"/>
      <color rgb="FF000000"/>
      <name val="Arial"/>
    </font>
    <font>
      <b/>
      <sz val="8.0"/>
    </font>
    <font/>
    <font>
      <name val="Arial"/>
    </font>
    <font>
      <sz val="8.0"/>
    </font>
    <font>
      <b/>
      <sz val="7.0"/>
      <name val="Arial"/>
    </font>
    <font>
      <b/>
      <sz val="8.0"/>
      <name val="Arial"/>
    </font>
    <font>
      <sz val="8.0"/>
      <name val="Arial"/>
    </font>
    <font>
      <b/>
      <sz val="8.0"/>
      <color rgb="FF008000"/>
    </font>
    <font>
      <b/>
      <sz val="8.0"/>
      <color rgb="FF008000"/>
      <name val="Arial"/>
    </font>
    <font>
      <b/>
      <sz val="7.0"/>
      <color rgb="FF000000"/>
      <name val="Arial"/>
    </font>
    <font>
      <b/>
      <sz val="8.0"/>
      <color rgb="FF000000"/>
    </font>
    <font>
      <sz val="7.0"/>
    </font>
    <font>
      <sz val="7.0"/>
      <name val="Arial"/>
    </font>
    <font>
      <sz val="8.0"/>
      <color rgb="FF000000"/>
      <name val="Arial"/>
    </font>
    <font>
      <color rgb="FFFF0000"/>
      <name val="Arial"/>
    </font>
    <font>
      <sz val="6.0"/>
    </font>
    <font>
      <b/>
      <sz val="8.0"/>
      <color rgb="FF1155CC"/>
      <name val="Arial"/>
    </font>
    <font>
      <b/>
      <sz val="6.0"/>
      <color rgb="FF4A86E8"/>
      <name val="Arial"/>
    </font>
    <font>
      <b/>
      <sz val="8.0"/>
      <color rgb="FF3C78D8"/>
      <name val="Arial"/>
    </font>
    <font>
      <sz val="9.0"/>
      <name val="Arial"/>
    </font>
    <font>
      <b/>
      <sz val="8.0"/>
      <color rgb="FF0000FF"/>
      <name val="Arial"/>
    </font>
    <font>
      <b/>
      <sz val="8.0"/>
      <color rgb="FF38761D"/>
      <name val="Arial"/>
    </font>
    <font>
      <b/>
      <sz val="7.0"/>
      <color rgb="FF4A86E8"/>
      <name val="Arial"/>
    </font>
    <font>
      <b/>
      <sz val="8.0"/>
      <color rgb="FF4A86E8"/>
      <name val="Arial"/>
    </font>
    <font>
      <b/>
      <sz val="5.0"/>
      <color rgb="FF4A86E8"/>
      <name val="Arial"/>
    </font>
    <font>
      <b/>
      <sz val="8.0"/>
      <color rgb="FF000000"/>
      <name val="Arial"/>
    </font>
    <font>
      <b/>
      <sz val="8.0"/>
      <color rgb="FFFF0000"/>
      <name val="Arial"/>
    </font>
    <font>
      <sz val="6.0"/>
      <name val="Arial"/>
    </font>
    <font>
      <b/>
      <name val="Arial"/>
    </font>
    <font>
      <sz val="8.0"/>
      <color rgb="FFFF0000"/>
      <name val="Arial"/>
    </font>
    <font>
      <color rgb="FF000000"/>
    </font>
    <font>
      <b/>
      <sz val="8.0"/>
      <color rgb="FF9900FF"/>
      <name val="Arial"/>
    </font>
    <font>
      <sz val="8.0"/>
      <color rgb="FF000000"/>
    </font>
    <font>
      <color rgb="FF000000"/>
      <name val="Arial"/>
    </font>
    <font>
      <b/>
      <sz val="7.0"/>
      <color rgb="FF434343"/>
      <name val="Arial"/>
    </font>
    <font>
      <b/>
      <sz val="8.0"/>
      <color rgb="FF00FF00"/>
      <name val="Arial"/>
    </font>
    <font>
      <b/>
    </font>
    <font>
      <sz val="9.0"/>
    </font>
    <font>
      <b/>
      <sz val="8.0"/>
      <color rgb="FF4A86E8"/>
    </font>
    <font>
      <b/>
      <sz val="8.0"/>
      <color rgb="FF783F04"/>
    </font>
    <font>
      <sz val="8.0"/>
      <color rgb="FF008000"/>
      <name val="Arial"/>
    </font>
    <font>
      <b/>
      <sz val="12.0"/>
      <color rgb="FF000000"/>
    </font>
    <font>
      <color rgb="FFFF0000"/>
    </font>
    <font>
      <b/>
      <color rgb="FF000000"/>
    </font>
    <font>
      <b/>
      <color rgb="FFFF0000"/>
    </font>
    <font>
      <b/>
      <color rgb="FFFF0000"/>
      <name val="Arial"/>
    </font>
    <font>
      <b/>
      <sz val="7.0"/>
      <color rgb="FF008000"/>
      <name val="Arial"/>
    </font>
    <font>
      <b/>
      <sz val="7.0"/>
      <color rgb="FF783F04"/>
      <name val="Arial"/>
    </font>
    <font>
      <color rgb="FFFF00FF"/>
    </font>
    <font>
      <color rgb="FF434343"/>
    </font>
    <font>
      <sz val="11.0"/>
      <color rgb="FF000000"/>
      <name val="&quot;Arial&quot;"/>
    </font>
    <font>
      <b/>
      <sz val="12.0"/>
    </font>
    <font>
      <sz val="11.0"/>
      <color rgb="FF000000"/>
    </font>
    <font>
      <sz val="11.0"/>
    </font>
    <font>
      <sz val="12.0"/>
    </font>
    <font>
      <sz val="11.0"/>
      <name val="Arial"/>
    </font>
    <font>
      <b/>
      <sz val="12.0"/>
      <color rgb="FF000000"/>
      <name val="Calibri"/>
    </font>
    <font>
      <b/>
      <color rgb="FF000000"/>
      <name val="Arial"/>
    </font>
    <font>
      <u/>
      <color rgb="FF000000"/>
    </font>
    <font>
      <u/>
      <color rgb="FF0000FF"/>
    </font>
    <font>
      <color rgb="FFFF0000"/>
      <name val="&quot;Arial&quot;"/>
    </font>
    <font>
      <name val="&quot;Arial&quot;"/>
    </font>
    <font>
      <b/>
      <sz val="12.0"/>
      <color rgb="FFFF0000"/>
    </font>
    <font>
      <color rgb="FF00FF00"/>
    </font>
    <font>
      <b/>
      <sz val="10.0"/>
      <color rgb="FF000000"/>
      <name val="&quot;Arial&quot;"/>
    </font>
    <font>
      <b/>
      <sz val="10.0"/>
      <color rgb="FF000000"/>
    </font>
    <font>
      <b/>
      <sz val="10.0"/>
      <color rgb="FFFF0000"/>
      <name val="&quot;Arial&quot;"/>
    </font>
    <font>
      <b/>
      <sz val="10.0"/>
      <color rgb="FFFF0000"/>
    </font>
    <font>
      <sz val="10.0"/>
      <color rgb="FFFF0000"/>
      <name val="&quot;Arial&quot;"/>
    </font>
    <font>
      <sz val="10.0"/>
      <color rgb="FFFF0000"/>
    </font>
    <font>
      <sz val="10.0"/>
      <name val="&quot;Arial&quot;"/>
    </font>
    <font>
      <sz val="10.0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CCFFCC"/>
        <bgColor rgb="FFCCFFCC"/>
      </patternFill>
    </fill>
    <fill>
      <patternFill patternType="solid">
        <fgColor rgb="FFFF0000"/>
        <bgColor rgb="FFFF0000"/>
      </patternFill>
    </fill>
    <fill>
      <patternFill patternType="solid">
        <fgColor rgb="FFB7E1CD"/>
        <bgColor rgb="FFB7E1CD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4C7C3"/>
        <bgColor rgb="FFF4C7C3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434343"/>
        <bgColor rgb="FF434343"/>
      </patternFill>
    </fill>
    <fill>
      <patternFill patternType="solid">
        <fgColor rgb="FFFCE8B2"/>
        <bgColor rgb="FFFCE8B2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969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3" fontId="3" numFmtId="0" xfId="0" applyAlignment="1" applyFill="1" applyFont="1">
      <alignment shrinkToFit="0" wrapText="1"/>
    </xf>
    <xf borderId="1" fillId="2" fontId="3" numFmtId="0" xfId="0" applyAlignment="1" applyBorder="1" applyFill="1" applyFont="1">
      <alignment horizontal="center" shrinkToFit="0" vertical="center" wrapText="1"/>
    </xf>
    <xf borderId="4" fillId="2" fontId="3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3" fillId="2" fontId="5" numFmtId="0" xfId="0" applyAlignment="1" applyBorder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2" fontId="3" numFmtId="0" xfId="0" applyAlignment="1" applyFill="1" applyFont="1">
      <alignment shrinkToFit="0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6" fillId="3" fontId="6" numFmtId="0" xfId="0" applyAlignment="1" applyBorder="1" applyFill="1" applyFont="1">
      <alignment horizontal="center" shrinkToFit="0" wrapText="1"/>
    </xf>
    <xf borderId="4" fillId="4" fontId="3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readingOrder="0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readingOrder="0" shrinkToFit="0" vertical="center" wrapText="0"/>
    </xf>
    <xf borderId="7" fillId="0" fontId="1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wrapText="0"/>
    </xf>
    <xf borderId="8" fillId="2" fontId="3" numFmtId="0" xfId="0" applyAlignment="1" applyBorder="1" applyFill="1" applyFont="1">
      <alignment horizontal="center" shrinkToFit="0" vertical="center" wrapText="1"/>
    </xf>
    <xf borderId="4" fillId="2" fontId="6" numFmtId="0" xfId="0" applyAlignment="1" applyBorder="1" applyFill="1" applyFont="1">
      <alignment shrinkToFit="0" wrapText="0"/>
    </xf>
    <xf borderId="8" fillId="0" fontId="5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7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8" fillId="2" fontId="5" numFmtId="0" xfId="0" applyAlignment="1" applyBorder="1" applyFill="1" applyFont="1">
      <alignment horizontal="center" shrinkToFit="0" vertical="center" wrapText="1"/>
    </xf>
    <xf borderId="8" fillId="0" fontId="6" numFmtId="164" xfId="0" applyAlignment="1" applyBorder="1" applyFont="1" applyNumberFormat="1">
      <alignment horizontal="center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8" fillId="0" fontId="6" numFmtId="164" xfId="0" applyAlignment="1" applyBorder="1" applyFont="1" applyNumberFormat="1">
      <alignment horizontal="center" readingOrder="0" shrinkToFit="0" vertical="center" wrapText="1"/>
    </xf>
    <xf borderId="5" fillId="3" fontId="3" numFmtId="0" xfId="0" applyAlignment="1" applyBorder="1" applyFill="1" applyFont="1">
      <alignment shrinkToFit="0" wrapText="1"/>
    </xf>
    <xf borderId="9" fillId="2" fontId="7" numFmtId="0" xfId="0" applyAlignment="1" applyBorder="1" applyFill="1" applyFont="1">
      <alignment horizontal="center" readingOrder="0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shrinkToFit="0" wrapText="1"/>
    </xf>
    <xf borderId="9" fillId="0" fontId="7" numFmtId="0" xfId="0" applyAlignment="1" applyBorder="1" applyFont="1">
      <alignment horizontal="center" shrinkToFit="0" vertical="center" wrapText="0"/>
    </xf>
    <xf borderId="11" fillId="2" fontId="7" numFmtId="0" xfId="0" applyAlignment="1" applyBorder="1" applyFill="1" applyFont="1">
      <alignment horizontal="center" readingOrder="0" shrinkToFit="0" vertical="center" wrapText="1"/>
    </xf>
    <xf borderId="11" fillId="0" fontId="7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readingOrder="0" shrinkToFit="0" vertical="center" wrapText="1"/>
    </xf>
    <xf borderId="6" fillId="4" fontId="5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1"/>
    </xf>
    <xf borderId="7" fillId="0" fontId="7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5" fillId="3" fontId="3" numFmtId="0" xfId="0" applyAlignment="1" applyBorder="1" applyFill="1" applyFont="1">
      <alignment shrinkToFit="0" vertical="bottom" wrapText="1"/>
    </xf>
    <xf borderId="12" fillId="0" fontId="3" numFmtId="0" xfId="0" applyAlignment="1" applyBorder="1" applyFont="1">
      <alignment shrinkToFit="0" vertical="bottom" wrapText="1"/>
    </xf>
    <xf borderId="5" fillId="3" fontId="3" numFmtId="0" xfId="0" applyAlignment="1" applyBorder="1" applyFill="1" applyFont="1">
      <alignment shrinkToFit="0" vertical="center" wrapText="1"/>
    </xf>
    <xf borderId="13" fillId="5" fontId="8" numFmtId="0" xfId="0" applyAlignment="1" applyBorder="1" applyFill="1" applyFont="1">
      <alignment horizontal="center" readingOrder="0" shrinkToFit="0" vertical="center" wrapText="1"/>
    </xf>
    <xf borderId="8" fillId="5" fontId="8" numFmtId="0" xfId="0" applyAlignment="1" applyBorder="1" applyFill="1" applyFont="1">
      <alignment horizontal="center" readingOrder="0" shrinkToFit="0" vertical="center" wrapText="1"/>
    </xf>
    <xf borderId="9" fillId="5" fontId="9" numFmtId="0" xfId="0" applyAlignment="1" applyBorder="1" applyFill="1" applyFont="1">
      <alignment horizontal="center" shrinkToFit="0" vertical="center" wrapText="1"/>
    </xf>
    <xf borderId="11" fillId="0" fontId="2" numFmtId="0" xfId="0" applyAlignment="1" applyBorder="1" applyFont="1">
      <alignment shrinkToFit="0" wrapText="1"/>
    </xf>
    <xf borderId="5" fillId="3" fontId="3" numFmtId="0" xfId="0" applyAlignment="1" applyBorder="1" applyFill="1" applyFont="1">
      <alignment shrinkToFit="0" vertical="bottom" wrapText="1"/>
    </xf>
    <xf borderId="0" fillId="2" fontId="2" numFmtId="0" xfId="0" applyAlignment="1" applyFill="1" applyFont="1">
      <alignment shrinkToFit="0" wrapText="1"/>
    </xf>
    <xf borderId="0" fillId="2" fontId="7" numFmtId="0" xfId="0" applyAlignment="1" applyFill="1" applyFont="1">
      <alignment horizontal="center" readingOrder="0" shrinkToFit="0" vertical="center" wrapText="1"/>
    </xf>
    <xf borderId="14" fillId="3" fontId="7" numFmtId="0" xfId="0" applyAlignment="1" applyBorder="1" applyFill="1" applyFont="1">
      <alignment horizontal="center" shrinkToFit="0" vertical="bottom" wrapText="1"/>
    </xf>
    <xf borderId="14" fillId="2" fontId="7" numFmtId="0" xfId="0" applyAlignment="1" applyBorder="1" applyFill="1" applyFont="1">
      <alignment horizontal="center" readingOrder="0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vertical="bottom" wrapText="1"/>
    </xf>
    <xf borderId="8" fillId="6" fontId="10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8" fillId="2" fontId="5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8" fillId="4" fontId="5" numFmtId="0" xfId="0" applyAlignment="1" applyBorder="1" applyFill="1" applyFont="1">
      <alignment horizontal="center" shrinkToFit="0" vertical="center" wrapText="1"/>
    </xf>
    <xf borderId="0" fillId="3" fontId="6" numFmtId="0" xfId="0" applyAlignment="1" applyFill="1" applyFont="1">
      <alignment horizontal="center" shrinkToFit="0" wrapText="1"/>
    </xf>
    <xf borderId="7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wrapText="1"/>
    </xf>
    <xf borderId="6" fillId="2" fontId="6" numFmtId="0" xfId="0" applyAlignment="1" applyBorder="1" applyFill="1" applyFont="1">
      <alignment readingOrder="0" shrinkToFit="0" vertical="center" wrapText="1"/>
    </xf>
    <xf borderId="6" fillId="2" fontId="1" numFmtId="0" xfId="0" applyAlignment="1" applyBorder="1" applyFill="1" applyFont="1">
      <alignment horizontal="center" readingOrder="0" shrinkToFit="0" vertical="center" wrapText="1"/>
    </xf>
    <xf borderId="15" fillId="0" fontId="2" numFmtId="0" xfId="0" applyAlignment="1" applyBorder="1" applyFont="1">
      <alignment shrinkToFit="0" wrapText="1"/>
    </xf>
    <xf borderId="8" fillId="0" fontId="2" numFmtId="0" xfId="0" applyAlignment="1" applyBorder="1" applyFont="1">
      <alignment shrinkToFit="0" wrapText="1"/>
    </xf>
    <xf borderId="13" fillId="0" fontId="2" numFmtId="0" xfId="0" applyAlignment="1" applyBorder="1" applyFont="1">
      <alignment shrinkToFit="0" wrapText="1"/>
    </xf>
    <xf borderId="0" fillId="2" fontId="7" numFmtId="0" xfId="0" applyAlignment="1" applyFill="1" applyFont="1">
      <alignment horizontal="center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8" fillId="2" fontId="5" numFmtId="0" xfId="0" applyAlignment="1" applyBorder="1" applyFill="1" applyFont="1">
      <alignment horizontal="center" readingOrder="0" shrinkToFit="0" vertical="center" wrapText="1"/>
    </xf>
    <xf borderId="7" fillId="2" fontId="7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9" fillId="0" fontId="7" numFmtId="0" xfId="0" applyAlignment="1" applyBorder="1" applyFont="1">
      <alignment horizontal="center" readingOrder="0" shrinkToFit="0" wrapText="1"/>
    </xf>
    <xf borderId="11" fillId="2" fontId="7" numFmtId="0" xfId="0" applyAlignment="1" applyBorder="1" applyFill="1" applyFont="1">
      <alignment horizontal="center" shrinkToFit="0" vertical="center" wrapText="1"/>
    </xf>
    <xf borderId="8" fillId="4" fontId="3" numFmtId="0" xfId="0" applyAlignment="1" applyBorder="1" applyFill="1" applyFont="1">
      <alignment horizontal="center" shrinkToFit="0" vertical="center" wrapText="1"/>
    </xf>
    <xf borderId="5" fillId="0" fontId="2" numFmtId="0" xfId="0" applyAlignment="1" applyBorder="1" applyFont="1">
      <alignment shrinkToFit="0" wrapText="1"/>
    </xf>
    <xf borderId="8" fillId="0" fontId="6" numFmtId="165" xfId="0" applyAlignment="1" applyBorder="1" applyFont="1" applyNumberFormat="1">
      <alignment horizontal="center" shrinkToFit="0" vertical="center" wrapText="1"/>
    </xf>
    <xf borderId="7" fillId="2" fontId="12" numFmtId="0" xfId="0" applyAlignment="1" applyBorder="1" applyFill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9" fillId="5" fontId="9" numFmtId="0" xfId="0" applyAlignment="1" applyBorder="1" applyFill="1" applyFont="1">
      <alignment horizontal="center" shrinkToFit="0" vertical="center" wrapText="1"/>
    </xf>
    <xf borderId="12" fillId="5" fontId="9" numFmtId="0" xfId="0" applyAlignment="1" applyBorder="1" applyFill="1" applyFont="1">
      <alignment horizontal="center" readingOrder="0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4" fillId="3" fontId="7" numFmtId="0" xfId="0" applyAlignment="1" applyBorder="1" applyFill="1" applyFont="1">
      <alignment horizontal="center" shrinkToFit="0" vertical="center" wrapText="1"/>
    </xf>
    <xf borderId="14" fillId="0" fontId="2" numFmtId="0" xfId="0" applyAlignment="1" applyBorder="1" applyFont="1">
      <alignment shrinkToFit="0" wrapText="1"/>
    </xf>
    <xf borderId="5" fillId="0" fontId="5" numFmtId="0" xfId="0" applyAlignment="1" applyBorder="1" applyFont="1">
      <alignment horizontal="center" shrinkToFit="0" vertical="center" wrapText="1"/>
    </xf>
    <xf borderId="10" fillId="3" fontId="7" numFmtId="0" xfId="0" applyAlignment="1" applyBorder="1" applyFill="1" applyFont="1">
      <alignment horizontal="center" shrinkToFit="0" vertical="bottom" wrapText="1"/>
    </xf>
    <xf borderId="8" fillId="0" fontId="5" numFmtId="164" xfId="0" applyAlignment="1" applyBorder="1" applyFont="1" applyNumberFormat="1">
      <alignment horizontal="center" shrinkToFit="0" vertical="center" wrapText="1"/>
    </xf>
    <xf borderId="0" fillId="2" fontId="3" numFmtId="0" xfId="0" applyAlignment="1" applyFill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6" fillId="0" fontId="2" numFmtId="0" xfId="0" applyAlignment="1" applyBorder="1" applyFont="1">
      <alignment shrinkToFit="0" wrapText="1"/>
    </xf>
    <xf borderId="5" fillId="4" fontId="3" numFmtId="164" xfId="0" applyAlignment="1" applyBorder="1" applyFill="1" applyFont="1" applyNumberFormat="1">
      <alignment shrinkToFit="0" wrapText="1"/>
    </xf>
    <xf borderId="9" fillId="5" fontId="9" numFmtId="0" xfId="0" applyAlignment="1" applyBorder="1" applyFill="1" applyFont="1">
      <alignment horizontal="center" readingOrder="0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readingOrder="0" shrinkToFit="0" vertical="center" wrapText="1"/>
    </xf>
    <xf borderId="14" fillId="3" fontId="7" numFmtId="0" xfId="0" applyAlignment="1" applyBorder="1" applyFill="1" applyFont="1">
      <alignment horizontal="center" shrinkToFit="0" vertical="center" wrapText="1"/>
    </xf>
    <xf borderId="12" fillId="0" fontId="7" numFmtId="0" xfId="0" applyAlignment="1" applyBorder="1" applyFont="1">
      <alignment horizontal="center" shrinkToFit="0" vertical="center" wrapText="0"/>
    </xf>
    <xf borderId="10" fillId="0" fontId="2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0"/>
    </xf>
    <xf borderId="8" fillId="0" fontId="3" numFmtId="0" xfId="0" applyAlignment="1" applyBorder="1" applyFont="1">
      <alignment horizontal="center" shrinkToFit="0" vertical="center" wrapText="1"/>
    </xf>
    <xf borderId="9" fillId="5" fontId="9" numFmtId="0" xfId="0" applyAlignment="1" applyBorder="1" applyFill="1" applyFont="1">
      <alignment horizontal="center" readingOrder="0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14" fillId="4" fontId="3" numFmtId="164" xfId="0" applyAlignment="1" applyBorder="1" applyFill="1" applyFont="1" applyNumberFormat="1">
      <alignment shrinkToFit="0" wrapText="1"/>
    </xf>
    <xf borderId="12" fillId="5" fontId="9" numFmtId="0" xfId="0" applyAlignment="1" applyBorder="1" applyFill="1" applyFont="1">
      <alignment horizontal="center" shrinkToFit="0" vertical="center" wrapText="1"/>
    </xf>
    <xf borderId="9" fillId="2" fontId="7" numFmtId="0" xfId="0" applyAlignment="1" applyBorder="1" applyFill="1" applyFont="1">
      <alignment horizontal="center" readingOrder="0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4" fillId="3" fontId="3" numFmtId="0" xfId="0" applyAlignment="1" applyBorder="1" applyFill="1" applyFont="1">
      <alignment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5" fillId="3" fontId="7" numFmtId="0" xfId="0" applyAlignment="1" applyBorder="1" applyFill="1" applyFont="1">
      <alignment horizontal="center" shrinkToFit="0" vertical="bottom" wrapText="1"/>
    </xf>
    <xf borderId="5" fillId="4" fontId="3" numFmtId="164" xfId="0" applyAlignment="1" applyBorder="1" applyFill="1" applyFont="1" applyNumberFormat="1">
      <alignment horizontal="center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11" fillId="3" fontId="3" numFmtId="0" xfId="0" applyAlignment="1" applyBorder="1" applyFill="1" applyFont="1">
      <alignment shrinkToFit="0" vertical="center" wrapText="1"/>
    </xf>
    <xf borderId="5" fillId="4" fontId="3" numFmtId="164" xfId="0" applyAlignment="1" applyBorder="1" applyFill="1" applyFont="1" applyNumberFormat="1">
      <alignment shrinkToFit="0" vertical="center" wrapText="1"/>
    </xf>
    <xf borderId="10" fillId="3" fontId="3" numFmtId="0" xfId="0" applyAlignment="1" applyBorder="1" applyFill="1" applyFont="1">
      <alignment shrinkToFit="0" vertical="center" wrapText="1"/>
    </xf>
    <xf borderId="8" fillId="0" fontId="13" numFmtId="164" xfId="0" applyAlignment="1" applyBorder="1" applyFont="1" applyNumberFormat="1">
      <alignment horizontal="center" shrinkToFit="0" vertical="center" wrapText="1"/>
    </xf>
    <xf borderId="15" fillId="0" fontId="7" numFmtId="0" xfId="0" applyAlignment="1" applyBorder="1" applyFont="1">
      <alignment horizontal="center" readingOrder="0" shrinkToFit="0" vertical="center" wrapText="1"/>
    </xf>
    <xf borderId="13" fillId="0" fontId="7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7" fillId="4" fontId="10" numFmtId="0" xfId="0" applyAlignment="1" applyBorder="1" applyFill="1" applyFont="1">
      <alignment horizontal="center" shrinkToFit="0" wrapText="1"/>
    </xf>
    <xf borderId="0" fillId="5" fontId="9" numFmtId="0" xfId="0" applyAlignment="1" applyFill="1" applyFont="1">
      <alignment horizontal="center" shrinkToFit="0" vertical="center" wrapText="1"/>
    </xf>
    <xf borderId="12" fillId="0" fontId="2" numFmtId="0" xfId="0" applyAlignment="1" applyBorder="1" applyFont="1">
      <alignment shrinkToFit="0" wrapText="1"/>
    </xf>
    <xf borderId="12" fillId="2" fontId="7" numFmtId="0" xfId="0" applyAlignment="1" applyBorder="1" applyFill="1" applyFont="1">
      <alignment horizontal="center" readingOrder="0" shrinkToFit="0" vertical="center" wrapText="1"/>
    </xf>
    <xf borderId="7" fillId="4" fontId="5" numFmtId="0" xfId="0" applyAlignment="1" applyBorder="1" applyFill="1" applyFont="1">
      <alignment horizontal="center" shrinkToFit="0" wrapText="1"/>
    </xf>
    <xf borderId="0" fillId="5" fontId="9" numFmtId="0" xfId="0" applyAlignment="1" applyFill="1" applyFont="1">
      <alignment horizontal="center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7" fillId="4" fontId="5" numFmtId="164" xfId="0" applyAlignment="1" applyBorder="1" applyFill="1" applyFont="1" applyNumberFormat="1">
      <alignment horizontal="center" shrinkToFit="0" wrapText="1"/>
    </xf>
    <xf borderId="10" fillId="0" fontId="7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14" fillId="3" fontId="7" numFmtId="0" xfId="0" applyAlignment="1" applyBorder="1" applyFill="1" applyFont="1">
      <alignment horizontal="center" shrinkToFit="0" wrapText="1"/>
    </xf>
    <xf borderId="9" fillId="0" fontId="7" numFmtId="0" xfId="0" applyAlignment="1" applyBorder="1" applyFont="1">
      <alignment horizontal="center" readingOrder="0" shrinkToFit="0" vertical="center" wrapText="0"/>
    </xf>
    <xf borderId="14" fillId="3" fontId="14" numFmtId="0" xfId="0" applyAlignment="1" applyBorder="1" applyFill="1" applyFont="1">
      <alignment horizontal="center" shrinkToFit="0" vertical="center" wrapText="1"/>
    </xf>
    <xf borderId="11" fillId="5" fontId="9" numFmtId="0" xfId="0" applyAlignment="1" applyBorder="1" applyFill="1" applyFont="1">
      <alignment horizontal="center" readingOrder="0" shrinkToFit="0" vertical="center" wrapText="1"/>
    </xf>
    <xf borderId="7" fillId="4" fontId="5" numFmtId="0" xfId="0" applyAlignment="1" applyBorder="1" applyFill="1" applyFont="1">
      <alignment horizontal="center" readingOrder="0" shrinkToFit="0" vertical="center" wrapText="1"/>
    </xf>
    <xf borderId="7" fillId="0" fontId="14" numFmtId="0" xfId="0" applyAlignment="1" applyBorder="1" applyFont="1">
      <alignment horizontal="center" readingOrder="0" shrinkToFit="0" vertical="center" wrapText="1"/>
    </xf>
    <xf borderId="10" fillId="0" fontId="14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7" fillId="0" fontId="14" numFmtId="0" xfId="0" applyAlignment="1" applyBorder="1" applyFont="1">
      <alignment horizontal="center" shrinkToFit="0" vertical="center" wrapText="1"/>
    </xf>
    <xf borderId="9" fillId="0" fontId="14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4" fillId="7" fontId="13" numFmtId="0" xfId="0" applyAlignment="1" applyBorder="1" applyFill="1" applyFont="1">
      <alignment horizontal="center" shrinkToFit="0" vertical="center" wrapText="1"/>
    </xf>
    <xf borderId="5" fillId="3" fontId="15" numFmtId="0" xfId="0" applyAlignment="1" applyBorder="1" applyFill="1" applyFont="1">
      <alignment horizontal="center" readingOrder="0" shrinkToFit="0" vertical="center" wrapText="1"/>
    </xf>
    <xf borderId="5" fillId="3" fontId="7" numFmtId="0" xfId="0" applyAlignment="1" applyBorder="1" applyFill="1" applyFont="1">
      <alignment horizontal="center" readingOrder="0" shrinkToFit="0" vertical="bottom" wrapText="1"/>
    </xf>
    <xf borderId="12" fillId="5" fontId="9" numFmtId="0" xfId="0" applyAlignment="1" applyBorder="1" applyFill="1" applyFont="1">
      <alignment horizontal="center" readingOrder="0" shrinkToFit="0" vertical="center" wrapText="1"/>
    </xf>
    <xf borderId="1" fillId="2" fontId="16" numFmtId="0" xfId="0" applyAlignment="1" applyBorder="1" applyFill="1" applyFont="1">
      <alignment horizontal="center" readingOrder="0" shrinkToFit="0" vertical="center" wrapText="1"/>
    </xf>
    <xf borderId="8" fillId="0" fontId="5" numFmtId="165" xfId="0" applyAlignment="1" applyBorder="1" applyFont="1" applyNumberFormat="1">
      <alignment horizontal="center" shrinkToFit="0" vertical="center" wrapText="1"/>
    </xf>
    <xf borderId="0" fillId="3" fontId="3" numFmtId="0" xfId="0" applyAlignment="1" applyFill="1" applyFont="1">
      <alignment shrinkToFit="0" vertical="center" wrapText="1"/>
    </xf>
    <xf borderId="14" fillId="4" fontId="3" numFmtId="165" xfId="0" applyAlignment="1" applyBorder="1" applyFill="1" applyFont="1" applyNumberFormat="1">
      <alignment shrinkToFit="0" wrapText="1"/>
    </xf>
    <xf borderId="5" fillId="3" fontId="7" numFmtId="0" xfId="0" applyAlignment="1" applyBorder="1" applyFill="1" applyFont="1">
      <alignment horizontal="center" readingOrder="0" shrinkToFit="0" vertical="center" wrapText="1"/>
    </xf>
    <xf borderId="8" fillId="0" fontId="13" numFmtId="165" xfId="0" applyAlignment="1" applyBorder="1" applyFont="1" applyNumberForma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7" fillId="2" fontId="4" numFmtId="0" xfId="0" applyAlignment="1" applyBorder="1" applyFill="1" applyFont="1">
      <alignment horizontal="center" readingOrder="0" shrinkToFit="0" vertical="center" wrapText="1"/>
    </xf>
    <xf borderId="9" fillId="8" fontId="17" numFmtId="0" xfId="0" applyAlignment="1" applyBorder="1" applyFill="1" applyFont="1">
      <alignment horizontal="center" readingOrder="0" shrinkToFit="0" vertical="center" wrapText="1"/>
    </xf>
    <xf borderId="11" fillId="0" fontId="7" numFmtId="0" xfId="0" applyAlignment="1" applyBorder="1" applyFont="1">
      <alignment horizontal="center" readingOrder="0" shrinkToFit="0" vertical="center" wrapText="1"/>
    </xf>
    <xf borderId="5" fillId="4" fontId="3" numFmtId="165" xfId="0" applyAlignment="1" applyBorder="1" applyFill="1" applyFont="1" applyNumberFormat="1">
      <alignment shrinkToFit="0" wrapText="1"/>
    </xf>
    <xf borderId="12" fillId="9" fontId="18" numFmtId="0" xfId="0" applyAlignment="1" applyBorder="1" applyFill="1" applyFont="1">
      <alignment horizontal="center" readingOrder="0" shrinkToFit="0" vertical="center" wrapText="1"/>
    </xf>
    <xf borderId="0" fillId="8" fontId="17" numFmtId="0" xfId="0" applyAlignment="1" applyFill="1" applyFont="1">
      <alignment horizontal="center" readingOrder="0" shrinkToFit="0" vertical="center" wrapText="1"/>
    </xf>
    <xf borderId="9" fillId="10" fontId="19" numFmtId="0" xfId="0" applyAlignment="1" applyBorder="1" applyFill="1" applyFont="1">
      <alignment horizontal="center" shrinkToFit="0" vertical="center" wrapText="1"/>
    </xf>
    <xf borderId="5" fillId="3" fontId="7" numFmtId="0" xfId="0" applyAlignment="1" applyBorder="1" applyFill="1" applyFont="1">
      <alignment horizontal="center" shrinkToFit="0" vertical="center" wrapText="1"/>
    </xf>
    <xf borderId="11" fillId="8" fontId="17" numFmtId="0" xfId="0" applyAlignment="1" applyBorder="1" applyFill="1" applyFont="1">
      <alignment horizontal="center" readingOrder="0" shrinkToFit="0" vertical="center" wrapText="1"/>
    </xf>
    <xf borderId="9" fillId="2" fontId="4" numFmtId="0" xfId="0" applyAlignment="1" applyBorder="1" applyFill="1" applyFont="1">
      <alignment horizontal="center" readingOrder="0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4" fillId="4" fontId="3" numFmtId="0" xfId="0" applyAlignment="1" applyBorder="1" applyFill="1" applyFont="1">
      <alignment horizontal="center" shrinkToFit="0" vertical="center" wrapText="1"/>
    </xf>
    <xf borderId="10" fillId="8" fontId="17" numFmtId="0" xfId="0" applyAlignment="1" applyBorder="1" applyFill="1" applyFont="1">
      <alignment horizontal="center" readingOrder="0" shrinkToFit="0" vertical="center" wrapText="1"/>
    </xf>
    <xf borderId="12" fillId="2" fontId="20" numFmtId="0" xfId="0" applyAlignment="1" applyBorder="1" applyFill="1" applyFont="1">
      <alignment horizontal="center" shrinkToFit="0" vertical="center" wrapText="1"/>
    </xf>
    <xf borderId="5" fillId="4" fontId="3" numFmtId="165" xfId="0" applyAlignment="1" applyBorder="1" applyFill="1" applyFont="1" applyNumberFormat="1">
      <alignment shrinkToFit="0" vertical="center" wrapText="1"/>
    </xf>
    <xf borderId="0" fillId="2" fontId="20" numFmtId="0" xfId="0" applyAlignment="1" applyFill="1" applyFont="1">
      <alignment horizontal="center" shrinkToFit="0" vertical="center" wrapText="1"/>
    </xf>
    <xf borderId="14" fillId="11" fontId="13" numFmtId="0" xfId="0" applyAlignment="1" applyBorder="1" applyFill="1" applyFont="1">
      <alignment horizontal="center" shrinkToFit="0" vertical="center" wrapText="1"/>
    </xf>
    <xf borderId="14" fillId="3" fontId="14" numFmtId="0" xfId="0" applyAlignment="1" applyBorder="1" applyFill="1" applyFont="1">
      <alignment horizontal="center" readingOrder="0" shrinkToFit="0" vertical="center" wrapText="1"/>
    </xf>
    <xf borderId="14" fillId="3" fontId="7" numFmtId="0" xfId="0" applyAlignment="1" applyBorder="1" applyFill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vertical="center" wrapText="0"/>
    </xf>
    <xf borderId="8" fillId="8" fontId="17" numFmtId="0" xfId="0" applyAlignment="1" applyBorder="1" applyFill="1" applyFont="1">
      <alignment horizontal="center" readingOrder="0" shrinkToFit="0" vertical="center" wrapText="1"/>
    </xf>
    <xf borderId="11" fillId="0" fontId="7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10" fillId="0" fontId="7" numFmtId="0" xfId="0" applyAlignment="1" applyBorder="1" applyFont="1">
      <alignment horizontal="center" readingOrder="0" shrinkToFit="0" wrapText="1"/>
    </xf>
    <xf borderId="5" fillId="4" fontId="3" numFmtId="0" xfId="0" applyAlignment="1" applyBorder="1" applyFill="1" applyFont="1">
      <alignment shrinkToFit="0" wrapText="1"/>
    </xf>
    <xf borderId="11" fillId="5" fontId="9" numFmtId="0" xfId="0" applyAlignment="1" applyBorder="1" applyFill="1" applyFont="1">
      <alignment horizontal="center" readingOrder="0" shrinkToFit="0" vertical="center" wrapText="1"/>
    </xf>
    <xf borderId="5" fillId="0" fontId="3" numFmtId="0" xfId="0" applyAlignment="1" applyBorder="1" applyFont="1">
      <alignment shrinkToFit="0" wrapText="1"/>
    </xf>
    <xf borderId="9" fillId="0" fontId="21" numFmtId="0" xfId="0" applyAlignment="1" applyBorder="1" applyFont="1">
      <alignment horizontal="center" readingOrder="0" shrinkToFit="0" vertical="center" wrapText="1"/>
    </xf>
    <xf borderId="7" fillId="0" fontId="14" numFmtId="0" xfId="0" applyAlignment="1" applyBorder="1" applyFont="1">
      <alignment horizontal="center" shrinkToFit="0" vertical="center" wrapText="1"/>
    </xf>
    <xf borderId="9" fillId="0" fontId="14" numFmtId="0" xfId="0" applyAlignment="1" applyBorder="1" applyFont="1">
      <alignment horizontal="center" readingOrder="0" shrinkToFit="0" vertical="center" wrapText="1"/>
    </xf>
    <xf borderId="12" fillId="0" fontId="14" numFmtId="0" xfId="0" applyAlignment="1" applyBorder="1" applyFont="1">
      <alignment horizontal="center" shrinkToFit="0" vertical="center" wrapText="1"/>
    </xf>
    <xf borderId="15" fillId="2" fontId="20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13" fillId="2" fontId="20" numFmtId="0" xfId="0" applyAlignment="1" applyBorder="1" applyFill="1" applyFont="1">
      <alignment horizontal="center" shrinkToFit="0" vertical="center" wrapText="1"/>
    </xf>
    <xf borderId="0" fillId="3" fontId="3" numFmtId="0" xfId="0" applyAlignment="1" applyFill="1" applyFont="1">
      <alignment shrinkToFit="0" vertical="center" wrapText="1"/>
    </xf>
    <xf borderId="12" fillId="5" fontId="22" numFmtId="0" xfId="0" applyAlignment="1" applyBorder="1" applyFill="1" applyFont="1">
      <alignment horizontal="center" readingOrder="0" shrinkToFit="0" vertical="center" wrapText="0"/>
    </xf>
    <xf borderId="14" fillId="4" fontId="3" numFmtId="0" xfId="0" applyAlignment="1" applyBorder="1" applyFill="1" applyFont="1">
      <alignment shrinkToFit="0" wrapText="1"/>
    </xf>
    <xf borderId="0" fillId="5" fontId="9" numFmtId="0" xfId="0" applyAlignment="1" applyFill="1" applyFont="1">
      <alignment horizontal="center" readingOrder="0" shrinkToFit="0" vertical="center" wrapText="1"/>
    </xf>
    <xf borderId="7" fillId="4" fontId="5" numFmtId="0" xfId="0" applyAlignment="1" applyBorder="1" applyFill="1" applyFont="1">
      <alignment horizontal="center" shrinkToFit="0" vertical="center" wrapText="1"/>
    </xf>
    <xf borderId="8" fillId="0" fontId="13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readingOrder="0" shrinkToFit="0" vertical="center" wrapText="1"/>
    </xf>
    <xf borderId="7" fillId="2" fontId="14" numFmtId="0" xfId="0" applyAlignment="1" applyBorder="1" applyFill="1" applyFont="1">
      <alignment horizontal="center" readingOrder="0" shrinkToFit="0" vertical="center" wrapText="1"/>
    </xf>
    <xf borderId="9" fillId="9" fontId="23" numFmtId="0" xfId="0" applyAlignment="1" applyBorder="1" applyFill="1" applyFont="1">
      <alignment horizontal="center" readingOrder="0" shrinkToFit="0" vertical="center" wrapText="1"/>
    </xf>
    <xf borderId="7" fillId="9" fontId="24" numFmtId="0" xfId="0" applyAlignment="1" applyBorder="1" applyFill="1" applyFont="1">
      <alignment horizontal="center" readingOrder="0" shrinkToFit="0" vertical="center" wrapText="1"/>
    </xf>
    <xf borderId="9" fillId="9" fontId="25" numFmtId="0" xfId="0" applyAlignment="1" applyBorder="1" applyFill="1" applyFont="1">
      <alignment horizontal="center" readingOrder="0" shrinkToFit="0" vertical="center" wrapText="1"/>
    </xf>
    <xf borderId="12" fillId="0" fontId="7" numFmtId="0" xfId="0" applyAlignment="1" applyBorder="1" applyFont="1">
      <alignment horizontal="center" readingOrder="0" shrinkToFit="0" wrapText="1"/>
    </xf>
    <xf borderId="9" fillId="9" fontId="24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4" fillId="0" fontId="7" numFmtId="0" xfId="0" applyAlignment="1" applyBorder="1" applyFont="1">
      <alignment horizontal="center" readingOrder="0" shrinkToFit="0" wrapText="1"/>
    </xf>
    <xf borderId="14" fillId="3" fontId="3" numFmtId="0" xfId="0" applyAlignment="1" applyBorder="1" applyFill="1" applyFont="1">
      <alignment shrinkToFit="0" vertical="bottom" wrapText="1"/>
    </xf>
    <xf borderId="5" fillId="3" fontId="7" numFmtId="0" xfId="0" applyAlignment="1" applyBorder="1" applyFill="1" applyFont="1">
      <alignment horizontal="center" readingOrder="0" shrinkToFit="0" vertical="center" wrapText="1"/>
    </xf>
    <xf borderId="0" fillId="3" fontId="20" numFmtId="0" xfId="0" applyAlignment="1" applyFill="1" applyFont="1">
      <alignment horizontal="center" readingOrder="0" shrinkToFit="0" vertical="bottom" wrapText="1"/>
    </xf>
    <xf borderId="15" fillId="0" fontId="7" numFmtId="0" xfId="0" applyAlignment="1" applyBorder="1" applyFont="1">
      <alignment horizontal="center" shrinkToFit="0" vertical="center" wrapText="0"/>
    </xf>
    <xf borderId="13" fillId="0" fontId="7" numFmtId="0" xfId="0" applyAlignment="1" applyBorder="1" applyFont="1">
      <alignment horizontal="center" shrinkToFit="0" vertical="center" wrapText="0"/>
    </xf>
    <xf borderId="9" fillId="0" fontId="26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shrinkToFit="0" vertical="center" wrapText="1"/>
    </xf>
    <xf borderId="15" fillId="0" fontId="14" numFmtId="0" xfId="0" applyAlignment="1" applyBorder="1" applyFont="1">
      <alignment horizontal="center" shrinkToFit="0" vertical="center" wrapText="1"/>
    </xf>
    <xf borderId="13" fillId="0" fontId="14" numFmtId="0" xfId="0" applyAlignment="1" applyBorder="1" applyFont="1">
      <alignment horizontal="center" shrinkToFit="0" vertical="center" wrapText="1"/>
    </xf>
    <xf borderId="7" fillId="0" fontId="27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14" fillId="3" fontId="7" numFmtId="0" xfId="0" applyAlignment="1" applyBorder="1" applyFill="1" applyFont="1">
      <alignment horizontal="center" readingOrder="0" shrinkToFit="0" vertical="bottom" wrapText="1"/>
    </xf>
    <xf borderId="14" fillId="3" fontId="3" numFmtId="0" xfId="0" applyAlignment="1" applyBorder="1" applyFill="1" applyFont="1">
      <alignment shrinkToFit="0" wrapText="1"/>
    </xf>
    <xf borderId="7" fillId="0" fontId="21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14" fillId="0" fontId="7" numFmtId="0" xfId="0" applyAlignment="1" applyBorder="1" applyFont="1">
      <alignment horizontal="center" readingOrder="0" shrinkToFit="0" vertical="center" wrapText="1"/>
    </xf>
    <xf borderId="14" fillId="0" fontId="14" numFmtId="0" xfId="0" applyAlignment="1" applyBorder="1" applyFont="1">
      <alignment horizontal="center" readingOrder="0" shrinkToFit="0" vertical="center" wrapText="1"/>
    </xf>
    <xf borderId="14" fillId="3" fontId="3" numFmtId="0" xfId="0" applyAlignment="1" applyBorder="1" applyFill="1" applyFont="1">
      <alignment shrinkToFit="0" vertical="center" wrapText="1"/>
    </xf>
    <xf borderId="11" fillId="0" fontId="2" numFmtId="0" xfId="0" applyAlignment="1" applyBorder="1" applyFont="1">
      <alignment shrinkToFit="0" vertical="center" wrapText="1"/>
    </xf>
    <xf borderId="12" fillId="0" fontId="7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ill="1" applyFont="1">
      <alignment shrinkToFit="0" wrapText="1"/>
    </xf>
    <xf borderId="12" fillId="0" fontId="2" numFmtId="0" xfId="0" applyAlignment="1" applyBorder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13" fillId="3" fontId="4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7" fillId="3" fontId="3" numFmtId="0" xfId="0" applyAlignment="1" applyBorder="1" applyFill="1" applyFont="1">
      <alignment shrinkToFit="0" wrapText="1"/>
    </xf>
    <xf borderId="15" fillId="3" fontId="4" numFmtId="0" xfId="0" applyAlignment="1" applyBorder="1" applyFill="1" applyFont="1">
      <alignment horizontal="center" shrinkToFit="0" vertical="center" wrapText="1"/>
    </xf>
    <xf borderId="2" fillId="0" fontId="21" numFmtId="0" xfId="0" applyAlignment="1" applyBorder="1" applyFont="1">
      <alignment horizontal="center" readingOrder="0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2" fillId="0" fontId="14" numFmtId="0" xfId="0" applyAlignment="1" applyBorder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shrinkToFit="0" vertical="center" wrapText="1"/>
    </xf>
    <xf borderId="5" fillId="4" fontId="3" numFmtId="0" xfId="0" applyAlignment="1" applyBorder="1" applyFill="1" applyFont="1">
      <alignment shrinkToFit="0" vertical="center" wrapText="1"/>
    </xf>
    <xf borderId="9" fillId="5" fontId="9" numFmtId="0" xfId="0" applyAlignment="1" applyBorder="1" applyFill="1" applyFont="1">
      <alignment horizontal="center" shrinkToFit="0" vertical="center" wrapText="1"/>
    </xf>
    <xf borderId="7" fillId="3" fontId="7" numFmtId="0" xfId="0" applyAlignment="1" applyBorder="1" applyFill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shrinkToFit="0" vertical="bottom" wrapText="1"/>
    </xf>
    <xf borderId="4" fillId="3" fontId="7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wrapText="1"/>
    </xf>
    <xf borderId="8" fillId="0" fontId="7" numFmtId="0" xfId="0" applyAlignment="1" applyBorder="1" applyFont="1">
      <alignment horizontal="center" readingOrder="0" shrinkToFit="0" vertical="center" wrapText="1"/>
    </xf>
    <xf borderId="12" fillId="3" fontId="7" numFmtId="0" xfId="0" applyAlignment="1" applyBorder="1" applyFill="1" applyFont="1">
      <alignment horizontal="center" shrinkToFit="0" vertical="center" wrapText="1"/>
    </xf>
    <xf borderId="12" fillId="0" fontId="3" numFmtId="0" xfId="0" applyAlignment="1" applyBorder="1" applyFont="1">
      <alignment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5" fillId="3" fontId="14" numFmtId="0" xfId="0" applyAlignment="1" applyBorder="1" applyFill="1" applyFont="1">
      <alignment horizontal="center" readingOrder="0" shrinkToFit="0" vertical="center" wrapText="1"/>
    </xf>
    <xf borderId="7" fillId="2" fontId="28" numFmtId="0" xfId="0" applyAlignment="1" applyBorder="1" applyFill="1" applyFont="1">
      <alignment horizontal="center" readingOrder="0" shrinkToFit="0" vertical="center" wrapText="1"/>
    </xf>
    <xf borderId="7" fillId="2" fontId="16" numFmtId="0" xfId="0" applyAlignment="1" applyBorder="1" applyFill="1" applyFont="1">
      <alignment horizontal="center" readingOrder="0" shrinkToFit="0" vertical="center" wrapText="1"/>
    </xf>
    <xf borderId="12" fillId="3" fontId="3" numFmtId="0" xfId="0" applyAlignment="1" applyBorder="1" applyFill="1" applyFont="1">
      <alignment shrinkToFit="0" vertical="bottom" wrapText="1"/>
    </xf>
    <xf borderId="0" fillId="0" fontId="13" numFmtId="0" xfId="0" applyAlignment="1" applyFont="1">
      <alignment horizontal="center" shrinkToFit="0" vertical="center" wrapText="1"/>
    </xf>
    <xf borderId="0" fillId="12" fontId="4" numFmtId="0" xfId="0" applyAlignment="1" applyFill="1" applyFont="1">
      <alignment horizontal="center" shrinkToFit="0" vertical="center" wrapText="1"/>
    </xf>
    <xf borderId="5" fillId="12" fontId="3" numFmtId="0" xfId="0" applyAlignment="1" applyBorder="1" applyFill="1" applyFont="1">
      <alignment shrinkToFit="0" vertical="bottom" wrapText="1"/>
    </xf>
    <xf borderId="12" fillId="3" fontId="3" numFmtId="0" xfId="0" applyAlignment="1" applyBorder="1" applyFill="1" applyFont="1">
      <alignment shrinkToFit="0" vertical="center" wrapText="1"/>
    </xf>
    <xf borderId="0" fillId="12" fontId="3" numFmtId="0" xfId="0" applyAlignment="1" applyFill="1" applyFont="1">
      <alignment shrinkToFit="0" vertical="bottom" wrapText="1"/>
    </xf>
    <xf borderId="15" fillId="0" fontId="7" numFmtId="0" xfId="0" applyAlignment="1" applyBorder="1" applyFont="1">
      <alignment horizontal="center" readingOrder="0" shrinkToFit="0" wrapText="1"/>
    </xf>
    <xf borderId="13" fillId="0" fontId="7" numFmtId="0" xfId="0" applyAlignment="1" applyBorder="1" applyFont="1">
      <alignment horizontal="center" readingOrder="0" shrinkToFit="0" wrapText="1"/>
    </xf>
    <xf borderId="8" fillId="0" fontId="7" numFmtId="0" xfId="0" applyAlignment="1" applyBorder="1" applyFont="1">
      <alignment horizontal="center" readingOrder="0" shrinkToFit="0" wrapText="1"/>
    </xf>
    <xf borderId="15" fillId="0" fontId="14" numFmtId="0" xfId="0" applyAlignment="1" applyBorder="1" applyFont="1">
      <alignment horizontal="center" readingOrder="0" shrinkToFit="0" vertical="center" wrapText="1"/>
    </xf>
    <xf borderId="13" fillId="0" fontId="14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12" fillId="0" fontId="14" numFmtId="0" xfId="0" applyAlignment="1" applyBorder="1" applyFont="1">
      <alignment horizontal="center" readingOrder="0" shrinkToFit="0" vertical="center" wrapText="1"/>
    </xf>
    <xf borderId="0" fillId="12" fontId="2" numFmtId="0" xfId="0" applyAlignment="1" applyFill="1" applyFont="1">
      <alignment shrinkToFit="0" wrapText="1"/>
    </xf>
    <xf borderId="0" fillId="12" fontId="4" numFmtId="0" xfId="0" applyAlignment="1" applyFill="1" applyFont="1">
      <alignment horizontal="center" readingOrder="0" shrinkToFit="0" vertical="center" wrapText="1"/>
    </xf>
    <xf borderId="13" fillId="12" fontId="2" numFmtId="0" xfId="0" applyAlignment="1" applyBorder="1" applyFill="1" applyFont="1">
      <alignment shrinkToFit="0" wrapText="1"/>
    </xf>
    <xf borderId="6" fillId="12" fontId="3" numFmtId="0" xfId="0" applyAlignment="1" applyBorder="1" applyFill="1" applyFont="1">
      <alignment shrinkToFit="0" vertical="bottom" wrapText="1"/>
    </xf>
    <xf borderId="13" fillId="12" fontId="4" numFmtId="0" xfId="0" applyAlignment="1" applyBorder="1" applyFill="1" applyFont="1">
      <alignment horizontal="center" shrinkToFit="0" vertical="center" wrapText="1"/>
    </xf>
    <xf borderId="13" fillId="12" fontId="4" numFmtId="0" xfId="0" applyAlignment="1" applyBorder="1" applyFill="1" applyFont="1">
      <alignment horizontal="center" readingOrder="0" shrinkToFit="0" vertical="center" wrapText="1"/>
    </xf>
    <xf borderId="13" fillId="12" fontId="3" numFmtId="0" xfId="0" applyAlignment="1" applyBorder="1" applyFill="1" applyFont="1">
      <alignment shrinkToFit="0" vertical="bottom" wrapText="1"/>
    </xf>
    <xf borderId="13" fillId="12" fontId="3" numFmtId="0" xfId="0" applyAlignment="1" applyBorder="1" applyFill="1" applyFont="1">
      <alignment shrinkToFit="0" wrapText="1"/>
    </xf>
    <xf borderId="7" fillId="0" fontId="7" numFmtId="0" xfId="0" applyAlignment="1" applyBorder="1" applyFont="1">
      <alignment horizontal="center" shrinkToFit="0" vertical="center" wrapText="1"/>
    </xf>
    <xf borderId="6" fillId="3" fontId="3" numFmtId="0" xfId="0" applyAlignment="1" applyBorder="1" applyFill="1" applyFont="1">
      <alignment shrinkToFit="0" vertical="bottom" wrapText="1"/>
    </xf>
    <xf borderId="10" fillId="0" fontId="7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1" fillId="2" fontId="12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6" fillId="3" fontId="3" numFmtId="0" xfId="0" applyAlignment="1" applyBorder="1" applyFill="1" applyFont="1">
      <alignment shrinkToFit="0" vertical="bottom" wrapText="1"/>
    </xf>
    <xf borderId="9" fillId="2" fontId="14" numFmtId="0" xfId="0" applyAlignment="1" applyBorder="1" applyFill="1" applyFont="1">
      <alignment horizontal="center" shrinkToFit="0" vertical="center" wrapText="1"/>
    </xf>
    <xf borderId="3" fillId="3" fontId="2" numFmtId="0" xfId="0" applyAlignment="1" applyBorder="1" applyFill="1" applyFont="1">
      <alignment shrinkToFit="0" vertical="center" wrapText="1"/>
    </xf>
    <xf borderId="6" fillId="4" fontId="3" numFmtId="0" xfId="0" applyAlignment="1" applyBorder="1" applyFill="1" applyFont="1">
      <alignment shrinkToFit="0" wrapText="1"/>
    </xf>
    <xf borderId="9" fillId="2" fontId="14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7" fillId="2" fontId="14" numFmtId="0" xfId="0" applyAlignment="1" applyBorder="1" applyFill="1" applyFont="1">
      <alignment horizontal="center" readingOrder="0" shrinkToFit="0" vertical="center" wrapText="1"/>
    </xf>
    <xf borderId="8" fillId="4" fontId="3" numFmtId="0" xfId="0" applyAlignment="1" applyBorder="1" applyFill="1" applyFont="1">
      <alignment shrinkToFit="0" wrapText="1"/>
    </xf>
    <xf borderId="14" fillId="0" fontId="5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12" fillId="2" fontId="14" numFmtId="0" xfId="0" applyAlignment="1" applyBorder="1" applyFill="1" applyFont="1">
      <alignment horizontal="center" readingOrder="0" shrinkToFit="0" vertical="center" wrapText="1"/>
    </xf>
    <xf borderId="0" fillId="2" fontId="14" numFmtId="0" xfId="0" applyAlignment="1" applyFill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6" fillId="4" fontId="3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readingOrder="0" shrinkToFit="0" vertical="center" wrapText="1"/>
    </xf>
    <xf borderId="3" fillId="4" fontId="3" numFmtId="0" xfId="0" applyAlignment="1" applyBorder="1" applyFill="1" applyFont="1">
      <alignment horizontal="center" shrinkToFit="0" vertical="center" wrapText="1"/>
    </xf>
    <xf borderId="3" fillId="5" fontId="3" numFmtId="0" xfId="0" applyAlignment="1" applyBorder="1" applyFill="1" applyFont="1">
      <alignment shrinkToFit="0" vertical="center" wrapText="1"/>
    </xf>
    <xf borderId="13" fillId="4" fontId="3" numFmtId="0" xfId="0" applyAlignment="1" applyBorder="1" applyFill="1" applyFont="1">
      <alignment horizontal="center" shrinkToFit="0" vertical="center" wrapText="1"/>
    </xf>
    <xf borderId="4" fillId="5" fontId="3" numFmtId="0" xfId="0" applyAlignment="1" applyBorder="1" applyFill="1" applyFont="1">
      <alignment shrinkToFit="0" vertical="center" wrapText="1"/>
    </xf>
    <xf borderId="0" fillId="2" fontId="7" numFmtId="0" xfId="0" applyAlignment="1" applyFill="1" applyFont="1">
      <alignment horizontal="center" shrinkToFit="0" vertical="center" wrapText="1"/>
    </xf>
    <xf borderId="13" fillId="4" fontId="3" numFmtId="0" xfId="0" applyAlignment="1" applyBorder="1" applyFill="1" applyFont="1">
      <alignment shrinkToFit="0" wrapText="1"/>
    </xf>
    <xf borderId="2" fillId="4" fontId="3" numFmtId="0" xfId="0" applyAlignment="1" applyBorder="1" applyFill="1" applyFont="1">
      <alignment horizontal="center" shrinkToFit="0" vertical="center" wrapText="1"/>
    </xf>
    <xf borderId="6" fillId="2" fontId="14" numFmtId="0" xfId="0" applyAlignment="1" applyBorder="1" applyFill="1" applyFont="1">
      <alignment horizontal="center" readingOrder="0" shrinkToFit="0" vertical="center" wrapText="1"/>
    </xf>
    <xf borderId="0" fillId="0" fontId="29" numFmtId="0" xfId="0" applyAlignment="1" applyFont="1">
      <alignment horizontal="center" shrinkToFit="0" vertical="center" wrapText="1"/>
    </xf>
    <xf borderId="7" fillId="4" fontId="3" numFmtId="0" xfId="0" applyAlignment="1" applyBorder="1" applyFill="1" applyFont="1">
      <alignment shrinkToFit="0" vertical="center" wrapText="1"/>
    </xf>
    <xf borderId="14" fillId="0" fontId="3" numFmtId="0" xfId="0" applyAlignment="1" applyBorder="1" applyFont="1">
      <alignment shrinkToFit="0" vertical="center" wrapText="1"/>
    </xf>
    <xf borderId="13" fillId="5" fontId="3" numFmtId="0" xfId="0" applyAlignment="1" applyBorder="1" applyFill="1" applyFont="1">
      <alignment shrinkToFit="0" vertical="center" wrapText="1"/>
    </xf>
    <xf borderId="8" fillId="5" fontId="3" numFmtId="0" xfId="0" applyAlignment="1" applyBorder="1" applyFill="1" applyFont="1">
      <alignment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7" fillId="4" fontId="5" numFmtId="0" xfId="0" applyAlignment="1" applyBorder="1" applyFill="1" applyFont="1">
      <alignment horizontal="center" readingOrder="0" shrinkToFit="0" wrapText="1"/>
    </xf>
    <xf borderId="1" fillId="2" fontId="14" numFmtId="0" xfId="0" applyAlignment="1" applyBorder="1" applyFill="1" applyFont="1">
      <alignment horizontal="center" readingOrder="0" shrinkToFit="0" vertical="center" wrapText="1"/>
    </xf>
    <xf borderId="12" fillId="5" fontId="9" numFmtId="0" xfId="0" applyAlignment="1" applyBorder="1" applyFill="1" applyFont="1">
      <alignment horizontal="center" shrinkToFit="0" vertical="center" wrapText="1"/>
    </xf>
    <xf borderId="7" fillId="0" fontId="14" numFmtId="0" xfId="0" applyAlignment="1" applyBorder="1" applyFont="1">
      <alignment horizontal="center" shrinkToFit="0" vertical="center" wrapText="1"/>
    </xf>
    <xf borderId="10" fillId="0" fontId="14" numFmtId="0" xfId="0" applyAlignment="1" applyBorder="1" applyFont="1">
      <alignment horizontal="center" shrinkToFit="0" vertical="center" wrapText="1"/>
    </xf>
    <xf borderId="7" fillId="2" fontId="7" numFmtId="0" xfId="0" applyAlignment="1" applyBorder="1" applyFill="1" applyFont="1">
      <alignment horizontal="center" readingOrder="0" shrinkToFit="0" vertical="center" wrapText="1"/>
    </xf>
    <xf borderId="7" fillId="4" fontId="10" numFmtId="0" xfId="0" applyAlignment="1" applyBorder="1" applyFill="1" applyFont="1">
      <alignment horizontal="center" readingOrder="0" shrinkToFit="0" vertical="center" wrapText="1"/>
    </xf>
    <xf borderId="14" fillId="4" fontId="10" numFmtId="0" xfId="0" applyAlignment="1" applyBorder="1" applyFill="1" applyFont="1">
      <alignment horizontal="center" shrinkToFit="0" wrapText="1"/>
    </xf>
    <xf borderId="7" fillId="0" fontId="6" numFmtId="0" xfId="0" applyAlignment="1" applyBorder="1" applyFont="1">
      <alignment horizontal="center" shrinkToFit="0" wrapText="1"/>
    </xf>
    <xf borderId="12" fillId="3" fontId="3" numFmtId="0" xfId="0" applyAlignment="1" applyBorder="1" applyFill="1" applyFont="1">
      <alignment shrinkToFit="0" wrapText="1"/>
    </xf>
    <xf borderId="0" fillId="2" fontId="3" numFmtId="0" xfId="0" applyAlignment="1" applyFill="1" applyFont="1">
      <alignment shrinkToFit="0" wrapText="1"/>
    </xf>
    <xf borderId="14" fillId="2" fontId="14" numFmtId="0" xfId="0" applyAlignment="1" applyBorder="1" applyFill="1" applyFont="1">
      <alignment horizontal="center" readingOrder="0" shrinkToFit="0" vertical="center" wrapText="1"/>
    </xf>
    <xf borderId="15" fillId="2" fontId="7" numFmtId="0" xfId="0" applyAlignment="1" applyBorder="1" applyFill="1" applyFont="1">
      <alignment horizontal="center" readingOrder="0" shrinkToFit="0" vertical="center" wrapText="1"/>
    </xf>
    <xf borderId="13" fillId="2" fontId="7" numFmtId="0" xfId="0" applyAlignment="1" applyBorder="1" applyFill="1" applyFont="1">
      <alignment horizontal="center" readingOrder="0" shrinkToFit="0" vertical="center" wrapText="1"/>
    </xf>
    <xf borderId="8" fillId="2" fontId="7" numFmtId="0" xfId="0" applyAlignment="1" applyBorder="1" applyFill="1" applyFont="1">
      <alignment horizontal="center" readingOrder="0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15" fillId="2" fontId="14" numFmtId="0" xfId="0" applyAlignment="1" applyBorder="1" applyFill="1" applyFont="1">
      <alignment horizontal="center" readingOrder="0" shrinkToFit="0" vertical="center" wrapText="1"/>
    </xf>
    <xf borderId="13" fillId="2" fontId="14" numFmtId="0" xfId="0" applyAlignment="1" applyBorder="1" applyFill="1" applyFont="1">
      <alignment horizontal="center" readingOrder="0" shrinkToFit="0" vertical="center" wrapText="1"/>
    </xf>
    <xf borderId="8" fillId="2" fontId="14" numFmtId="0" xfId="0" applyAlignment="1" applyBorder="1" applyFill="1" applyFont="1">
      <alignment horizontal="center" readingOrder="0" shrinkToFit="0" vertical="center" wrapText="1"/>
    </xf>
    <xf borderId="15" fillId="0" fontId="3" numFmtId="0" xfId="0" applyAlignment="1" applyBorder="1" applyFont="1">
      <alignment shrinkToFit="0" vertical="center" wrapText="1"/>
    </xf>
    <xf borderId="9" fillId="3" fontId="4" numFmtId="0" xfId="0" applyAlignment="1" applyBorder="1" applyFill="1" applyFont="1">
      <alignment horizontal="center" shrinkToFit="0" vertical="center" wrapText="1"/>
    </xf>
    <xf borderId="13" fillId="0" fontId="13" numFmtId="0" xfId="0" applyAlignment="1" applyBorder="1" applyFont="1">
      <alignment horizontal="center" shrinkToFit="0" vertical="center" wrapText="1"/>
    </xf>
    <xf borderId="11" fillId="3" fontId="4" numFmtId="0" xfId="0" applyAlignment="1" applyBorder="1" applyFill="1" applyFont="1">
      <alignment horizontal="center" shrinkToFit="0" vertical="center" wrapText="1"/>
    </xf>
    <xf borderId="11" fillId="0" fontId="3" numFmtId="0" xfId="0" applyAlignment="1" applyBorder="1" applyFont="1">
      <alignment shrinkToFit="0" wrapText="1"/>
    </xf>
    <xf borderId="13" fillId="3" fontId="3" numFmtId="0" xfId="0" applyAlignment="1" applyBorder="1" applyFill="1" applyFont="1">
      <alignment shrinkToFit="0" vertical="center" wrapText="1"/>
    </xf>
    <xf borderId="8" fillId="3" fontId="3" numFmtId="0" xfId="0" applyAlignment="1" applyBorder="1" applyFill="1" applyFont="1">
      <alignment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7" fillId="0" fontId="27" numFmtId="0" xfId="0" applyAlignment="1" applyBorder="1" applyFont="1">
      <alignment horizontal="center" readingOrder="0" shrinkToFit="0" vertical="center" wrapText="1"/>
    </xf>
    <xf borderId="13" fillId="3" fontId="3" numFmtId="0" xfId="0" applyAlignment="1" applyBorder="1" applyFill="1" applyFont="1">
      <alignment shrinkToFit="0" wrapText="1"/>
    </xf>
    <xf borderId="9" fillId="2" fontId="7" numFmtId="0" xfId="0" applyAlignment="1" applyBorder="1" applyFill="1" applyFont="1">
      <alignment horizontal="center" readingOrder="0" shrinkToFit="0" vertical="center" wrapText="1"/>
    </xf>
    <xf borderId="11" fillId="0" fontId="3" numFmtId="0" xfId="0" applyAlignment="1" applyBorder="1" applyFont="1">
      <alignment shrinkToFit="0" vertical="center" wrapText="1"/>
    </xf>
    <xf borderId="7" fillId="2" fontId="7" numFmtId="0" xfId="0" applyAlignment="1" applyBorder="1" applyFill="1" applyFont="1">
      <alignment horizontal="center" shrinkToFit="0" vertical="center" wrapText="1"/>
    </xf>
    <xf borderId="5" fillId="4" fontId="3" numFmtId="0" xfId="0" applyAlignment="1" applyBorder="1" applyFill="1" applyFont="1">
      <alignment shrinkToFit="0" wrapText="1"/>
    </xf>
    <xf borderId="7" fillId="2" fontId="7" numFmtId="0" xfId="0" applyAlignment="1" applyBorder="1" applyFill="1" applyFont="1">
      <alignment horizontal="center" readingOrder="0" shrinkToFit="0" vertical="center" wrapText="1"/>
    </xf>
    <xf borderId="9" fillId="2" fontId="2" numFmtId="0" xfId="0" applyAlignment="1" applyBorder="1" applyFill="1" applyFont="1">
      <alignment horizontal="center" readingOrder="0" shrinkToFit="0" vertical="center" wrapText="1"/>
    </xf>
    <xf borderId="0" fillId="5" fontId="9" numFmtId="0" xfId="0" applyAlignment="1" applyFill="1" applyFont="1">
      <alignment horizontal="center" readingOrder="0" shrinkToFit="0" vertical="center" wrapText="1"/>
    </xf>
    <xf borderId="11" fillId="2" fontId="2" numFmtId="0" xfId="0" applyAlignment="1" applyBorder="1" applyFill="1" applyFont="1">
      <alignment horizontal="center" readingOrder="0" shrinkToFit="0" vertical="center" wrapText="1"/>
    </xf>
    <xf borderId="7" fillId="0" fontId="14" numFmtId="0" xfId="0" applyAlignment="1" applyBorder="1" applyFont="1">
      <alignment horizontal="center" shrinkToFit="0" vertical="center" wrapText="1"/>
    </xf>
    <xf borderId="7" fillId="4" fontId="10" numFmtId="0" xfId="0" applyAlignment="1" applyBorder="1" applyFill="1" applyFont="1">
      <alignment horizontal="center" readingOrder="0" shrinkToFit="0" wrapText="1"/>
    </xf>
    <xf borderId="7" fillId="0" fontId="14" numFmtId="0" xfId="0" applyAlignment="1" applyBorder="1" applyFont="1">
      <alignment horizontal="center" readingOrder="0" shrinkToFit="0" vertical="center" wrapText="1"/>
    </xf>
    <xf borderId="7" fillId="0" fontId="14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3" fontId="4" numFmtId="0" xfId="0" applyAlignment="1" applyBorder="1" applyFill="1" applyFont="1">
      <alignment shrinkToFit="0" vertical="center" wrapText="1"/>
    </xf>
    <xf borderId="7" fillId="3" fontId="30" numFmtId="0" xfId="0" applyAlignment="1" applyBorder="1" applyFill="1" applyFont="1">
      <alignment horizontal="center" shrinkToFit="0" vertical="bottom" wrapText="1"/>
    </xf>
    <xf borderId="0" fillId="2" fontId="31" numFmtId="0" xfId="0" applyAlignment="1" applyFill="1" applyFont="1">
      <alignment shrinkToFit="0" wrapText="1"/>
    </xf>
    <xf borderId="7" fillId="0" fontId="14" numFmtId="0" xfId="0" applyAlignment="1" applyBorder="1" applyFont="1">
      <alignment horizontal="center" shrinkToFit="0" vertical="center" wrapText="1"/>
    </xf>
    <xf borderId="11" fillId="2" fontId="7" numFmtId="0" xfId="0" applyAlignment="1" applyBorder="1" applyFill="1" applyFont="1">
      <alignment horizontal="center" shrinkToFit="0" vertical="center" wrapText="1"/>
    </xf>
    <xf borderId="0" fillId="2" fontId="7" numFmtId="0" xfId="0" applyAlignment="1" applyFill="1" applyFont="1">
      <alignment horizontal="center" shrinkToFit="0" vertical="center" wrapText="1"/>
    </xf>
    <xf borderId="7" fillId="0" fontId="26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5" fillId="3" fontId="30" numFmtId="0" xfId="0" applyAlignment="1" applyBorder="1" applyFill="1" applyFont="1">
      <alignment horizontal="center" shrinkToFit="0" vertical="center" wrapText="1"/>
    </xf>
    <xf borderId="11" fillId="0" fontId="7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horizontal="center" readingOrder="0" shrinkToFit="0" vertical="center" wrapText="1"/>
    </xf>
    <xf borderId="14" fillId="6" fontId="7" numFmtId="0" xfId="0" applyAlignment="1" applyBorder="1" applyFill="1" applyFont="1">
      <alignment horizontal="center" shrinkToFit="0" vertical="center" wrapText="1"/>
    </xf>
    <xf borderId="11" fillId="3" fontId="3" numFmtId="0" xfId="0" applyAlignment="1" applyBorder="1" applyFill="1" applyFont="1">
      <alignment shrinkToFit="0" wrapText="1"/>
    </xf>
    <xf borderId="10" fillId="3" fontId="3" numFmtId="0" xfId="0" applyAlignment="1" applyBorder="1" applyFill="1" applyFont="1">
      <alignment shrinkToFit="0" wrapText="1"/>
    </xf>
    <xf borderId="9" fillId="0" fontId="30" numFmtId="0" xfId="0" applyAlignment="1" applyBorder="1" applyFont="1">
      <alignment horizontal="center" readingOrder="0" shrinkToFit="0" vertical="center" wrapText="1"/>
    </xf>
    <xf borderId="5" fillId="3" fontId="7" numFmtId="0" xfId="0" applyAlignment="1" applyBorder="1" applyFill="1" applyFont="1">
      <alignment horizontal="center" shrinkToFit="0" wrapText="1"/>
    </xf>
    <xf borderId="11" fillId="0" fontId="30" numFmtId="0" xfId="0" applyAlignment="1" applyBorder="1" applyFont="1">
      <alignment horizontal="center" readingOrder="0" shrinkToFit="0" vertical="center" wrapText="1"/>
    </xf>
    <xf borderId="7" fillId="0" fontId="1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6" fillId="2" fontId="7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13" fillId="3" fontId="3" numFmtId="0" xfId="0" applyAlignment="1" applyBorder="1" applyFill="1" applyFont="1">
      <alignment shrinkToFit="0" wrapText="1"/>
    </xf>
    <xf borderId="8" fillId="3" fontId="3" numFmtId="0" xfId="0" applyAlignment="1" applyBorder="1" applyFill="1" applyFont="1">
      <alignment shrinkToFit="0" wrapText="1"/>
    </xf>
    <xf borderId="0" fillId="0" fontId="7" numFmtId="0" xfId="0" applyAlignment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9" fillId="2" fontId="7" numFmtId="0" xfId="0" applyAlignment="1" applyBorder="1" applyFill="1" applyFont="1">
      <alignment horizontal="center" shrinkToFit="0" vertical="center" wrapText="1"/>
    </xf>
    <xf borderId="12" fillId="0" fontId="30" numFmtId="0" xfId="0" applyAlignment="1" applyBorder="1" applyFont="1">
      <alignment horizontal="center" readingOrder="0" shrinkToFit="0" vertical="center" wrapText="1"/>
    </xf>
    <xf borderId="0" fillId="0" fontId="30" numFmtId="0" xfId="0" applyAlignment="1" applyFont="1">
      <alignment horizontal="center" readingOrder="0" shrinkToFit="0" vertical="center" wrapText="1"/>
    </xf>
    <xf borderId="9" fillId="0" fontId="14" numFmtId="0" xfId="0" applyAlignment="1" applyBorder="1" applyFont="1">
      <alignment horizontal="center" readingOrder="0" shrinkToFit="0" vertical="center" wrapText="1"/>
    </xf>
    <xf borderId="14" fillId="3" fontId="14" numFmtId="0" xfId="0" applyAlignment="1" applyBorder="1" applyFill="1" applyFont="1">
      <alignment horizontal="center" readingOrder="0" shrinkToFit="0" vertical="bottom" wrapText="1"/>
    </xf>
    <xf borderId="1" fillId="2" fontId="28" numFmtId="0" xfId="0" applyAlignment="1" applyBorder="1" applyFill="1" applyFont="1">
      <alignment horizontal="center" readingOrder="0" shrinkToFit="0" vertical="center" wrapText="1"/>
    </xf>
    <xf borderId="0" fillId="5" fontId="3" numFmtId="0" xfId="0" applyAlignment="1" applyFill="1" applyFont="1">
      <alignment shrinkToFit="0" wrapText="1"/>
    </xf>
    <xf borderId="14" fillId="5" fontId="3" numFmtId="0" xfId="0" applyAlignment="1" applyBorder="1" applyFill="1" applyFont="1">
      <alignment shrinkToFit="0" wrapText="1"/>
    </xf>
    <xf borderId="12" fillId="0" fontId="7" numFmtId="0" xfId="0" applyAlignment="1" applyBorder="1" applyFont="1">
      <alignment horizontal="center" readingOrder="0" shrinkToFit="0" vertical="center" wrapText="1"/>
    </xf>
    <xf borderId="7" fillId="0" fontId="32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0" fillId="2" fontId="3" numFmtId="0" xfId="0" applyAlignment="1" applyFill="1" applyFont="1">
      <alignment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15" fillId="2" fontId="7" numFmtId="0" xfId="0" applyAlignment="1" applyBorder="1" applyFill="1" applyFont="1">
      <alignment horizontal="center" shrinkToFit="0" vertical="center" wrapText="1"/>
    </xf>
    <xf borderId="13" fillId="2" fontId="7" numFmtId="0" xfId="0" applyAlignment="1" applyBorder="1" applyFill="1" applyFont="1">
      <alignment horizontal="center" shrinkToFit="0" vertical="center" wrapText="1"/>
    </xf>
    <xf borderId="13" fillId="5" fontId="3" numFmtId="0" xfId="0" applyAlignment="1" applyBorder="1" applyFill="1" applyFont="1">
      <alignment shrinkToFit="0" wrapText="1"/>
    </xf>
    <xf borderId="8" fillId="5" fontId="3" numFmtId="0" xfId="0" applyAlignment="1" applyBorder="1" applyFill="1" applyFont="1">
      <alignment shrinkToFit="0" wrapText="1"/>
    </xf>
    <xf borderId="14" fillId="6" fontId="14" numFmtId="0" xfId="0" applyAlignment="1" applyBorder="1" applyFill="1" applyFont="1">
      <alignment horizontal="center" shrinkToFit="0" vertical="center" wrapText="1"/>
    </xf>
    <xf borderId="15" fillId="0" fontId="7" numFmtId="0" xfId="0" applyAlignment="1" applyBorder="1" applyFont="1">
      <alignment horizontal="center" readingOrder="0" shrinkToFit="0" vertical="center" wrapText="1"/>
    </xf>
    <xf borderId="13" fillId="0" fontId="7" numFmtId="0" xfId="0" applyAlignment="1" applyBorder="1" applyFont="1">
      <alignment horizontal="center" readingOrder="0" shrinkToFit="0" vertical="center" wrapText="1"/>
    </xf>
    <xf borderId="7" fillId="2" fontId="33" numFmtId="0" xfId="0" applyAlignment="1" applyBorder="1" applyFill="1" applyFont="1">
      <alignment horizontal="center" readingOrder="0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9" fillId="9" fontId="24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9" fontId="24" numFmtId="0" xfId="0" applyAlignment="1" applyFill="1" applyFont="1">
      <alignment horizontal="center" readingOrder="0" shrinkToFit="0" vertical="center" wrapText="1"/>
    </xf>
    <xf borderId="10" fillId="9" fontId="24" numFmtId="0" xfId="0" applyAlignment="1" applyBorder="1" applyFill="1" applyFont="1">
      <alignment horizontal="center" readingOrder="0" shrinkToFit="0" vertical="center" wrapText="1"/>
    </xf>
    <xf borderId="10" fillId="0" fontId="3" numFmtId="0" xfId="0" applyAlignment="1" applyBorder="1" applyFont="1">
      <alignment shrinkToFit="0" vertical="center" wrapText="1"/>
    </xf>
    <xf borderId="0" fillId="0" fontId="14" numFmtId="0" xfId="0" applyAlignment="1" applyFont="1">
      <alignment horizontal="center" shrinkToFit="0" vertical="center" wrapText="1"/>
    </xf>
    <xf borderId="8" fillId="9" fontId="24" numFmtId="0" xfId="0" applyAlignment="1" applyBorder="1" applyFill="1" applyFont="1">
      <alignment horizontal="center" readingOrder="0" shrinkToFit="0" vertical="center" wrapText="1"/>
    </xf>
    <xf borderId="12" fillId="0" fontId="26" numFmtId="0" xfId="0" applyAlignment="1" applyBorder="1" applyFont="1">
      <alignment horizontal="center" readingOrder="0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11" fillId="9" fontId="24" numFmtId="0" xfId="0" applyAlignment="1" applyBorder="1" applyFill="1" applyFont="1">
      <alignment horizontal="center" readingOrder="0" shrinkToFit="0" vertical="center" wrapText="1"/>
    </xf>
    <xf borderId="13" fillId="0" fontId="3" numFmtId="0" xfId="0" applyAlignment="1" applyBorder="1" applyFont="1">
      <alignment shrinkToFit="0" vertical="center" wrapText="1"/>
    </xf>
    <xf borderId="13" fillId="0" fontId="14" numFmtId="0" xfId="0" applyAlignment="1" applyBorder="1" applyFont="1">
      <alignment horizontal="center" shrinkToFit="0" vertical="center" wrapText="1"/>
    </xf>
    <xf borderId="0" fillId="3" fontId="14" numFmtId="0" xfId="0" applyAlignment="1" applyFill="1" applyFont="1">
      <alignment horizontal="center" readingOrder="0" shrinkToFit="0" vertical="bottom" wrapText="1"/>
    </xf>
    <xf borderId="13" fillId="0" fontId="14" numFmtId="0" xfId="0" applyAlignment="1" applyBorder="1" applyFont="1">
      <alignment horizontal="center" readingOrder="0" shrinkToFit="0" vertical="center" wrapText="1"/>
    </xf>
    <xf borderId="11" fillId="0" fontId="7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bottom" wrapText="0"/>
    </xf>
    <xf borderId="3" fillId="0" fontId="3" numFmtId="0" xfId="0" applyAlignment="1" applyBorder="1" applyFont="1">
      <alignment shrinkToFit="0" wrapText="1"/>
    </xf>
    <xf borderId="1" fillId="3" fontId="3" numFmtId="0" xfId="0" applyAlignment="1" applyBorder="1" applyFill="1" applyFont="1">
      <alignment shrinkToFit="0" vertical="center" wrapText="1"/>
    </xf>
    <xf borderId="7" fillId="0" fontId="14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2" fillId="5" fontId="9" numFmtId="0" xfId="0" applyAlignment="1" applyBorder="1" applyFill="1" applyFont="1">
      <alignment horizontal="center" shrinkToFit="0" vertical="center" wrapText="1"/>
    </xf>
    <xf borderId="10" fillId="3" fontId="7" numFmtId="0" xfId="0" applyAlignment="1" applyBorder="1" applyFill="1" applyFont="1">
      <alignment horizontal="center" shrinkToFit="0" vertical="center" wrapText="1"/>
    </xf>
    <xf borderId="5" fillId="3" fontId="14" numFmtId="0" xfId="0" applyAlignment="1" applyBorder="1" applyFill="1" applyFont="1">
      <alignment horizontal="center" readingOrder="0" shrinkToFit="0" vertical="center" wrapText="1"/>
    </xf>
    <xf borderId="14" fillId="0" fontId="26" numFmtId="0" xfId="0" applyAlignment="1" applyBorder="1" applyFont="1">
      <alignment horizontal="center" readingOrder="0" shrinkToFit="0" vertical="center" wrapText="1"/>
    </xf>
    <xf borderId="12" fillId="0" fontId="13" numFmtId="0" xfId="0" applyAlignment="1" applyBorder="1" applyFont="1">
      <alignment horizontal="center" readingOrder="0" shrinkToFit="0" vertical="center" wrapText="1"/>
    </xf>
    <xf borderId="9" fillId="2" fontId="6" numFmtId="0" xfId="0" applyAlignment="1" applyBorder="1" applyFill="1" applyFont="1">
      <alignment horizontal="center" readingOrder="0" shrinkToFit="0" vertical="center" wrapText="1"/>
    </xf>
    <xf borderId="7" fillId="4" fontId="3" numFmtId="0" xfId="0" applyAlignment="1" applyBorder="1" applyFill="1" applyFont="1">
      <alignment shrinkToFit="0" wrapText="1"/>
    </xf>
    <xf borderId="5" fillId="4" fontId="3" numFmtId="0" xfId="0" applyAlignment="1" applyBorder="1" applyFill="1" applyFont="1">
      <alignment horizontal="center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14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34" numFmtId="0" xfId="0" applyAlignment="1" applyFont="1">
      <alignment shrinkToFit="0" vertical="center" wrapText="1"/>
    </xf>
    <xf borderId="12" fillId="9" fontId="24" numFmtId="0" xfId="0" applyAlignment="1" applyBorder="1" applyFill="1" applyFont="1">
      <alignment horizontal="center" shrinkToFit="0" vertical="center" wrapText="1"/>
    </xf>
    <xf borderId="7" fillId="0" fontId="21" numFmtId="0" xfId="0" applyAlignment="1" applyBorder="1" applyFont="1">
      <alignment horizontal="center" readingOrder="0" shrinkToFit="0" vertical="center" wrapText="1"/>
    </xf>
    <xf borderId="9" fillId="9" fontId="18" numFmtId="0" xfId="0" applyAlignment="1" applyBorder="1" applyFill="1" applyFont="1">
      <alignment horizontal="center" readingOrder="0" shrinkToFit="0" vertical="center" wrapText="1"/>
    </xf>
    <xf borderId="12" fillId="2" fontId="2" numFmtId="0" xfId="0" applyAlignment="1" applyBorder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13" fillId="0" fontId="29" numFmtId="0" xfId="0" applyAlignment="1" applyBorder="1" applyFont="1">
      <alignment horizontal="center" shrinkToFit="0" vertical="center" wrapText="1"/>
    </xf>
    <xf borderId="15" fillId="0" fontId="26" numFmtId="0" xfId="0" applyAlignment="1" applyBorder="1" applyFont="1">
      <alignment horizontal="center" readingOrder="0" shrinkToFit="0" vertical="center" wrapText="1"/>
    </xf>
    <xf borderId="13" fillId="0" fontId="26" numFmtId="0" xfId="0" applyAlignment="1" applyBorder="1" applyFont="1">
      <alignment horizontal="center" readingOrder="0" shrinkToFit="0" vertical="center" wrapText="1"/>
    </xf>
    <xf borderId="8" fillId="0" fontId="26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8" fillId="0" fontId="3" numFmtId="0" xfId="0" applyAlignment="1" applyBorder="1" applyFont="1">
      <alignment shrinkToFit="0" vertical="center" wrapText="1"/>
    </xf>
    <xf borderId="13" fillId="0" fontId="5" numFmtId="164" xfId="0" applyAlignment="1" applyBorder="1" applyFont="1" applyNumberForma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14" fillId="0" fontId="7" numFmtId="0" xfId="0" applyAlignment="1" applyBorder="1" applyFont="1">
      <alignment horizontal="center" readingOrder="0" shrinkToFit="0" vertical="center" wrapText="1"/>
    </xf>
    <xf borderId="7" fillId="4" fontId="35" numFmtId="0" xfId="0" applyAlignment="1" applyBorder="1" applyFill="1" applyFont="1">
      <alignment horizontal="center" shrinkToFit="0" vertical="center" wrapText="1"/>
    </xf>
    <xf borderId="7" fillId="4" fontId="35" numFmtId="0" xfId="0" applyAlignment="1" applyBorder="1" applyFill="1" applyFont="1">
      <alignment horizontal="center" shrinkToFit="0" wrapText="1"/>
    </xf>
    <xf borderId="13" fillId="0" fontId="13" numFmtId="0" xfId="0" applyAlignment="1" applyBorder="1" applyFont="1">
      <alignment horizontal="center" readingOrder="0" shrinkToFit="0" vertical="center" wrapText="1"/>
    </xf>
    <xf borderId="15" fillId="3" fontId="3" numFmtId="0" xfId="0" applyAlignment="1" applyBorder="1" applyFill="1" applyFont="1">
      <alignment shrinkToFit="0" vertical="bottom" wrapText="1"/>
    </xf>
    <xf borderId="9" fillId="0" fontId="2" numFmtId="0" xfId="0" applyAlignment="1" applyBorder="1" applyFont="1">
      <alignment horizontal="center" readingOrder="0" shrinkToFit="0" vertical="center" wrapText="1"/>
    </xf>
    <xf borderId="14" fillId="3" fontId="30" numFmtId="0" xfId="0" applyAlignment="1" applyBorder="1" applyFill="1" applyFont="1">
      <alignment horizontal="center" readingOrder="0" shrinkToFit="0" vertical="center" wrapText="1"/>
    </xf>
    <xf borderId="7" fillId="2" fontId="6" numFmtId="0" xfId="0" applyAlignment="1" applyBorder="1" applyFill="1" applyFont="1">
      <alignment horizontal="center" shrinkToFit="0" vertical="center" wrapText="1"/>
    </xf>
    <xf borderId="5" fillId="4" fontId="34" numFmtId="0" xfId="0" applyAlignment="1" applyBorder="1" applyFill="1" applyFont="1">
      <alignment horizontal="center" shrinkToFit="0" vertical="center" wrapText="1"/>
    </xf>
    <xf borderId="9" fillId="0" fontId="36" numFmtId="0" xfId="0" applyAlignment="1" applyBorder="1" applyFont="1">
      <alignment horizontal="center" readingOrder="0" shrinkToFit="0" vertical="center" wrapText="1"/>
    </xf>
    <xf borderId="12" fillId="0" fontId="2" numFmtId="0" xfId="0" applyAlignment="1" applyBorder="1" applyFont="1">
      <alignment horizontal="center" readingOrder="0" shrinkToFit="0" vertical="center" wrapText="1"/>
    </xf>
    <xf borderId="14" fillId="3" fontId="30" numFmtId="0" xfId="0" applyAlignment="1" applyBorder="1" applyFill="1" applyFont="1">
      <alignment horizontal="center" readingOrder="0" shrinkToFit="0" vertical="bottom" wrapText="1"/>
    </xf>
    <xf borderId="1" fillId="2" fontId="16" numFmtId="0" xfId="0" applyAlignment="1" applyBorder="1" applyFill="1" applyFont="1">
      <alignment readingOrder="0" shrinkToFit="0" wrapText="1"/>
    </xf>
    <xf borderId="1" fillId="2" fontId="12" numFmtId="0" xfId="0" applyAlignment="1" applyBorder="1" applyFill="1" applyFont="1">
      <alignment readingOrder="0" shrinkToFit="0" wrapText="1"/>
    </xf>
    <xf borderId="11" fillId="2" fontId="13" numFmtId="0" xfId="0" applyAlignment="1" applyBorder="1" applyFill="1" applyFont="1">
      <alignment horizontal="center" shrinkToFit="0" vertical="center" wrapText="1"/>
    </xf>
    <xf borderId="8" fillId="6" fontId="6" numFmtId="0" xfId="0" applyAlignment="1" applyBorder="1" applyFill="1" applyFont="1">
      <alignment horizontal="center" shrinkToFit="0" vertical="center" wrapText="1"/>
    </xf>
    <xf borderId="5" fillId="13" fontId="3" numFmtId="0" xfId="0" applyAlignment="1" applyBorder="1" applyFill="1" applyFont="1">
      <alignment shrinkToFit="0" wrapText="1"/>
    </xf>
    <xf borderId="12" fillId="0" fontId="3" numFmtId="0" xfId="0" applyAlignment="1" applyBorder="1" applyFont="1">
      <alignment shrinkToFit="0" vertical="center" wrapText="1"/>
    </xf>
    <xf borderId="0" fillId="13" fontId="2" numFmtId="0" xfId="0" applyAlignment="1" applyFill="1" applyFont="1">
      <alignment shrinkToFit="0" wrapText="1"/>
    </xf>
    <xf borderId="14" fillId="13" fontId="2" numFmtId="0" xfId="0" applyAlignment="1" applyBorder="1" applyFill="1" applyFont="1">
      <alignment shrinkToFit="0" wrapText="1"/>
    </xf>
    <xf borderId="14" fillId="13" fontId="3" numFmtId="0" xfId="0" applyAlignment="1" applyBorder="1" applyFill="1" applyFont="1">
      <alignment shrinkToFit="0" vertical="bottom" wrapText="1"/>
    </xf>
    <xf borderId="0" fillId="13" fontId="2" numFmtId="0" xfId="0" applyAlignment="1" applyFill="1" applyFont="1">
      <alignment horizontal="center" shrinkToFit="0" vertical="center" wrapText="1"/>
    </xf>
    <xf borderId="0" fillId="13" fontId="14" numFmtId="0" xfId="0" applyAlignment="1" applyFill="1" applyFont="1">
      <alignment horizontal="center" shrinkToFit="0" vertical="center" wrapText="1"/>
    </xf>
    <xf borderId="0" fillId="13" fontId="2" numFmtId="0" xfId="0" applyAlignment="1" applyFill="1" applyFont="1">
      <alignment shrinkToFit="0" vertical="center" wrapText="1"/>
    </xf>
    <xf borderId="5" fillId="13" fontId="3" numFmtId="0" xfId="0" applyAlignment="1" applyBorder="1" applyFill="1" applyFont="1">
      <alignment shrinkToFit="0" vertical="center" wrapText="1"/>
    </xf>
    <xf borderId="13" fillId="0" fontId="5" numFmtId="165" xfId="0" applyAlignment="1" applyBorder="1" applyFont="1" applyNumberFormat="1">
      <alignment horizontal="center" shrinkToFit="0" vertical="center" wrapText="1"/>
    </xf>
    <xf borderId="14" fillId="6" fontId="7" numFmtId="0" xfId="0" applyAlignment="1" applyBorder="1" applyFill="1" applyFont="1">
      <alignment horizontal="center" readingOrder="0" shrinkToFit="0" vertical="center" wrapText="1"/>
    </xf>
    <xf borderId="0" fillId="13" fontId="7" numFmtId="0" xfId="0" applyAlignment="1" applyFill="1" applyFont="1">
      <alignment horizontal="center" readingOrder="0" shrinkToFit="0" vertical="center" wrapText="1"/>
    </xf>
    <xf borderId="5" fillId="13" fontId="3" numFmtId="0" xfId="0" applyAlignment="1" applyBorder="1" applyFill="1" applyFont="1">
      <alignment shrinkToFit="0" vertical="bottom" wrapText="1"/>
    </xf>
    <xf borderId="1" fillId="0" fontId="27" numFmtId="0" xfId="0" applyAlignment="1" applyBorder="1" applyFont="1">
      <alignment horizontal="center" readingOrder="0" shrinkToFit="0" vertical="center" wrapText="1"/>
    </xf>
    <xf borderId="0" fillId="0" fontId="34" numFmtId="0" xfId="0" applyAlignment="1" applyFont="1">
      <alignment shrinkToFit="0" vertical="center" wrapText="1"/>
    </xf>
    <xf borderId="12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5" fillId="4" fontId="5" numFmtId="0" xfId="0" applyAlignment="1" applyBorder="1" applyFill="1" applyFont="1">
      <alignment readingOrder="0" shrinkToFit="0" vertical="center" wrapText="1"/>
    </xf>
    <xf borderId="0" fillId="5" fontId="9" numFmtId="0" xfId="0" applyAlignment="1" applyFill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14" fillId="2" fontId="7" numFmtId="0" xfId="0" applyAlignment="1" applyBorder="1" applyFill="1" applyFont="1">
      <alignment horizontal="center" shrinkToFit="0" vertical="center" wrapText="1"/>
    </xf>
    <xf borderId="5" fillId="4" fontId="34" numFmtId="0" xfId="0" applyAlignment="1" applyBorder="1" applyFill="1" applyFont="1">
      <alignment shrinkToFit="0" vertical="center" wrapText="1"/>
    </xf>
    <xf borderId="7" fillId="0" fontId="14" numFmtId="0" xfId="0" applyAlignment="1" applyBorder="1" applyFont="1">
      <alignment horizontal="center" readingOrder="0" shrinkToFit="0" vertical="center" wrapText="0"/>
    </xf>
    <xf borderId="9" fillId="0" fontId="14" numFmtId="0" xfId="0" applyAlignment="1" applyBorder="1" applyFont="1">
      <alignment horizontal="center" readingOrder="0" shrinkToFit="0" vertical="center" wrapText="0"/>
    </xf>
    <xf borderId="9" fillId="0" fontId="14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shrinkToFit="0" wrapText="1"/>
    </xf>
    <xf borderId="15" fillId="0" fontId="7" numFmtId="0" xfId="0" applyAlignment="1" applyBorder="1" applyFont="1">
      <alignment horizontal="center" readingOrder="0" shrinkToFit="0" vertical="center" wrapText="1"/>
    </xf>
    <xf borderId="13" fillId="0" fontId="7" numFmtId="0" xfId="0" applyAlignment="1" applyBorder="1" applyFont="1">
      <alignment horizontal="center" readingOrder="0" shrinkToFit="0" vertical="center" wrapText="1"/>
    </xf>
    <xf borderId="1" fillId="0" fontId="5" numFmtId="165" xfId="0" applyAlignment="1" applyBorder="1" applyFont="1" applyNumberFormat="1">
      <alignment horizontal="center" shrinkToFit="0" vertical="center" wrapText="1"/>
    </xf>
    <xf borderId="6" fillId="4" fontId="34" numFmtId="0" xfId="0" applyAlignment="1" applyBorder="1" applyFill="1" applyFont="1">
      <alignment shrinkToFit="0" vertical="center" wrapText="1"/>
    </xf>
    <xf borderId="0" fillId="0" fontId="37" numFmtId="0" xfId="0" applyAlignment="1" applyFont="1">
      <alignment horizontal="center" shrinkToFit="0" vertical="center" wrapText="0"/>
    </xf>
    <xf borderId="7" fillId="0" fontId="26" numFmtId="0" xfId="0" applyAlignment="1" applyBorder="1" applyFont="1">
      <alignment horizontal="center" readingOrder="0" shrinkToFit="0" vertical="bottom" wrapText="1"/>
    </xf>
    <xf borderId="7" fillId="0" fontId="6" numFmtId="0" xfId="0" applyAlignment="1" applyBorder="1" applyFont="1">
      <alignment horizontal="center" readingOrder="0" shrinkToFit="0" vertical="bottom" wrapText="1"/>
    </xf>
    <xf borderId="9" fillId="9" fontId="24" numFmtId="0" xfId="0" applyAlignment="1" applyBorder="1" applyFill="1" applyFont="1">
      <alignment horizontal="center" readingOrder="0" shrinkToFit="0" vertical="center" wrapText="1"/>
    </xf>
    <xf borderId="10" fillId="3" fontId="7" numFmtId="0" xfId="0" applyAlignment="1" applyBorder="1" applyFill="1" applyFont="1">
      <alignment horizontal="center" readingOrder="0" shrinkToFit="0" vertical="bottom" wrapText="1"/>
    </xf>
    <xf borderId="7" fillId="0" fontId="6" numFmtId="0" xfId="0" applyAlignment="1" applyBorder="1" applyFont="1">
      <alignment horizontal="center" shrinkToFit="0" vertical="center" wrapText="1"/>
    </xf>
    <xf borderId="1" fillId="2" fontId="28" numFmtId="0" xfId="0" applyAlignment="1" applyBorder="1" applyFill="1" applyFont="1">
      <alignment horizontal="center" readingOrder="0" shrinkToFit="0" vertical="center" wrapText="1"/>
    </xf>
    <xf borderId="0" fillId="0" fontId="34" numFmtId="0" xfId="0" applyAlignment="1" applyFont="1">
      <alignment horizontal="center" shrinkToFit="0" vertical="center" wrapText="1"/>
    </xf>
    <xf borderId="0" fillId="2" fontId="13" numFmtId="0" xfId="0" applyAlignment="1" applyFill="1" applyFont="1">
      <alignment horizontal="center" shrinkToFit="0" vertical="center" wrapText="1"/>
    </xf>
    <xf borderId="10" fillId="5" fontId="9" numFmtId="0" xfId="0" applyAlignment="1" applyBorder="1" applyFill="1" applyFont="1">
      <alignment horizontal="center" readingOrder="0" shrinkToFit="0" vertical="center" wrapText="1"/>
    </xf>
    <xf borderId="7" fillId="2" fontId="6" numFmtId="0" xfId="0" applyAlignment="1" applyBorder="1" applyFill="1" applyFont="1">
      <alignment horizontal="center" readingOrder="0" shrinkToFit="0" vertical="center" wrapText="1"/>
    </xf>
    <xf borderId="9" fillId="5" fontId="8" numFmtId="0" xfId="0" applyAlignment="1" applyBorder="1" applyFill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7" fillId="2" fontId="38" numFmtId="0" xfId="0" applyAlignment="1" applyBorder="1" applyFill="1" applyFont="1">
      <alignment horizontal="center" readingOrder="0" shrinkToFit="0" vertical="center" wrapText="1"/>
    </xf>
    <xf borderId="0" fillId="0" fontId="31" numFmtId="0" xfId="0" applyAlignment="1" applyFont="1">
      <alignment shrinkToFit="0" wrapText="1"/>
    </xf>
    <xf borderId="8" fillId="5" fontId="9" numFmtId="0" xfId="0" applyAlignment="1" applyBorder="1" applyFill="1" applyFont="1">
      <alignment horizontal="center" readingOrder="0" shrinkToFit="0" vertical="center" wrapText="1"/>
    </xf>
    <xf borderId="12" fillId="0" fontId="34" numFmtId="0" xfId="0" applyAlignment="1" applyBorder="1" applyFont="1">
      <alignment shrinkToFit="0" vertical="center" wrapText="1"/>
    </xf>
    <xf borderId="9" fillId="9" fontId="23" numFmtId="0" xfId="0" applyAlignment="1" applyBorder="1" applyFill="1" applyFont="1">
      <alignment horizontal="center" readingOrder="0" shrinkToFit="0" vertical="center" wrapText="1"/>
    </xf>
    <xf borderId="7" fillId="0" fontId="27" numFmtId="0" xfId="0" applyAlignment="1" applyBorder="1" applyFont="1">
      <alignment horizontal="center" readingOrder="0" shrinkToFit="0" wrapText="1"/>
    </xf>
    <xf borderId="7" fillId="4" fontId="10" numFmtId="0" xfId="0" applyAlignment="1" applyBorder="1" applyFill="1" applyFont="1">
      <alignment horizontal="center" shrinkToFit="0" vertical="center" wrapText="1"/>
    </xf>
    <xf borderId="14" fillId="4" fontId="3" numFmtId="0" xfId="0" applyAlignment="1" applyBorder="1" applyFill="1" applyFont="1">
      <alignment shrinkToFit="0" vertical="center" wrapText="1"/>
    </xf>
    <xf borderId="11" fillId="0" fontId="14" numFmtId="0" xfId="0" applyAlignment="1" applyBorder="1" applyFont="1">
      <alignment horizontal="center" readingOrder="0" shrinkToFit="0" vertical="center" wrapText="1"/>
    </xf>
    <xf borderId="13" fillId="0" fontId="6" numFmtId="165" xfId="0" applyAlignment="1" applyBorder="1" applyFont="1" applyNumberFormat="1">
      <alignment horizontal="center" shrinkToFit="0" vertical="center" wrapText="1"/>
    </xf>
    <xf borderId="12" fillId="2" fontId="7" numFmtId="0" xfId="0" applyAlignment="1" applyBorder="1" applyFill="1" applyFont="1">
      <alignment horizontal="center" shrinkToFit="0" vertical="center" wrapText="1"/>
    </xf>
    <xf borderId="5" fillId="4" fontId="34" numFmtId="0" xfId="0" applyAlignment="1" applyBorder="1" applyFill="1" applyFont="1">
      <alignment shrinkToFit="0" wrapText="1"/>
    </xf>
    <xf borderId="9" fillId="0" fontId="14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vertical="center" wrapText="1"/>
    </xf>
    <xf borderId="7" fillId="4" fontId="10" numFmtId="165" xfId="0" applyAlignment="1" applyBorder="1" applyFill="1" applyFont="1" applyNumberFormat="1">
      <alignment horizontal="center" shrinkToFit="0" wrapText="1"/>
    </xf>
    <xf borderId="7" fillId="0" fontId="27" numFmtId="0" xfId="0" applyAlignment="1" applyBorder="1" applyFont="1">
      <alignment horizontal="center" shrinkToFit="0" wrapText="1"/>
    </xf>
    <xf borderId="5" fillId="4" fontId="10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14" fillId="0" fontId="14" numFmtId="0" xfId="0" applyAlignment="1" applyBorder="1" applyFont="1">
      <alignment horizontal="center" shrinkToFit="0" vertical="center" wrapText="1"/>
    </xf>
    <xf borderId="9" fillId="0" fontId="30" numFmtId="0" xfId="0" applyAlignment="1" applyBorder="1" applyFont="1">
      <alignment horizontal="center" readingOrder="0" shrinkToFit="0" vertical="center" wrapText="1"/>
    </xf>
    <xf borderId="11" fillId="0" fontId="30" numFmtId="0" xfId="0" applyAlignment="1" applyBorder="1" applyFont="1">
      <alignment horizontal="center" readingOrder="0" shrinkToFit="0" vertical="center" wrapText="1"/>
    </xf>
    <xf borderId="0" fillId="0" fontId="34" numFmtId="0" xfId="0" applyAlignment="1" applyFont="1">
      <alignment shrinkToFit="0" vertical="bottom" wrapText="1"/>
    </xf>
    <xf borderId="1" fillId="0" fontId="26" numFmtId="0" xfId="0" applyAlignment="1" applyBorder="1" applyFont="1">
      <alignment horizontal="center" shrinkToFit="0" vertical="center" wrapText="1"/>
    </xf>
    <xf borderId="9" fillId="9" fontId="39" numFmtId="0" xfId="0" applyAlignment="1" applyBorder="1" applyFill="1" applyFont="1">
      <alignment horizontal="center" readingOrder="0" shrinkToFit="0" vertical="center" wrapText="1"/>
    </xf>
    <xf borderId="10" fillId="5" fontId="9" numFmtId="0" xfId="0" applyAlignment="1" applyBorder="1" applyFill="1" applyFont="1">
      <alignment horizontal="center" readingOrder="0" shrinkToFit="0" wrapText="1"/>
    </xf>
    <xf borderId="12" fillId="0" fontId="30" numFmtId="0" xfId="0" applyAlignment="1" applyBorder="1" applyFont="1">
      <alignment horizontal="center" readingOrder="0" shrinkToFit="0" vertical="center" wrapText="1"/>
    </xf>
    <xf borderId="0" fillId="0" fontId="30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horizontal="center" readingOrder="0" shrinkToFit="0" wrapText="1"/>
    </xf>
    <xf borderId="14" fillId="0" fontId="26" numFmtId="0" xfId="0" applyAlignment="1" applyBorder="1" applyFont="1">
      <alignment horizontal="center" readingOrder="0" shrinkToFit="0" wrapText="1"/>
    </xf>
    <xf borderId="0" fillId="2" fontId="7" numFmtId="0" xfId="0" applyAlignment="1" applyFill="1" applyFont="1">
      <alignment horizontal="center" shrinkToFit="0" vertical="center" wrapText="1"/>
    </xf>
    <xf borderId="0" fillId="2" fontId="7" numFmtId="0" xfId="0" applyAlignment="1" applyFill="1" applyFont="1">
      <alignment horizontal="center" readingOrder="0" shrinkToFit="0" vertical="center" wrapText="1"/>
    </xf>
    <xf borderId="13" fillId="0" fontId="29" numFmtId="0" xfId="0" applyAlignment="1" applyBorder="1" applyFont="1">
      <alignment horizontal="center" shrinkToFit="0" vertical="center" wrapText="1"/>
    </xf>
    <xf borderId="8" fillId="5" fontId="9" numFmtId="0" xfId="0" applyAlignment="1" applyBorder="1" applyFill="1" applyFont="1">
      <alignment horizontal="center" readingOrder="0" shrinkToFit="0" wrapText="1"/>
    </xf>
    <xf borderId="12" fillId="2" fontId="13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3" fillId="0" fontId="26" numFmtId="0" xfId="0" applyAlignment="1" applyBorder="1" applyFont="1">
      <alignment horizontal="center" readingOrder="0" shrinkToFit="0" wrapText="1"/>
    </xf>
    <xf borderId="8" fillId="0" fontId="26" numFmtId="0" xfId="0" applyAlignment="1" applyBorder="1" applyFont="1">
      <alignment horizontal="center" readingOrder="0" shrinkToFit="0" wrapText="1"/>
    </xf>
    <xf borderId="8" fillId="0" fontId="14" numFmtId="0" xfId="0" applyAlignment="1" applyBorder="1" applyFont="1">
      <alignment horizontal="center" readingOrder="0" shrinkToFit="0" vertical="center" wrapText="1"/>
    </xf>
    <xf borderId="14" fillId="0" fontId="14" numFmtId="0" xfId="0" applyAlignment="1" applyBorder="1" applyFont="1">
      <alignment horizontal="center" shrinkToFit="0" vertical="center" wrapText="1"/>
    </xf>
    <xf borderId="14" fillId="2" fontId="7" numFmtId="0" xfId="0" applyAlignment="1" applyBorder="1" applyFill="1" applyFont="1">
      <alignment horizontal="center" readingOrder="0" shrinkToFit="0" vertical="center" wrapText="1"/>
    </xf>
    <xf borderId="8" fillId="4" fontId="3" numFmtId="164" xfId="0" applyAlignment="1" applyBorder="1" applyFill="1" applyFont="1" applyNumberFormat="1">
      <alignment shrinkToFit="0" wrapText="1"/>
    </xf>
    <xf borderId="13" fillId="2" fontId="26" numFmtId="0" xfId="0" applyAlignment="1" applyBorder="1" applyFill="1" applyFont="1">
      <alignment horizontal="center" shrinkToFit="0" vertical="bottom" wrapText="1"/>
    </xf>
    <xf borderId="13" fillId="2" fontId="7" numFmtId="0" xfId="0" applyAlignment="1" applyBorder="1" applyFill="1" applyFont="1">
      <alignment horizontal="center" shrinkToFit="0" vertical="center" wrapText="1"/>
    </xf>
    <xf borderId="13" fillId="2" fontId="7" numFmtId="0" xfId="0" applyAlignment="1" applyBorder="1" applyFill="1" applyFont="1">
      <alignment horizontal="center" readingOrder="0" shrinkToFit="0" vertical="center" wrapText="1"/>
    </xf>
    <xf borderId="8" fillId="2" fontId="7" numFmtId="0" xfId="0" applyAlignment="1" applyBorder="1" applyFill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15" fillId="2" fontId="13" numFmtId="0" xfId="0" applyAlignment="1" applyBorder="1" applyFill="1" applyFont="1">
      <alignment horizontal="center" shrinkToFit="0" vertical="center" wrapText="1"/>
    </xf>
    <xf borderId="13" fillId="2" fontId="13" numFmtId="0" xfId="0" applyAlignment="1" applyBorder="1" applyFill="1" applyFont="1">
      <alignment horizontal="center" shrinkToFit="0" vertical="center" wrapText="1"/>
    </xf>
    <xf borderId="0" fillId="0" fontId="34" numFmtId="0" xfId="0" applyAlignment="1" applyFont="1">
      <alignment shrinkToFit="0" vertical="center" wrapText="1"/>
    </xf>
    <xf borderId="0" fillId="0" fontId="27" numFmtId="0" xfId="0" applyAlignment="1" applyFont="1">
      <alignment horizontal="center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12" fillId="3" fontId="3" numFmtId="0" xfId="0" applyAlignment="1" applyBorder="1" applyFill="1" applyFont="1">
      <alignment shrinkToFit="0" vertical="bottom" wrapText="1"/>
    </xf>
    <xf borderId="11" fillId="0" fontId="7" numFmtId="0" xfId="0" applyAlignment="1" applyBorder="1" applyFont="1">
      <alignment horizontal="center" shrinkToFit="0" vertical="center" wrapText="1"/>
    </xf>
    <xf borderId="9" fillId="14" fontId="40" numFmtId="0" xfId="0" applyAlignment="1" applyBorder="1" applyFill="1" applyFont="1">
      <alignment horizontal="center" readingOrder="0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1" fillId="3" fontId="7" numFmtId="0" xfId="0" applyAlignment="1" applyBorder="1" applyFill="1" applyFont="1">
      <alignment horizontal="center" shrinkToFit="0" vertical="bottom" wrapText="1"/>
    </xf>
    <xf borderId="11" fillId="2" fontId="3" numFmtId="0" xfId="0" applyAlignment="1" applyBorder="1" applyFill="1" applyFont="1">
      <alignment shrinkToFit="0" vertical="center" wrapText="1"/>
    </xf>
    <xf borderId="12" fillId="0" fontId="14" numFmtId="0" xfId="0" applyAlignment="1" applyBorder="1" applyFont="1">
      <alignment horizontal="center" shrinkToFit="0" vertical="center" wrapText="1"/>
    </xf>
    <xf borderId="0" fillId="2" fontId="3" numFmtId="0" xfId="0" applyAlignment="1" applyFill="1" applyFont="1">
      <alignment shrinkToFit="0" vertical="center" wrapText="1"/>
    </xf>
    <xf borderId="15" fillId="0" fontId="14" numFmtId="0" xfId="0" applyAlignment="1" applyBorder="1" applyFont="1">
      <alignment horizontal="center" shrinkToFit="0" vertical="center" wrapText="1"/>
    </xf>
    <xf borderId="13" fillId="0" fontId="14" numFmtId="0" xfId="0" applyAlignment="1" applyBorder="1" applyFont="1">
      <alignment horizontal="center" shrinkToFit="0" vertical="center" wrapText="1"/>
    </xf>
    <xf borderId="14" fillId="0" fontId="41" numFmtId="0" xfId="0" applyAlignment="1" applyBorder="1" applyFont="1">
      <alignment horizontal="center" shrinkToFit="0" vertical="center" wrapText="1"/>
    </xf>
    <xf borderId="6" fillId="3" fontId="3" numFmtId="0" xfId="0" applyAlignment="1" applyBorder="1" applyFill="1" applyFont="1">
      <alignment shrinkToFit="0" wrapText="1"/>
    </xf>
    <xf borderId="15" fillId="0" fontId="30" numFmtId="0" xfId="0" applyAlignment="1" applyBorder="1" applyFont="1">
      <alignment horizontal="center" readingOrder="0" shrinkToFit="0" vertical="center" wrapText="1"/>
    </xf>
    <xf borderId="13" fillId="0" fontId="30" numFmtId="0" xfId="0" applyAlignment="1" applyBorder="1" applyFont="1">
      <alignment horizontal="center" readingOrder="0" shrinkToFit="0" vertical="center" wrapText="1"/>
    </xf>
    <xf borderId="8" fillId="0" fontId="14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5" fillId="0" fontId="34" numFmtId="0" xfId="0" applyAlignment="1" applyBorder="1" applyFont="1">
      <alignment shrinkToFit="0" vertical="center" wrapText="1"/>
    </xf>
    <xf borderId="13" fillId="0" fontId="34" numFmtId="0" xfId="0" applyAlignment="1" applyBorder="1" applyFont="1">
      <alignment shrinkToFit="0" vertical="center" wrapText="1"/>
    </xf>
    <xf borderId="13" fillId="0" fontId="3" numFmtId="0" xfId="0" applyAlignment="1" applyBorder="1" applyFont="1">
      <alignment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3" fontId="7" numFmtId="0" xfId="0" applyAlignment="1" applyFill="1" applyFont="1">
      <alignment horizontal="center" shrinkToFit="0" vertical="bottom" wrapText="1"/>
    </xf>
    <xf borderId="0" fillId="2" fontId="3" numFmtId="0" xfId="0" applyAlignment="1" applyFill="1" applyFont="1">
      <alignment shrinkToFit="0" vertical="center" wrapText="1"/>
    </xf>
    <xf borderId="7" fillId="4" fontId="5" numFmtId="165" xfId="0" applyAlignment="1" applyBorder="1" applyFill="1" applyFont="1" applyNumberFormat="1">
      <alignment horizontal="center" shrinkToFit="0" vertical="center" wrapText="1"/>
    </xf>
    <xf borderId="7" fillId="4" fontId="5" numFmtId="165" xfId="0" applyAlignment="1" applyBorder="1" applyFill="1" applyFont="1" applyNumberFormat="1">
      <alignment horizontal="center" shrinkToFit="0" wrapText="1"/>
    </xf>
    <xf borderId="0" fillId="3" fontId="3" numFmtId="0" xfId="0" applyAlignment="1" applyFill="1" applyFont="1">
      <alignment shrinkToFit="0" wrapText="1"/>
    </xf>
    <xf borderId="14" fillId="3" fontId="3" numFmtId="0" xfId="0" applyAlignment="1" applyBorder="1" applyFill="1" applyFont="1">
      <alignment shrinkToFit="0" wrapText="1"/>
    </xf>
    <xf borderId="0" fillId="2" fontId="42" numFmtId="0" xfId="0" applyAlignment="1" applyFill="1" applyFont="1">
      <alignment readingOrder="0" shrinkToFit="0" vertical="center" wrapText="1"/>
    </xf>
    <xf borderId="0" fillId="2" fontId="31" numFmtId="0" xfId="0" applyAlignment="1" applyFill="1" applyFont="1">
      <alignment shrinkToFit="0" vertical="center" wrapText="1"/>
    </xf>
    <xf borderId="0" fillId="2" fontId="43" numFmtId="0" xfId="0" applyAlignment="1" applyFill="1" applyFont="1">
      <alignment shrinkToFit="0" vertical="center" wrapText="1"/>
    </xf>
    <xf borderId="0" fillId="2" fontId="2" numFmtId="0" xfId="0" applyAlignment="1" applyFill="1" applyFont="1">
      <alignment shrinkToFit="0" vertical="center" wrapText="1"/>
    </xf>
    <xf borderId="16" fillId="2" fontId="44" numFmtId="0" xfId="0" applyAlignment="1" applyBorder="1" applyFill="1" applyFont="1">
      <alignment readingOrder="0" shrinkToFit="0" vertical="center" wrapText="1"/>
    </xf>
    <xf borderId="0" fillId="2" fontId="43" numFmtId="0" xfId="0" applyAlignment="1" applyFill="1" applyFont="1">
      <alignment readingOrder="0" shrinkToFit="0" vertical="center" wrapText="1"/>
    </xf>
    <xf borderId="17" fillId="2" fontId="2" numFmtId="0" xfId="0" applyAlignment="1" applyBorder="1" applyFill="1" applyFont="1">
      <alignment readingOrder="0" shrinkToFit="0" vertical="center" wrapText="1"/>
    </xf>
    <xf borderId="18" fillId="2" fontId="2" numFmtId="0" xfId="0" applyAlignment="1" applyBorder="1" applyFill="1" applyFont="1">
      <alignment readingOrder="0" shrinkToFit="0" vertical="center" wrapText="1"/>
    </xf>
    <xf borderId="19" fillId="2" fontId="2" numFmtId="0" xfId="0" applyAlignment="1" applyBorder="1" applyFill="1" applyFont="1">
      <alignment readingOrder="0" shrinkToFit="0" vertical="center" wrapText="1"/>
    </xf>
    <xf borderId="16" fillId="2" fontId="2" numFmtId="0" xfId="0" applyAlignment="1" applyBorder="1" applyFill="1" applyFont="1">
      <alignment readingOrder="0" shrinkToFit="0" vertical="center" wrapText="1"/>
    </xf>
    <xf borderId="6" fillId="2" fontId="2" numFmtId="0" xfId="0" applyAlignment="1" applyBorder="1" applyFill="1" applyFont="1">
      <alignment readingOrder="0" shrinkToFit="0" vertical="center" wrapText="1"/>
    </xf>
    <xf borderId="0" fillId="2" fontId="7" numFmtId="0" xfId="0" applyAlignment="1" applyFill="1" applyFont="1">
      <alignment shrinkToFit="0" vertical="center" wrapText="1"/>
    </xf>
    <xf borderId="1" fillId="2" fontId="2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9" fillId="0" fontId="32" numFmtId="0" xfId="0" applyAlignment="1" applyBorder="1" applyFont="1">
      <alignment horizontal="center" readingOrder="0" shrinkToFit="0" vertical="center" wrapText="1"/>
    </xf>
    <xf borderId="20" fillId="0" fontId="2" numFmtId="0" xfId="0" applyAlignment="1" applyBorder="1" applyFont="1">
      <alignment shrinkToFit="0" wrapText="1"/>
    </xf>
    <xf borderId="21" fillId="2" fontId="2" numFmtId="0" xfId="0" applyAlignment="1" applyBorder="1" applyFill="1" applyFont="1">
      <alignment readingOrder="0" shrinkToFit="0" vertical="center" wrapText="1"/>
    </xf>
    <xf borderId="0" fillId="2" fontId="42" numFmtId="0" xfId="0" applyAlignment="1" applyFill="1" applyFont="1">
      <alignment readingOrder="0" shrinkToFit="0" vertical="center" wrapText="0"/>
    </xf>
    <xf borderId="0" fillId="2" fontId="45" numFmtId="0" xfId="0" applyAlignment="1" applyFill="1" applyFont="1">
      <alignment shrinkToFit="0" vertical="center" wrapText="1"/>
    </xf>
    <xf borderId="17" fillId="2" fontId="31" numFmtId="0" xfId="0" applyAlignment="1" applyBorder="1" applyFill="1" applyFont="1">
      <alignment readingOrder="0" shrinkToFit="0" vertical="center" wrapText="1"/>
    </xf>
    <xf borderId="7" fillId="4" fontId="5" numFmtId="0" xfId="0" applyAlignment="1" applyBorder="1" applyFill="1" applyFont="1">
      <alignment horizontal="center" shrinkToFit="0" vertical="center" wrapText="1"/>
    </xf>
    <xf borderId="16" fillId="2" fontId="34" numFmtId="0" xfId="0" applyAlignment="1" applyBorder="1" applyFill="1" applyFont="1">
      <alignment readingOrder="0" shrinkToFit="0" vertical="center" wrapText="1"/>
    </xf>
    <xf borderId="6" fillId="2" fontId="34" numFmtId="0" xfId="0" applyAlignment="1" applyBorder="1" applyFill="1" applyFont="1">
      <alignment readingOrder="0" shrinkToFit="0" vertical="center" wrapText="1"/>
    </xf>
    <xf borderId="1" fillId="2" fontId="34" numFmtId="0" xfId="0" applyAlignment="1" applyBorder="1" applyFill="1" applyFont="1">
      <alignment readingOrder="0" shrinkToFit="0" vertical="center" wrapText="1"/>
    </xf>
    <xf borderId="0" fillId="2" fontId="31" numFmtId="0" xfId="0" applyAlignment="1" applyFill="1" applyFont="1">
      <alignment readingOrder="0" shrinkToFit="0" vertical="center" wrapText="1"/>
    </xf>
    <xf borderId="0" fillId="2" fontId="2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22" fillId="2" fontId="34" numFmtId="0" xfId="0" applyAlignment="1" applyBorder="1" applyFill="1" applyFont="1">
      <alignment readingOrder="0" shrinkToFit="0" vertical="center" wrapText="1"/>
    </xf>
    <xf borderId="0" fillId="2" fontId="2" numFmtId="0" xfId="0" applyAlignment="1" applyFill="1" applyFont="1">
      <alignment readingOrder="0" shrinkToFit="0" vertical="center" wrapText="1"/>
    </xf>
    <xf borderId="23" fillId="2" fontId="34" numFmtId="0" xfId="0" applyAlignment="1" applyBorder="1" applyFill="1" applyFont="1">
      <alignment readingOrder="0" shrinkToFit="0" vertical="center" wrapText="1"/>
    </xf>
    <xf borderId="6" fillId="2" fontId="15" numFmtId="0" xfId="0" applyAlignment="1" applyBorder="1" applyFill="1" applyFont="1">
      <alignment readingOrder="0" shrinkToFit="0" vertical="center" wrapText="1"/>
    </xf>
    <xf borderId="1" fillId="2" fontId="15" numFmtId="0" xfId="0" applyAlignment="1" applyBorder="1" applyFill="1" applyFont="1">
      <alignment readingOrder="0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8" fillId="15" fontId="5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24" fillId="0" fontId="2" numFmtId="0" xfId="0" applyAlignment="1" applyBorder="1" applyFont="1">
      <alignment readingOrder="0" shrinkToFit="0" wrapText="1"/>
    </xf>
    <xf borderId="25" fillId="0" fontId="2" numFmtId="0" xfId="0" applyAlignment="1" applyBorder="1" applyFont="1">
      <alignment readingOrder="0" shrinkToFit="0" wrapText="1"/>
    </xf>
    <xf borderId="26" fillId="0" fontId="2" numFmtId="0" xfId="0" applyAlignment="1" applyBorder="1" applyFont="1">
      <alignment readingOrder="0" shrinkToFit="0" wrapText="1"/>
    </xf>
    <xf borderId="5" fillId="15" fontId="3" numFmtId="0" xfId="0" applyAlignment="1" applyBorder="1" applyFill="1" applyFont="1">
      <alignment shrinkToFit="0" wrapText="1"/>
    </xf>
    <xf borderId="20" fillId="0" fontId="2" numFmtId="0" xfId="0" applyAlignment="1" applyBorder="1" applyFont="1">
      <alignment readingOrder="0" shrinkToFit="0" wrapText="1"/>
    </xf>
    <xf borderId="8" fillId="15" fontId="5" numFmtId="0" xfId="0" applyAlignment="1" applyBorder="1" applyFill="1" applyFont="1">
      <alignment horizontal="center" shrinkToFit="0" vertical="center" wrapText="1"/>
    </xf>
    <xf borderId="0" fillId="0" fontId="46" numFmtId="0" xfId="0" applyAlignment="1" applyFont="1">
      <alignment readingOrder="0" shrinkToFit="0" vertical="center" wrapText="1"/>
    </xf>
    <xf borderId="12" fillId="0" fontId="45" numFmtId="0" xfId="0" applyAlignment="1" applyBorder="1" applyFont="1">
      <alignment horizontal="center" readingOrder="0" shrinkToFit="0" vertical="center" wrapText="1"/>
    </xf>
    <xf borderId="12" fillId="0" fontId="45" numFmtId="0" xfId="0" applyAlignment="1" applyBorder="1" applyFont="1">
      <alignment readingOrder="0" shrinkToFit="0" vertical="center" wrapText="1"/>
    </xf>
    <xf borderId="5" fillId="0" fontId="45" numFmtId="0" xfId="0" applyAlignment="1" applyBorder="1" applyFont="1">
      <alignment readingOrder="0" shrinkToFit="0" vertical="center" wrapText="1"/>
    </xf>
    <xf borderId="0" fillId="0" fontId="43" numFmtId="0" xfId="0" applyAlignment="1" applyFont="1">
      <alignment shrinkToFit="0" vertical="center" wrapText="1"/>
    </xf>
    <xf borderId="5" fillId="0" fontId="46" numFmtId="0" xfId="0" applyAlignment="1" applyBorder="1" applyFont="1">
      <alignment readingOrder="0" shrinkToFit="0" vertical="center" wrapText="1"/>
    </xf>
    <xf borderId="5" fillId="0" fontId="45" numFmtId="0" xfId="0" applyAlignment="1" applyBorder="1" applyFont="1">
      <alignment horizontal="center" readingOrder="0" shrinkToFit="0" vertical="center" wrapText="1"/>
    </xf>
    <xf borderId="6" fillId="0" fontId="45" numFmtId="0" xfId="0" applyAlignment="1" applyBorder="1" applyFont="1">
      <alignment readingOrder="0" shrinkToFit="0" vertical="center" wrapText="1"/>
    </xf>
    <xf borderId="1" fillId="0" fontId="45" numFmtId="0" xfId="0" applyAlignment="1" applyBorder="1" applyFont="1">
      <alignment readingOrder="0" shrinkToFit="0" vertical="center" wrapText="1"/>
    </xf>
    <xf borderId="14" fillId="15" fontId="3" numFmtId="0" xfId="0" applyAlignment="1" applyBorder="1" applyFill="1" applyFont="1">
      <alignment horizontal="center" shrinkToFit="0" vertical="center" wrapText="1"/>
    </xf>
    <xf borderId="7" fillId="0" fontId="45" numFmtId="0" xfId="0" applyAlignment="1" applyBorder="1" applyFont="1">
      <alignment horizontal="center" readingOrder="0" shrinkToFit="0" vertical="center" wrapText="1"/>
    </xf>
    <xf borderId="14" fillId="15" fontId="3" numFmtId="0" xfId="0" applyAlignment="1" applyBorder="1" applyFill="1" applyFont="1">
      <alignment shrinkToFit="0" wrapText="1"/>
    </xf>
    <xf borderId="7" fillId="0" fontId="46" numFmtId="0" xfId="0" applyAlignment="1" applyBorder="1" applyFont="1">
      <alignment readingOrder="0" shrinkToFit="0" vertical="center" wrapText="1"/>
    </xf>
    <xf borderId="1" fillId="0" fontId="45" numFmtId="0" xfId="0" applyAlignment="1" applyBorder="1" applyFont="1">
      <alignment horizontal="center" readingOrder="0" shrinkToFit="0" vertical="center" wrapText="1"/>
    </xf>
    <xf borderId="7" fillId="0" fontId="26" numFmtId="0" xfId="0" applyAlignment="1" applyBorder="1" applyFont="1">
      <alignment horizontal="center" shrinkToFit="0" vertical="center" wrapText="1"/>
    </xf>
    <xf borderId="7" fillId="0" fontId="45" numFmtId="0" xfId="0" applyAlignment="1" applyBorder="1" applyFont="1">
      <alignment readingOrder="0" shrinkToFit="0" vertical="center" wrapText="1"/>
    </xf>
    <xf borderId="10" fillId="0" fontId="14" numFmtId="0" xfId="0" applyAlignment="1" applyBorder="1" applyFont="1">
      <alignment horizontal="center" readingOrder="0" shrinkToFit="0" vertical="center" wrapText="1"/>
    </xf>
    <xf borderId="0" fillId="15" fontId="3" numFmtId="0" xfId="0" applyAlignment="1" applyFill="1" applyFont="1">
      <alignment shrinkToFit="0" wrapText="1"/>
    </xf>
    <xf borderId="0" fillId="15" fontId="3" numFmtId="0" xfId="0" applyAlignment="1" applyFill="1" applyFont="1">
      <alignment shrinkToFit="0" vertical="bottom" wrapText="1"/>
    </xf>
    <xf borderId="8" fillId="15" fontId="13" numFmtId="0" xfId="0" applyAlignment="1" applyBorder="1" applyFill="1" applyFont="1">
      <alignment horizontal="center" shrinkToFit="0" vertical="center" wrapText="1"/>
    </xf>
    <xf borderId="0" fillId="0" fontId="45" numFmtId="0" xfId="0" applyAlignment="1" applyFont="1">
      <alignment shrinkToFit="0" vertical="center" wrapText="1"/>
    </xf>
    <xf borderId="0" fillId="2" fontId="44" numFmtId="0" xfId="0" applyAlignment="1" applyFill="1" applyFont="1">
      <alignment shrinkToFit="0" vertical="center" wrapText="1"/>
    </xf>
    <xf borderId="17" fillId="2" fontId="44" numFmtId="0" xfId="0" applyAlignment="1" applyBorder="1" applyFill="1" applyFont="1">
      <alignment readingOrder="0" shrinkToFit="0" vertical="center" wrapText="1"/>
    </xf>
    <xf borderId="6" fillId="2" fontId="45" numFmtId="0" xfId="0" applyAlignment="1" applyBorder="1" applyFill="1" applyFont="1">
      <alignment readingOrder="0" shrinkToFit="0" vertical="center" wrapText="1"/>
    </xf>
    <xf borderId="7" fillId="2" fontId="15" numFmtId="0" xfId="0" applyAlignment="1" applyBorder="1" applyFill="1" applyFont="1">
      <alignment readingOrder="0" shrinkToFit="0" vertical="center" wrapText="1"/>
    </xf>
    <xf borderId="1" fillId="2" fontId="43" numFmtId="0" xfId="0" applyAlignment="1" applyBorder="1" applyFill="1" applyFont="1">
      <alignment readingOrder="0" shrinkToFit="0" vertical="center" wrapText="1"/>
    </xf>
    <xf borderId="1" fillId="2" fontId="43" numFmtId="0" xfId="0" applyAlignment="1" applyBorder="1" applyFill="1" applyFont="1">
      <alignment readingOrder="0" shrinkToFit="0" vertical="bottom" wrapText="1"/>
    </xf>
    <xf borderId="9" fillId="9" fontId="18" numFmtId="0" xfId="0" applyAlignment="1" applyBorder="1" applyFill="1" applyFont="1">
      <alignment horizontal="center" readingOrder="0" shrinkToFit="0" vertical="center" wrapText="1"/>
    </xf>
    <xf borderId="12" fillId="15" fontId="3" numFmtId="0" xfId="0" applyAlignment="1" applyBorder="1" applyFill="1" applyFont="1">
      <alignment shrinkToFit="0" vertical="bottom" wrapText="1"/>
    </xf>
    <xf borderId="13" fillId="15" fontId="8" numFmtId="0" xfId="0" applyAlignment="1" applyBorder="1" applyFill="1" applyFont="1">
      <alignment horizontal="center" readingOrder="0" shrinkToFit="0" vertical="center" wrapText="1"/>
    </xf>
    <xf borderId="8" fillId="15" fontId="8" numFmtId="0" xfId="0" applyAlignment="1" applyBorder="1" applyFill="1" applyFont="1">
      <alignment horizontal="center" readingOrder="0" shrinkToFit="0" vertical="center" wrapText="1"/>
    </xf>
    <xf borderId="5" fillId="15" fontId="3" numFmtId="0" xfId="0" applyAlignment="1" applyBorder="1" applyFill="1" applyFont="1">
      <alignment shrinkToFit="0" vertical="bottom" wrapText="1"/>
    </xf>
    <xf borderId="0" fillId="15" fontId="2" numFmtId="0" xfId="0" applyAlignment="1" applyFill="1" applyFont="1">
      <alignment shrinkToFit="0" wrapText="1"/>
    </xf>
    <xf borderId="14" fillId="2" fontId="3" numFmtId="0" xfId="0" applyAlignment="1" applyBorder="1" applyFill="1" applyFont="1">
      <alignment shrinkToFit="0" vertical="center" wrapText="1"/>
    </xf>
    <xf borderId="14" fillId="15" fontId="3" numFmtId="0" xfId="0" applyAlignment="1" applyBorder="1" applyFill="1" applyFont="1">
      <alignment shrinkToFit="0" vertical="bottom" wrapText="1"/>
    </xf>
    <xf borderId="9" fillId="2" fontId="30" numFmtId="0" xfId="0" applyAlignment="1" applyBorder="1" applyFill="1" applyFont="1">
      <alignment horizontal="center" readingOrder="0" shrinkToFit="0" vertical="center" wrapText="1"/>
    </xf>
    <xf borderId="1" fillId="2" fontId="43" numFmtId="0" xfId="0" applyAlignment="1" applyBorder="1" applyFill="1" applyFont="1">
      <alignment readingOrder="0" shrinkToFit="0" wrapText="1"/>
    </xf>
    <xf borderId="9" fillId="2" fontId="15" numFmtId="0" xfId="0" applyAlignment="1" applyBorder="1" applyFill="1" applyFont="1">
      <alignment readingOrder="0" shrinkToFit="0" vertical="center" wrapText="1"/>
    </xf>
    <xf borderId="14" fillId="3" fontId="3" numFmtId="0" xfId="0" applyAlignment="1" applyBorder="1" applyFill="1" applyFont="1">
      <alignment shrinkToFit="0" wrapText="1"/>
    </xf>
    <xf borderId="14" fillId="0" fontId="3" numFmtId="0" xfId="0" applyAlignment="1" applyBorder="1" applyFont="1">
      <alignment shrinkToFit="0" wrapText="1"/>
    </xf>
    <xf borderId="8" fillId="0" fontId="7" numFmtId="0" xfId="0" applyAlignment="1" applyBorder="1" applyFont="1">
      <alignment horizontal="center" readingOrder="0" shrinkToFit="0" vertical="center" wrapText="1"/>
    </xf>
    <xf borderId="7" fillId="2" fontId="46" numFmtId="0" xfId="0" applyAlignment="1" applyBorder="1" applyFill="1" applyFont="1">
      <alignment readingOrder="0" shrinkToFit="0" vertical="center" wrapText="1"/>
    </xf>
    <xf borderId="1" fillId="2" fontId="45" numFmtId="0" xfId="0" applyAlignment="1" applyBorder="1" applyFill="1" applyFont="1">
      <alignment horizontal="center" readingOrder="0" shrinkToFit="0" vertical="center" wrapText="1"/>
    </xf>
    <xf borderId="1" fillId="2" fontId="45" numFmtId="0" xfId="0" applyAlignment="1" applyBorder="1" applyFill="1" applyFont="1">
      <alignment readingOrder="0" shrinkToFit="0" vertical="center" wrapText="1"/>
    </xf>
    <xf borderId="8" fillId="15" fontId="6" numFmtId="0" xfId="0" applyAlignment="1" applyBorder="1" applyFill="1" applyFont="1">
      <alignment horizontal="center" shrinkToFit="0" vertical="center" wrapText="1"/>
    </xf>
    <xf borderId="12" fillId="15" fontId="3" numFmtId="0" xfId="0" applyAlignment="1" applyBorder="1" applyFill="1" applyFont="1">
      <alignment shrinkToFit="0" vertical="bottom" wrapText="1"/>
    </xf>
    <xf borderId="12" fillId="15" fontId="2" numFmtId="0" xfId="0" applyAlignment="1" applyBorder="1" applyFill="1" applyFont="1">
      <alignment horizontal="center" readingOrder="0" shrinkToFit="0" vertical="center" wrapText="1"/>
    </xf>
    <xf borderId="0" fillId="15" fontId="2" numFmtId="0" xfId="0" applyAlignment="1" applyFill="1" applyFont="1">
      <alignment horizontal="center" readingOrder="0" shrinkToFit="0" vertical="center" wrapText="1"/>
    </xf>
    <xf borderId="5" fillId="15" fontId="3" numFmtId="0" xfId="0" applyAlignment="1" applyBorder="1" applyFill="1" applyFont="1">
      <alignment shrinkToFit="0" vertical="bottom" wrapText="1"/>
    </xf>
    <xf borderId="13" fillId="0" fontId="3" numFmtId="0" xfId="0" applyAlignment="1" applyBorder="1" applyFont="1">
      <alignment shrinkToFit="0" wrapText="1"/>
    </xf>
    <xf borderId="9" fillId="15" fontId="24" numFmtId="0" xfId="0" applyAlignment="1" applyBorder="1" applyFill="1" applyFont="1">
      <alignment horizontal="center" shrinkToFit="0" vertical="center" wrapText="1"/>
    </xf>
    <xf borderId="8" fillId="0" fontId="3" numFmtId="0" xfId="0" applyAlignment="1" applyBorder="1" applyFont="1">
      <alignment shrinkToFit="0" wrapText="1"/>
    </xf>
    <xf borderId="12" fillId="15" fontId="3" numFmtId="0" xfId="0" applyAlignment="1" applyBorder="1" applyFill="1" applyFont="1">
      <alignment shrinkToFit="0" vertical="center" wrapText="1"/>
    </xf>
    <xf borderId="0" fillId="15" fontId="3" numFmtId="0" xfId="0" applyAlignment="1" applyFill="1" applyFont="1">
      <alignment shrinkToFit="0" vertical="center" wrapText="1"/>
    </xf>
    <xf borderId="14" fillId="15" fontId="3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horizontal="center" shrinkToFit="0" vertical="center" wrapText="0"/>
    </xf>
    <xf borderId="10" fillId="15" fontId="7" numFmtId="0" xfId="0" applyAlignment="1" applyBorder="1" applyFill="1" applyFont="1">
      <alignment horizontal="center" shrinkToFit="0" vertical="bottom" wrapText="1"/>
    </xf>
    <xf borderId="15" fillId="0" fontId="7" numFmtId="0" xfId="0" applyAlignment="1" applyBorder="1" applyFont="1">
      <alignment horizontal="center" shrinkToFit="0" vertical="center" wrapText="1"/>
    </xf>
    <xf borderId="4" fillId="15" fontId="4" numFmtId="0" xfId="0" applyAlignment="1" applyBorder="1" applyFill="1" applyFon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1" fillId="15" fontId="4" numFmtId="0" xfId="0" applyAlignment="1" applyBorder="1" applyFill="1" applyFont="1">
      <alignment horizontal="center" shrinkToFit="0" vertical="center" wrapText="1"/>
    </xf>
    <xf borderId="0" fillId="4" fontId="3" numFmtId="0" xfId="0" applyAlignment="1" applyFill="1" applyFont="1">
      <alignment horizontal="center" shrinkToFit="0" vertical="center" wrapText="1"/>
    </xf>
    <xf borderId="7" fillId="2" fontId="45" numFmtId="0" xfId="0" applyAlignment="1" applyBorder="1" applyFill="1" applyFont="1">
      <alignment horizontal="center" readingOrder="0" shrinkToFit="0" vertical="center" wrapText="1"/>
    </xf>
    <xf borderId="7" fillId="2" fontId="45" numFmtId="0" xfId="0" applyAlignment="1" applyBorder="1" applyFill="1" applyFont="1">
      <alignment readingOrder="0" shrinkToFit="0" vertical="center" wrapText="1"/>
    </xf>
    <xf borderId="7" fillId="15" fontId="4" numFmtId="0" xfId="0" applyAlignment="1" applyBorder="1" applyFill="1" applyFont="1">
      <alignment horizontal="center" shrinkToFit="0" vertical="center" wrapText="1"/>
    </xf>
    <xf borderId="17" fillId="2" fontId="3" numFmtId="0" xfId="0" applyAlignment="1" applyBorder="1" applyFill="1" applyFont="1">
      <alignment readingOrder="0" shrinkToFit="0" vertical="center" wrapText="1"/>
    </xf>
    <xf borderId="17" fillId="2" fontId="2" numFmtId="0" xfId="0" applyAlignment="1" applyBorder="1" applyFill="1" applyFont="1">
      <alignment shrinkToFit="0" vertical="center" wrapText="1"/>
    </xf>
    <xf borderId="8" fillId="3" fontId="3" numFmtId="0" xfId="0" applyAlignment="1" applyBorder="1" applyFill="1" applyFont="1">
      <alignment horizontal="center" shrinkToFit="0" vertical="center" wrapText="1"/>
    </xf>
    <xf borderId="7" fillId="4" fontId="3" numFmtId="164" xfId="0" applyAlignment="1" applyBorder="1" applyFill="1" applyFont="1" applyNumberFormat="1">
      <alignment shrinkToFit="0" wrapText="1"/>
    </xf>
    <xf borderId="0" fillId="12" fontId="3" numFmtId="0" xfId="0" applyAlignment="1" applyFill="1" applyFont="1">
      <alignment shrinkToFit="0" vertical="center" wrapText="1"/>
    </xf>
    <xf borderId="5" fillId="3" fontId="3" numFmtId="0" xfId="0" applyAlignment="1" applyBorder="1" applyFill="1" applyFont="1">
      <alignment shrinkToFit="0" wrapText="1"/>
    </xf>
    <xf borderId="0" fillId="5" fontId="47" numFmtId="0" xfId="0" applyAlignment="1" applyFill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9" fillId="5" fontId="9" numFmtId="0" xfId="0" applyAlignment="1" applyBorder="1" applyFill="1" applyFont="1">
      <alignment horizontal="center" readingOrder="0" shrinkToFit="0" vertical="center" wrapText="1"/>
    </xf>
    <xf borderId="7" fillId="15" fontId="7" numFmtId="0" xfId="0" applyAlignment="1" applyBorder="1" applyFill="1" applyFont="1">
      <alignment horizontal="center" shrinkToFit="0" vertical="center" wrapText="1"/>
    </xf>
    <xf borderId="1" fillId="15" fontId="7" numFmtId="0" xfId="0" applyAlignment="1" applyBorder="1" applyFill="1" applyFont="1">
      <alignment horizontal="center" shrinkToFit="0" vertical="center" wrapText="1"/>
    </xf>
    <xf borderId="9" fillId="0" fontId="26" numFmtId="0" xfId="0" applyAlignment="1" applyBorder="1" applyFont="1">
      <alignment horizontal="center" readingOrder="0" shrinkToFit="0" wrapText="1"/>
    </xf>
    <xf borderId="9" fillId="0" fontId="26" numFmtId="0" xfId="0" applyAlignment="1" applyBorder="1" applyFont="1">
      <alignment horizontal="center" shrinkToFit="0" wrapText="1"/>
    </xf>
    <xf borderId="13" fillId="12" fontId="3" numFmtId="0" xfId="0" applyAlignment="1" applyBorder="1" applyFill="1" applyFont="1">
      <alignment shrinkToFit="0" vertical="center" wrapText="1"/>
    </xf>
    <xf borderId="14" fillId="15" fontId="7" numFmtId="0" xfId="0" applyAlignment="1" applyBorder="1" applyFill="1" applyFont="1">
      <alignment horizontal="center" shrinkToFit="0" vertical="bottom" wrapText="1"/>
    </xf>
    <xf borderId="14" fillId="0" fontId="3" numFmtId="0" xfId="0" applyAlignment="1" applyBorder="1" applyFont="1">
      <alignment horizontal="center" readingOrder="0" shrinkToFit="0" vertical="center" wrapText="1"/>
    </xf>
    <xf borderId="8" fillId="0" fontId="5" numFmtId="165" xfId="0" applyAlignment="1" applyBorder="1" applyFont="1" applyNumberFormat="1">
      <alignment horizontal="center" readingOrder="0" shrinkToFit="0" vertical="center" wrapText="1"/>
    </xf>
    <xf borderId="6" fillId="15" fontId="7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wrapText="1"/>
    </xf>
    <xf borderId="14" fillId="0" fontId="3" numFmtId="0" xfId="0" applyAlignment="1" applyBorder="1" applyFont="1">
      <alignment shrinkToFit="0" vertical="bottom" wrapText="1"/>
    </xf>
    <xf borderId="12" fillId="0" fontId="7" numFmtId="0" xfId="0" applyAlignment="1" applyBorder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12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7" fillId="2" fontId="20" numFmtId="0" xfId="0" applyAlignment="1" applyBorder="1" applyFill="1" applyFont="1">
      <alignment horizontal="center" readingOrder="0" shrinkToFit="0" vertical="center" wrapText="1"/>
    </xf>
    <xf borderId="0" fillId="0" fontId="37" numFmtId="0" xfId="0" applyAlignment="1" applyFont="1">
      <alignment shrinkToFit="0" vertical="center" wrapText="0"/>
    </xf>
    <xf borderId="15" fillId="0" fontId="32" numFmtId="0" xfId="0" applyAlignment="1" applyBorder="1" applyFont="1">
      <alignment horizontal="center" readingOrder="0" shrinkToFit="0" vertical="center" wrapText="1"/>
    </xf>
    <xf borderId="9" fillId="0" fontId="26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9" fontId="23" numFmtId="0" xfId="0" applyAlignment="1" applyFill="1" applyFont="1">
      <alignment horizontal="center" shrinkToFit="0" vertical="center" wrapText="1"/>
    </xf>
    <xf borderId="7" fillId="0" fontId="26" numFmtId="0" xfId="0" applyAlignment="1" applyBorder="1" applyFont="1">
      <alignment horizontal="center" shrinkToFit="0" vertical="center" wrapText="1"/>
    </xf>
    <xf borderId="12" fillId="2" fontId="3" numFmtId="0" xfId="0" applyAlignment="1" applyBorder="1" applyFill="1" applyFont="1">
      <alignment shrinkToFit="0" vertical="center" wrapText="1"/>
    </xf>
    <xf borderId="9" fillId="0" fontId="27" numFmtId="0" xfId="0" applyAlignment="1" applyBorder="1" applyFont="1">
      <alignment horizontal="center" readingOrder="0" shrinkToFit="0" vertical="center" wrapText="1"/>
    </xf>
    <xf borderId="15" fillId="2" fontId="2" numFmtId="0" xfId="0" applyAlignment="1" applyBorder="1" applyFill="1" applyFont="1">
      <alignment horizontal="center" readingOrder="0" shrinkToFit="0" vertical="center" wrapText="1"/>
    </xf>
    <xf borderId="13" fillId="2" fontId="2" numFmtId="0" xfId="0" applyAlignment="1" applyBorder="1" applyFill="1" applyFont="1">
      <alignment horizontal="center" readingOrder="0" shrinkToFit="0" vertical="center" wrapText="1"/>
    </xf>
    <xf borderId="7" fillId="0" fontId="32" numFmtId="0" xfId="0" applyAlignment="1" applyBorder="1" applyFont="1">
      <alignment horizontal="center" readingOrder="0" shrinkToFit="0" vertical="center" wrapText="1"/>
    </xf>
    <xf borderId="15" fillId="2" fontId="3" numFmtId="0" xfId="0" applyAlignment="1" applyBorder="1" applyFill="1" applyFont="1">
      <alignment shrinkToFit="0" vertical="center" wrapText="1"/>
    </xf>
    <xf borderId="13" fillId="2" fontId="3" numFmtId="0" xfId="0" applyAlignment="1" applyBorder="1" applyFill="1" applyFont="1">
      <alignment shrinkToFit="0" vertical="center" wrapText="1"/>
    </xf>
    <xf borderId="13" fillId="2" fontId="3" numFmtId="0" xfId="0" applyAlignment="1" applyBorder="1" applyFill="1" applyFont="1">
      <alignment shrinkToFit="0" vertical="center" wrapText="1"/>
    </xf>
    <xf borderId="15" fillId="3" fontId="3" numFmtId="0" xfId="0" applyAlignment="1" applyBorder="1" applyFill="1" applyFont="1">
      <alignment shrinkToFit="0" vertical="center" wrapText="1"/>
    </xf>
    <xf borderId="10" fillId="5" fontId="9" numFmtId="0" xfId="0" applyAlignment="1" applyBorder="1" applyFill="1" applyFont="1">
      <alignment horizontal="center" shrinkToFit="0" vertical="center" wrapText="1"/>
    </xf>
    <xf borderId="0" fillId="14" fontId="48" numFmtId="0" xfId="0" applyAlignment="1" applyFill="1" applyFont="1">
      <alignment horizontal="center" shrinkToFit="0" vertical="center" wrapText="1"/>
    </xf>
    <xf borderId="8" fillId="5" fontId="9" numFmtId="0" xfId="0" applyAlignment="1" applyBorder="1" applyFill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7" fillId="3" fontId="3" numFmtId="0" xfId="0" applyAlignment="1" applyBorder="1" applyFill="1" applyFont="1">
      <alignment shrinkToFit="0" vertical="bottom" wrapText="1"/>
    </xf>
    <xf borderId="11" fillId="0" fontId="7" numFmtId="0" xfId="0" applyAlignment="1" applyBorder="1" applyFont="1">
      <alignment horizontal="center" shrinkToFit="0" wrapText="1"/>
    </xf>
    <xf borderId="10" fillId="0" fontId="7" numFmtId="0" xfId="0" applyAlignment="1" applyBorder="1" applyFont="1">
      <alignment horizontal="center" shrinkToFit="0" wrapText="1"/>
    </xf>
    <xf borderId="11" fillId="2" fontId="13" numFmtId="0" xfId="0" applyAlignment="1" applyBorder="1" applyFill="1" applyFont="1">
      <alignment horizontal="center" shrinkToFit="0" vertical="center" wrapText="1"/>
    </xf>
    <xf borderId="6" fillId="3" fontId="3" numFmtId="0" xfId="0" applyAlignment="1" applyBorder="1" applyFill="1" applyFont="1">
      <alignment shrinkToFit="0" wrapText="1"/>
    </xf>
    <xf borderId="6" fillId="4" fontId="3" numFmtId="164" xfId="0" applyAlignment="1" applyBorder="1" applyFill="1" applyFont="1" applyNumberFormat="1">
      <alignment shrinkToFit="0" wrapText="1"/>
    </xf>
    <xf borderId="5" fillId="3" fontId="3" numFmtId="0" xfId="0" applyAlignment="1" applyBorder="1" applyFill="1" applyFont="1">
      <alignment shrinkToFit="0" vertical="center" wrapText="1"/>
    </xf>
    <xf borderId="0" fillId="2" fontId="7" numFmtId="0" xfId="0" applyAlignment="1" applyFill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13" fillId="11" fontId="3" numFmtId="0" xfId="0" applyAlignment="1" applyBorder="1" applyFill="1" applyFont="1">
      <alignment horizontal="center" shrinkToFit="0" vertical="center" wrapText="1"/>
    </xf>
    <xf borderId="13" fillId="0" fontId="13" numFmtId="0" xfId="0" applyAlignment="1" applyBorder="1" applyFont="1">
      <alignment horizontal="center" shrinkToFit="0" vertical="center" wrapText="1"/>
    </xf>
    <xf borderId="13" fillId="0" fontId="13" numFmtId="0" xfId="0" applyAlignment="1" applyBorder="1" applyFont="1">
      <alignment horizontal="center" shrinkToFit="0" vertical="center" wrapText="1"/>
    </xf>
    <xf borderId="13" fillId="11" fontId="3" numFmtId="0" xfId="0" applyAlignment="1" applyBorder="1" applyFill="1" applyFont="1">
      <alignment horizontal="center" shrinkToFit="0" vertical="center" wrapText="1"/>
    </xf>
    <xf borderId="13" fillId="11" fontId="13" numFmtId="0" xfId="0" applyAlignment="1" applyBorder="1" applyFill="1" applyFont="1">
      <alignment horizontal="center" shrinkToFit="0" vertical="center" wrapText="1"/>
    </xf>
    <xf borderId="8" fillId="0" fontId="13" numFmtId="0" xfId="0" applyAlignment="1" applyBorder="1" applyFont="1">
      <alignment horizontal="center" shrinkToFit="0" vertical="center" wrapText="1"/>
    </xf>
    <xf borderId="13" fillId="11" fontId="13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13" fillId="0" fontId="13" numFmtId="0" xfId="0" applyAlignment="1" applyBorder="1" applyFont="1">
      <alignment horizontal="center" readingOrder="0" shrinkToFit="0" vertical="center" wrapText="1"/>
    </xf>
    <xf borderId="8" fillId="0" fontId="13" numFmtId="0" xfId="0" applyAlignment="1" applyBorder="1" applyFont="1">
      <alignment horizontal="center" shrinkToFit="0" vertical="center" wrapText="1"/>
    </xf>
    <xf borderId="13" fillId="0" fontId="13" numFmtId="0" xfId="0" applyAlignment="1" applyBorder="1" applyFont="1">
      <alignment horizontal="center" shrinkToFit="0" vertical="center" wrapText="1"/>
    </xf>
    <xf borderId="12" fillId="2" fontId="13" numFmtId="0" xfId="0" applyAlignment="1" applyBorder="1" applyFill="1" applyFont="1">
      <alignment horizontal="center" shrinkToFit="0" vertical="center" wrapText="1"/>
    </xf>
    <xf borderId="0" fillId="2" fontId="13" numFmtId="0" xfId="0" applyAlignment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14" fillId="0" fontId="7" numFmtId="0" xfId="0" applyAlignment="1" applyBorder="1" applyFont="1">
      <alignment horizontal="center" shrinkToFit="0" wrapText="1"/>
    </xf>
    <xf borderId="13" fillId="0" fontId="13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7" fillId="2" fontId="13" numFmtId="0" xfId="0" applyAlignment="1" applyBorder="1" applyFill="1" applyFont="1">
      <alignment horizontal="center" readingOrder="0" shrinkToFit="0" vertical="center" wrapText="1"/>
    </xf>
    <xf borderId="8" fillId="7" fontId="13" numFmtId="0" xfId="0" applyAlignment="1" applyBorder="1" applyFill="1" applyFont="1">
      <alignment horizontal="center" shrinkToFit="0" vertical="center" wrapText="1"/>
    </xf>
    <xf borderId="8" fillId="7" fontId="13" numFmtId="0" xfId="0" applyAlignment="1" applyBorder="1" applyFill="1" applyFont="1">
      <alignment horizontal="center" shrinkToFit="0" vertical="center" wrapText="1"/>
    </xf>
    <xf borderId="0" fillId="0" fontId="49" numFmtId="0" xfId="0" applyAlignment="1" applyFont="1">
      <alignment readingOrder="0" shrinkToFit="0" vertical="center" wrapText="0"/>
    </xf>
    <xf borderId="13" fillId="0" fontId="13" numFmtId="0" xfId="0" applyAlignment="1" applyBorder="1" applyFont="1">
      <alignment horizontal="center" shrinkToFit="0" vertical="center" wrapText="0"/>
    </xf>
    <xf borderId="2" fillId="0" fontId="12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14" fillId="2" fontId="3" numFmtId="0" xfId="0" applyAlignment="1" applyBorder="1" applyFill="1" applyFont="1">
      <alignment shrinkToFit="0" vertical="center" wrapText="1"/>
    </xf>
    <xf borderId="13" fillId="0" fontId="1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6" fillId="4" fontId="3" numFmtId="0" xfId="0" applyAlignment="1" applyBorder="1" applyFill="1" applyFont="1">
      <alignment horizontal="center" shrinkToFit="0" vertical="center" wrapText="1"/>
    </xf>
    <xf borderId="8" fillId="4" fontId="3" numFmtId="0" xfId="0" applyAlignment="1" applyBorder="1" applyFill="1" applyFont="1">
      <alignment horizontal="center" shrinkToFit="0" vertical="center" wrapText="1"/>
    </xf>
    <xf borderId="14" fillId="2" fontId="13" numFmtId="0" xfId="0" applyAlignment="1" applyBorder="1" applyFill="1" applyFont="1">
      <alignment horizontal="center" shrinkToFit="0" vertical="center" wrapText="1"/>
    </xf>
    <xf borderId="6" fillId="12" fontId="3" numFmtId="0" xfId="0" applyAlignment="1" applyBorder="1" applyFill="1" applyFont="1">
      <alignment shrinkToFit="0" wrapText="1"/>
    </xf>
    <xf borderId="13" fillId="2" fontId="7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3" fillId="2" fontId="13" numFmtId="0" xfId="0" applyAlignment="1" applyBorder="1" applyFill="1" applyFont="1">
      <alignment horizontal="center" shrinkToFit="0" vertical="center" wrapText="1"/>
    </xf>
    <xf borderId="6" fillId="16" fontId="3" numFmtId="0" xfId="0" applyAlignment="1" applyBorder="1" applyFill="1" applyFont="1">
      <alignment horizontal="center" shrinkToFit="0" vertical="center" wrapText="1"/>
    </xf>
    <xf borderId="8" fillId="16" fontId="3" numFmtId="0" xfId="0" applyAlignment="1" applyBorder="1" applyFill="1" applyFont="1">
      <alignment horizontal="center" shrinkToFit="0" vertical="center" wrapText="1"/>
    </xf>
    <xf borderId="8" fillId="2" fontId="13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13" fillId="16" fontId="3" numFmtId="0" xfId="0" applyAlignment="1" applyBorder="1" applyFill="1" applyFont="1">
      <alignment horizontal="center" shrinkToFit="0" vertical="center" wrapText="1"/>
    </xf>
    <xf borderId="13" fillId="0" fontId="3" numFmtId="0" xfId="0" applyAlignment="1" applyBorder="1" applyFont="1">
      <alignment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wrapText="0"/>
    </xf>
    <xf borderId="0" fillId="0" fontId="4" numFmtId="0" xfId="0" applyAlignment="1" applyFont="1">
      <alignment horizontal="center" readingOrder="0" shrinkToFit="0" vertical="center" wrapText="1"/>
    </xf>
    <xf borderId="12" fillId="0" fontId="3" numFmtId="0" xfId="0" applyAlignment="1" applyBorder="1" applyFont="1">
      <alignment shrinkToFit="0" wrapText="1"/>
    </xf>
    <xf borderId="0" fillId="0" fontId="7" numFmtId="0" xfId="0" applyAlignment="1" applyFont="1">
      <alignment shrinkToFit="0" vertical="center" wrapText="0"/>
    </xf>
    <xf borderId="13" fillId="7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0" fillId="5" fontId="4" numFmtId="0" xfId="0" applyAlignment="1" applyFill="1" applyFont="1">
      <alignment horizontal="center" shrinkToFit="0" vertical="center" wrapText="1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readingOrder="0" shrinkToFit="0" vertical="center" wrapText="0"/>
    </xf>
    <xf borderId="0" fillId="0" fontId="37" numFmtId="0" xfId="0" applyAlignment="1" applyFont="1">
      <alignment readingOrder="0" shrinkToFit="0" vertical="center" wrapText="1"/>
    </xf>
    <xf borderId="0" fillId="17" fontId="3" numFmtId="0" xfId="0" applyAlignment="1" applyFill="1" applyFont="1">
      <alignment horizontal="right" shrinkToFit="0" vertical="bottom" wrapText="1"/>
    </xf>
    <xf borderId="0" fillId="0" fontId="3" numFmtId="0" xfId="0" applyAlignment="1" applyFont="1">
      <alignment shrinkToFit="0" vertical="bottom" wrapText="1"/>
    </xf>
    <xf borderId="0" fillId="17" fontId="15" numFmtId="0" xfId="0" applyAlignment="1" applyFill="1" applyFont="1">
      <alignment horizontal="right" shrinkToFit="0" vertical="bottom" wrapText="1"/>
    </xf>
    <xf borderId="1" fillId="2" fontId="44" numFmtId="0" xfId="0" applyAlignment="1" applyBorder="1" applyFill="1" applyFont="1">
      <alignment readingOrder="0" shrinkToFit="0" vertical="center" wrapText="1"/>
    </xf>
    <xf borderId="2" fillId="2" fontId="44" numFmtId="0" xfId="0" applyAlignment="1" applyBorder="1" applyFill="1" applyFont="1">
      <alignment readingOrder="0" shrinkToFit="0" vertical="center" wrapText="1"/>
    </xf>
    <xf borderId="1" fillId="2" fontId="31" numFmtId="0" xfId="0" applyAlignment="1" applyBorder="1" applyFill="1" applyFont="1">
      <alignment readingOrder="0" shrinkToFit="0" vertical="center" wrapText="1"/>
    </xf>
    <xf borderId="2" fillId="2" fontId="31" numFmtId="0" xfId="0" applyAlignment="1" applyBorder="1" applyFill="1" applyFont="1">
      <alignment readingOrder="0" shrinkToFit="0" vertical="center" wrapText="1"/>
    </xf>
    <xf borderId="1" fillId="2" fontId="31" numFmtId="0" xfId="0" applyAlignment="1" applyBorder="1" applyFill="1" applyFont="1">
      <alignment horizontal="left" readingOrder="0" shrinkToFit="0" vertical="center" wrapText="1"/>
    </xf>
    <xf borderId="0" fillId="2" fontId="31" numFmtId="0" xfId="0" applyAlignment="1" applyFill="1" applyFont="1">
      <alignment readingOrder="0" shrinkToFit="0" wrapText="1"/>
    </xf>
    <xf borderId="0" fillId="2" fontId="50" numFmtId="0" xfId="0" applyAlignment="1" applyFill="1" applyFont="1">
      <alignment horizontal="left" readingOrder="0" shrinkToFit="0" vertical="center" wrapText="1"/>
    </xf>
    <xf borderId="1" fillId="2" fontId="50" numFmtId="0" xfId="0" applyAlignment="1" applyBorder="1" applyFill="1" applyFont="1">
      <alignment readingOrder="0" shrinkToFit="0" vertical="center" wrapText="1"/>
    </xf>
    <xf borderId="2" fillId="2" fontId="50" numFmtId="0" xfId="0" applyAlignment="1" applyBorder="1" applyFill="1" applyFont="1">
      <alignment readingOrder="0" shrinkToFit="0" vertical="center" wrapText="1"/>
    </xf>
    <xf borderId="4" fillId="2" fontId="43" numFmtId="0" xfId="0" applyAlignment="1" applyBorder="1" applyFill="1" applyFont="1">
      <alignment readingOrder="0" shrinkToFit="0" vertical="center" wrapText="1"/>
    </xf>
    <xf borderId="1" fillId="2" fontId="43" numFmtId="0" xfId="0" applyAlignment="1" applyBorder="1" applyFill="1" applyFont="1">
      <alignment shrinkToFit="0" vertical="center" wrapText="1"/>
    </xf>
    <xf borderId="5" fillId="2" fontId="31" numFmtId="0" xfId="0" applyAlignment="1" applyBorder="1" applyFill="1" applyFont="1">
      <alignment readingOrder="0" shrinkToFit="0" vertical="center" wrapText="1"/>
    </xf>
    <xf borderId="0" fillId="2" fontId="2" numFmtId="0" xfId="0" applyAlignment="1" applyFill="1" applyFont="1">
      <alignment readingOrder="0" shrinkToFit="0" wrapText="1"/>
    </xf>
    <xf borderId="1" fillId="2" fontId="42" numFmtId="0" xfId="0" applyAlignment="1" applyBorder="1" applyFill="1" applyFont="1">
      <alignment readingOrder="0" shrinkToFit="0" vertical="center" wrapText="1"/>
    </xf>
    <xf borderId="1" fillId="2" fontId="31" numFmtId="0" xfId="0" applyAlignment="1" applyBorder="1" applyFill="1" applyFont="1">
      <alignment shrinkToFit="0" vertical="center" wrapText="1"/>
    </xf>
    <xf borderId="7" fillId="2" fontId="34" numFmtId="0" xfId="0" applyAlignment="1" applyBorder="1" applyFill="1" applyFont="1">
      <alignment readingOrder="0" shrinkToFit="0" vertical="center" wrapText="1"/>
    </xf>
    <xf borderId="1" fillId="2" fontId="31" numFmtId="0" xfId="0" applyAlignment="1" applyBorder="1" applyFill="1" applyFont="1">
      <alignment shrinkToFit="0" wrapText="1"/>
    </xf>
    <xf borderId="1" fillId="2" fontId="31" numFmtId="0" xfId="0" applyAlignment="1" applyBorder="1" applyFill="1" applyFont="1">
      <alignment readingOrder="0" shrinkToFit="0" vertical="center" wrapText="1"/>
    </xf>
    <xf borderId="7" fillId="2" fontId="31" numFmtId="0" xfId="0" applyAlignment="1" applyBorder="1" applyFill="1" applyFont="1">
      <alignment horizontal="left" readingOrder="0" shrinkToFit="0" vertical="center" wrapText="1"/>
    </xf>
    <xf borderId="7" fillId="2" fontId="31" numFmtId="0" xfId="0" applyAlignment="1" applyBorder="1" applyFill="1" applyFont="1">
      <alignment readingOrder="0" shrinkToFit="0" vertical="center" wrapText="1"/>
    </xf>
    <xf borderId="1" fillId="2" fontId="51" numFmtId="0" xfId="0" applyAlignment="1" applyBorder="1" applyFill="1" applyFont="1">
      <alignment horizontal="center" readingOrder="0" shrinkToFit="0" vertical="center" wrapText="1"/>
    </xf>
    <xf borderId="12" fillId="0" fontId="3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wrapText="1"/>
    </xf>
    <xf borderId="0" fillId="2" fontId="52" numFmtId="0" xfId="0" applyAlignment="1" applyFill="1" applyFont="1">
      <alignment readingOrder="0" shrinkToFit="0" vertical="center" wrapText="1"/>
    </xf>
    <xf borderId="0" fillId="2" fontId="53" numFmtId="0" xfId="0" applyAlignment="1" applyFill="1" applyFont="1">
      <alignment readingOrder="0" shrinkToFit="0" vertical="center" wrapText="1"/>
    </xf>
    <xf borderId="1" fillId="2" fontId="3" numFmtId="0" xfId="0" applyAlignment="1" applyBorder="1" applyFill="1" applyFont="1">
      <alignment readingOrder="0" shrinkToFit="0" vertical="center" wrapText="1"/>
    </xf>
    <xf borderId="0" fillId="2" fontId="2" numFmtId="0" xfId="0" applyAlignment="1" applyFill="1" applyFont="1">
      <alignment readingOrder="0" shrinkToFit="0" wrapText="1"/>
    </xf>
    <xf borderId="0" fillId="2" fontId="34" numFmtId="0" xfId="0" applyAlignment="1" applyFill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2" numFmtId="0" xfId="0" applyAlignment="1" applyFont="1">
      <alignment readingOrder="0" shrinkToFit="0" wrapText="1"/>
    </xf>
    <xf borderId="0" fillId="0" fontId="43" numFmtId="0" xfId="0" applyAlignment="1" applyFont="1">
      <alignment shrinkToFit="0" wrapText="1"/>
    </xf>
    <xf borderId="1" fillId="0" fontId="44" numFmtId="0" xfId="0" applyAlignment="1" applyBorder="1" applyFont="1">
      <alignment readingOrder="0" shrinkToFit="0" wrapText="1"/>
    </xf>
    <xf borderId="1" fillId="0" fontId="31" numFmtId="0" xfId="0" applyAlignment="1" applyBorder="1" applyFont="1">
      <alignment readingOrder="0" shrinkToFit="0" wrapText="1"/>
    </xf>
    <xf borderId="1" fillId="0" fontId="43" numFmtId="0" xfId="0" applyAlignment="1" applyBorder="1" applyFont="1">
      <alignment readingOrder="0" shrinkToFit="0" wrapText="1"/>
    </xf>
    <xf borderId="0" fillId="0" fontId="31" numFmtId="0" xfId="0" applyAlignment="1" applyFont="1">
      <alignment readingOrder="0" shrinkToFit="0" wrapText="1"/>
    </xf>
    <xf borderId="1" fillId="0" fontId="50" numFmtId="0" xfId="0" applyAlignment="1" applyBorder="1" applyFont="1">
      <alignment readingOrder="0" shrinkToFit="0" wrapText="1"/>
    </xf>
    <xf borderId="0" fillId="0" fontId="45" numFmtId="0" xfId="0" applyAlignment="1" applyFont="1">
      <alignment readingOrder="0" shrinkToFit="0" wrapText="1"/>
    </xf>
    <xf borderId="0" fillId="0" fontId="54" numFmtId="0" xfId="0" applyAlignment="1" applyFont="1">
      <alignment shrinkToFit="0" wrapText="1"/>
    </xf>
    <xf borderId="0" fillId="0" fontId="55" numFmtId="0" xfId="0" applyAlignment="1" applyFont="1">
      <alignment readingOrder="0" shrinkToFit="0" wrapText="1"/>
    </xf>
    <xf borderId="0" fillId="0" fontId="54" numFmtId="0" xfId="0" applyAlignment="1" applyFont="1">
      <alignment horizontal="center" readingOrder="0" shrinkToFit="0" vertical="center" wrapText="1"/>
    </xf>
    <xf borderId="0" fillId="5" fontId="3" numFmtId="0" xfId="0" applyAlignment="1" applyFill="1" applyFont="1">
      <alignment horizontal="right" shrinkToFit="0" vertical="bottom" wrapText="1"/>
    </xf>
    <xf borderId="0" fillId="0" fontId="54" numFmtId="0" xfId="0" applyAlignment="1" applyFont="1">
      <alignment horizontal="center" shrinkToFit="0" vertical="center" wrapText="1"/>
    </xf>
    <xf borderId="0" fillId="0" fontId="43" numFmtId="0" xfId="0" applyAlignment="1" applyFont="1">
      <alignment readingOrder="0" shrinkToFit="0" vertical="center" wrapText="1"/>
    </xf>
    <xf borderId="0" fillId="0" fontId="31" numFmtId="0" xfId="0" applyAlignment="1" applyFont="1">
      <alignment readingOrder="0" shrinkToFit="0" vertical="center" wrapText="1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shrinkToFit="0" vertical="bottom" wrapText="1"/>
    </xf>
    <xf borderId="0" fillId="5" fontId="34" numFmtId="0" xfId="0" applyAlignment="1" applyFill="1" applyFont="1">
      <alignment horizontal="right" shrinkToFit="0" vertical="bottom" wrapText="1"/>
    </xf>
    <xf borderId="0" fillId="0" fontId="55" numFmtId="0" xfId="0" applyAlignment="1" applyFont="1">
      <alignment horizontal="center" readingOrder="0" shrinkToFit="0" vertical="center" wrapText="1"/>
    </xf>
    <xf borderId="7" fillId="0" fontId="31" numFmtId="0" xfId="0" applyAlignment="1" applyBorder="1" applyFont="1">
      <alignment readingOrder="0" shrinkToFit="0" vertical="center" wrapText="1"/>
    </xf>
    <xf borderId="0" fillId="0" fontId="56" numFmtId="0" xfId="0" applyAlignment="1" applyFont="1">
      <alignment horizontal="center" readingOrder="0" shrinkToFit="0" vertical="center" wrapText="1"/>
    </xf>
    <xf borderId="1" fillId="0" fontId="31" numFmtId="0" xfId="0" applyAlignment="1" applyBorder="1" applyFont="1">
      <alignment readingOrder="0" shrinkToFit="0" vertical="center" wrapText="1"/>
    </xf>
    <xf borderId="1" fillId="0" fontId="49" numFmtId="0" xfId="0" applyAlignment="1" applyBorder="1" applyFont="1">
      <alignment readingOrder="0" shrinkToFit="0" vertical="center" wrapText="1"/>
    </xf>
    <xf borderId="2" fillId="0" fontId="31" numFmtId="0" xfId="0" applyAlignment="1" applyBorder="1" applyFont="1">
      <alignment readingOrder="0" shrinkToFit="0" wrapText="1"/>
    </xf>
    <xf borderId="0" fillId="0" fontId="4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53" numFmtId="0" xfId="0" applyAlignment="1" applyBorder="1" applyFont="1">
      <alignment readingOrder="0" shrinkToFit="0" vertical="center" wrapText="1"/>
    </xf>
    <xf borderId="0" fillId="0" fontId="44" numFmtId="0" xfId="0" applyAlignment="1" applyFont="1">
      <alignment readingOrder="0" shrinkToFit="0" wrapText="0"/>
    </xf>
    <xf borderId="0" fillId="0" fontId="31" numFmtId="0" xfId="0" applyAlignment="1" applyFont="1">
      <alignment readingOrder="0" shrinkToFit="0" wrapText="0"/>
    </xf>
    <xf borderId="0" fillId="0" fontId="43" numFmtId="0" xfId="0" applyAlignment="1" applyFont="1">
      <alignment readingOrder="0" shrinkToFit="0" wrapText="0"/>
    </xf>
    <xf borderId="7" fillId="0" fontId="57" numFmtId="0" xfId="0" applyAlignment="1" applyBorder="1" applyFont="1">
      <alignment horizontal="center" readingOrder="0" shrinkToFit="0" vertical="center" wrapText="1"/>
    </xf>
    <xf borderId="1" fillId="0" fontId="57" numFmtId="0" xfId="0" applyAlignment="1" applyBorder="1" applyFont="1">
      <alignment horizontal="center" readingOrder="0" shrinkToFit="0" vertical="center" wrapText="0"/>
    </xf>
    <xf borderId="1" fillId="0" fontId="31" numFmtId="0" xfId="0" applyAlignment="1" applyBorder="1" applyFont="1">
      <alignment horizontal="center" readingOrder="0" shrinkToFit="0" vertical="center" wrapText="1"/>
    </xf>
    <xf borderId="7" fillId="0" fontId="31" numFmtId="0" xfId="0" applyAlignment="1" applyBorder="1" applyFont="1">
      <alignment horizontal="center" readingOrder="0" shrinkToFit="0" vertical="center" wrapText="1"/>
    </xf>
    <xf borderId="7" fillId="0" fontId="58" numFmtId="0" xfId="0" applyAlignment="1" applyBorder="1" applyFont="1">
      <alignment horizontal="center" readingOrder="0" shrinkToFit="0" vertical="center" wrapText="1"/>
    </xf>
    <xf borderId="1" fillId="0" fontId="44" numFmtId="0" xfId="0" applyAlignment="1" applyBorder="1" applyFont="1">
      <alignment horizontal="center" readingOrder="0" shrinkToFit="0" vertical="center" wrapText="1"/>
    </xf>
    <xf borderId="7" fillId="0" fontId="34" numFmtId="0" xfId="0" applyAlignment="1" applyBorder="1" applyFont="1">
      <alignment horizontal="center" readingOrder="0" shrinkToFit="0" vertical="center" wrapText="1"/>
    </xf>
    <xf borderId="1" fillId="0" fontId="34" numFmtId="0" xfId="0" applyAlignment="1" applyBorder="1" applyFont="1">
      <alignment horizontal="center" readingOrder="0" shrinkToFit="0" vertical="center" wrapText="1"/>
    </xf>
    <xf borderId="10" fillId="0" fontId="34" numFmtId="0" xfId="0" applyAlignment="1" applyBorder="1" applyFont="1">
      <alignment horizontal="center" readingOrder="0" shrinkToFit="0" vertical="center" wrapText="1"/>
    </xf>
    <xf borderId="1" fillId="0" fontId="34" numFmtId="0" xfId="0" applyAlignment="1" applyBorder="1" applyFont="1">
      <alignment readingOrder="0" shrinkToFit="0" wrapText="1"/>
    </xf>
    <xf borderId="0" fillId="0" fontId="54" numFmtId="0" xfId="0" applyAlignment="1" applyFont="1">
      <alignment shrinkToFit="0" vertical="center" wrapText="1"/>
    </xf>
    <xf borderId="0" fillId="0" fontId="44" numFmtId="0" xfId="0" applyAlignment="1" applyFont="1">
      <alignment readingOrder="0" shrinkToFit="0" wrapText="1"/>
    </xf>
    <xf borderId="0" fillId="0" fontId="56" numFmtId="0" xfId="0" applyAlignment="1" applyFont="1">
      <alignment shrinkToFit="0" vertical="center" wrapText="1"/>
    </xf>
    <xf borderId="0" fillId="0" fontId="58" numFmtId="0" xfId="0" applyAlignment="1" applyFont="1">
      <alignment readingOrder="0" shrinkToFit="0" vertical="bottom" wrapText="0"/>
    </xf>
    <xf borderId="0" fillId="0" fontId="34" numFmtId="0" xfId="0" applyAlignment="1" applyFont="1">
      <alignment shrinkToFit="0" vertical="bottom" wrapText="1"/>
    </xf>
    <xf borderId="0" fillId="0" fontId="58" numFmtId="0" xfId="0" applyAlignment="1" applyFont="1">
      <alignment readingOrder="0" shrinkToFit="0" vertical="bottom" wrapText="0"/>
    </xf>
    <xf borderId="13" fillId="0" fontId="34" numFmtId="0" xfId="0" applyAlignment="1" applyBorder="1" applyFont="1">
      <alignment readingOrder="0" shrinkToFit="0" vertical="bottom" wrapText="0"/>
    </xf>
    <xf borderId="7" fillId="0" fontId="29" numFmtId="0" xfId="0" applyAlignment="1" applyBorder="1" applyFont="1">
      <alignment horizontal="center" shrinkToFit="0" vertical="center" wrapText="1"/>
    </xf>
    <xf borderId="4" fillId="0" fontId="29" numFmtId="0" xfId="0" applyAlignment="1" applyBorder="1" applyFont="1">
      <alignment horizontal="center" shrinkToFit="0" wrapText="1"/>
    </xf>
    <xf borderId="10" fillId="0" fontId="29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borderId="0" fillId="0" fontId="59" numFmtId="0" xfId="0" applyAlignment="1" applyFont="1">
      <alignment readingOrder="0" shrinkToFit="0" wrapText="1"/>
    </xf>
    <xf borderId="7" fillId="0" fontId="29" numFmtId="0" xfId="0" applyAlignment="1" applyBorder="1" applyFont="1">
      <alignment horizontal="center" shrinkToFit="0" vertical="center" wrapText="1"/>
    </xf>
    <xf borderId="1" fillId="0" fontId="29" numFmtId="0" xfId="0" applyAlignment="1" applyBorder="1" applyFont="1">
      <alignment horizontal="center" shrinkToFit="0" vertical="center" wrapText="1"/>
    </xf>
    <xf borderId="7" fillId="0" fontId="29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29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horizontal="center" readingOrder="0" shrinkToFit="0" vertical="center" wrapText="1"/>
    </xf>
    <xf borderId="0" fillId="0" fontId="37" numFmtId="0" xfId="0" applyAlignment="1" applyFont="1">
      <alignment readingOrder="0" shrinkToFit="0" wrapText="1"/>
    </xf>
    <xf borderId="7" fillId="0" fontId="29" numFmtId="0" xfId="0" applyAlignment="1" applyBorder="1" applyFont="1">
      <alignment horizontal="center" readingOrder="0" shrinkToFit="0" vertical="center" wrapText="1"/>
    </xf>
    <xf borderId="1" fillId="0" fontId="29" numFmtId="0" xfId="0" applyAlignment="1" applyBorder="1" applyFont="1">
      <alignment horizontal="center" readingOrder="0" shrinkToFit="0" vertical="center" wrapText="1"/>
    </xf>
    <xf borderId="1" fillId="0" fontId="37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7" fillId="0" fontId="60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52" numFmtId="0" xfId="0" applyAlignment="1" applyFont="1">
      <alignment readingOrder="0" shrinkToFit="0" vertical="center" wrapText="1"/>
    </xf>
    <xf borderId="0" fillId="0" fontId="4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shrinkToFit="0" vertical="bottom" wrapText="1"/>
    </xf>
    <xf borderId="1" fillId="0" fontId="37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0" fillId="0" fontId="61" numFmtId="0" xfId="0" applyAlignment="1" applyFont="1">
      <alignment horizontal="left" readingOrder="0" shrinkToFit="0" vertical="center" wrapText="1"/>
    </xf>
    <xf borderId="0" fillId="0" fontId="43" numFmtId="0" xfId="0" applyAlignment="1" applyFont="1">
      <alignment horizontal="center" readingOrder="0" shrinkToFit="0" vertical="center" wrapText="1"/>
    </xf>
    <xf borderId="0" fillId="0" fontId="6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wrapText="1"/>
    </xf>
    <xf borderId="7" fillId="0" fontId="2" numFmtId="0" xfId="0" applyAlignment="1" applyBorder="1" applyFont="1">
      <alignment horizontal="center" readingOrder="0" shrinkToFit="0" vertical="center" wrapText="1"/>
    </xf>
    <xf borderId="1" fillId="0" fontId="62" numFmtId="0" xfId="0" applyAlignment="1" applyBorder="1" applyFont="1">
      <alignment horizontal="left" readingOrder="0" shrinkToFit="0" vertical="center" wrapText="1"/>
    </xf>
    <xf borderId="0" fillId="0" fontId="63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1" fillId="0" fontId="64" numFmtId="0" xfId="0" applyAlignment="1" applyBorder="1" applyFont="1">
      <alignment horizontal="center" readingOrder="0" shrinkToFit="0" vertical="center" wrapText="1"/>
    </xf>
    <xf borderId="0" fillId="0" fontId="42" numFmtId="0" xfId="0" applyAlignment="1" applyFont="1">
      <alignment readingOrder="0" shrinkToFit="0" vertical="center" wrapText="1"/>
    </xf>
    <xf borderId="0" fillId="0" fontId="31" numFmtId="0" xfId="0" applyAlignment="1" applyFont="1">
      <alignment horizontal="center" shrinkToFit="0" vertical="center" wrapText="1"/>
    </xf>
    <xf borderId="1" fillId="0" fontId="44" numFmtId="0" xfId="0" applyAlignment="1" applyBorder="1" applyFont="1">
      <alignment readingOrder="0" shrinkToFit="0" vertical="center" wrapText="1"/>
    </xf>
    <xf borderId="1" fillId="0" fontId="31" numFmtId="0" xfId="0" applyAlignment="1" applyBorder="1" applyFont="1">
      <alignment horizontal="left" readingOrder="0" shrinkToFit="0" vertical="center" wrapText="1"/>
    </xf>
    <xf borderId="0" fillId="0" fontId="65" numFmtId="0" xfId="0" applyAlignment="1" applyFont="1">
      <alignment readingOrder="0" shrinkToFit="0" vertical="center" wrapText="1"/>
    </xf>
    <xf borderId="0" fillId="0" fontId="66" numFmtId="0" xfId="0" applyAlignment="1" applyFont="1">
      <alignment horizontal="center" readingOrder="0" shrinkToFit="0" vertical="center" wrapText="1"/>
    </xf>
    <xf borderId="0" fillId="0" fontId="31" numFmtId="0" xfId="0" applyAlignment="1" applyFont="1">
      <alignment shrinkToFit="0" vertical="center" wrapText="1"/>
    </xf>
    <xf borderId="0" fillId="0" fontId="67" numFmtId="0" xfId="0" applyAlignment="1" applyFont="1">
      <alignment readingOrder="0" shrinkToFit="0" vertical="center" wrapText="1"/>
    </xf>
    <xf borderId="0" fillId="0" fontId="68" numFmtId="0" xfId="0" applyAlignment="1" applyFont="1">
      <alignment horizontal="center" readingOrder="0" shrinkToFit="0" vertical="center" wrapText="1"/>
    </xf>
    <xf borderId="2" fillId="0" fontId="67" numFmtId="0" xfId="0" applyAlignment="1" applyBorder="1" applyFont="1">
      <alignment readingOrder="0" shrinkToFit="0" vertical="center" wrapText="1"/>
    </xf>
    <xf borderId="1" fillId="0" fontId="68" numFmtId="0" xfId="0" applyAlignment="1" applyBorder="1" applyFont="1">
      <alignment horizontal="center" readingOrder="0" shrinkToFit="0" vertical="center" wrapText="1"/>
    </xf>
    <xf borderId="2" fillId="0" fontId="69" numFmtId="0" xfId="0" applyAlignment="1" applyBorder="1" applyFont="1">
      <alignment readingOrder="0" shrinkToFit="0" vertical="center" wrapText="1"/>
    </xf>
    <xf borderId="1" fillId="0" fontId="70" numFmtId="0" xfId="0" applyAlignment="1" applyBorder="1" applyFont="1">
      <alignment horizontal="center" readingOrder="0" shrinkToFit="0" vertical="center" wrapText="1"/>
    </xf>
    <xf borderId="2" fillId="0" fontId="71" numFmtId="0" xfId="0" applyAlignment="1" applyBorder="1" applyFont="1">
      <alignment readingOrder="0" shrinkToFit="0" vertical="center" wrapText="1"/>
    </xf>
    <xf borderId="1" fillId="0" fontId="7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8">
    <dxf>
      <font>
        <color rgb="FFFF0000"/>
      </font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CCFFCC"/>
          <bgColor rgb="FFCCFFCC"/>
        </patternFill>
      </fill>
      <border/>
    </dxf>
    <dxf>
      <font>
        <color rgb="FFFF0000"/>
      </font>
      <fill>
        <patternFill patternType="solid">
          <fgColor rgb="FFFCE8B2"/>
          <bgColor rgb="FFFCE8B2"/>
        </patternFill>
      </fill>
      <border/>
    </dxf>
    <dxf>
      <font>
        <color rgb="FF008000"/>
      </font>
      <fill>
        <patternFill patternType="solid">
          <fgColor rgb="FFCCFFCC"/>
          <bgColor rgb="FFCCFFCC"/>
        </patternFill>
      </fill>
      <border/>
    </dxf>
    <dxf>
      <font>
        <color rgb="FF0B8043"/>
      </font>
      <fill>
        <patternFill patternType="none"/>
      </fill>
      <border/>
    </dxf>
    <dxf>
      <font>
        <color rgb="FF0B8043"/>
      </font>
      <fill>
        <patternFill patternType="solid">
          <fgColor rgb="FFCCFFCC"/>
          <bgColor rgb="FFCCFF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tiny.cc/calp_plan" TargetMode="External"/><Relationship Id="rId2" Type="http://schemas.openxmlformats.org/officeDocument/2006/relationships/hyperlink" Target="https://form.jotform.com/262641843024352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5.13" defaultRowHeight="15.75"/>
  <cols>
    <col customWidth="1" min="1" max="1" width="9.13"/>
    <col customWidth="1" min="2" max="2" width="5.38"/>
    <col customWidth="1" min="3" max="10" width="7.63"/>
    <col customWidth="1" min="11" max="11" width="5.5"/>
    <col customWidth="1" min="12" max="19" width="7.63"/>
    <col customWidth="1" hidden="1" min="20" max="23" width="6.13"/>
    <col customWidth="1" min="24" max="24" width="5.5"/>
    <col customWidth="1" min="25" max="32" width="7.63"/>
    <col customWidth="1" min="33" max="33" width="5.75"/>
    <col customWidth="1" min="34" max="41" width="7.63"/>
    <col customWidth="1" min="42" max="42" width="5.13"/>
    <col customWidth="1" min="43" max="50" width="7.63"/>
    <col customWidth="1" min="51" max="51" width="5.38"/>
    <col customWidth="1" min="52" max="59" width="7.63"/>
    <col customWidth="1" min="60" max="60" width="5.5"/>
    <col customWidth="1" min="61" max="68" width="7.63"/>
    <col customWidth="1" min="69" max="69" width="4.13"/>
    <col customWidth="1" hidden="1" min="70" max="70" width="4.0"/>
    <col customWidth="1" hidden="1" min="71" max="71" width="4.75"/>
    <col customWidth="1" hidden="1" min="72" max="72" width="4.63"/>
    <col customWidth="1" hidden="1" min="73" max="73" width="4.13"/>
    <col customWidth="1" hidden="1" min="74" max="74" width="6.0"/>
    <col customWidth="1" hidden="1" min="75" max="75" width="4.13"/>
    <col customWidth="1" hidden="1" min="76" max="77" width="5.38"/>
    <col customWidth="1" hidden="1" min="78" max="86" width="4.5"/>
    <col customWidth="1" hidden="1" min="87" max="87" width="4.13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4"/>
      <c r="J1" s="5"/>
      <c r="K1" s="7"/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7"/>
      <c r="Y1" s="3" t="s">
        <v>5</v>
      </c>
      <c r="Z1" s="4"/>
      <c r="AA1" s="4"/>
      <c r="AB1" s="4"/>
      <c r="AC1" s="4"/>
      <c r="AD1" s="4"/>
      <c r="AE1" s="4"/>
      <c r="AF1" s="5"/>
      <c r="AG1" s="7"/>
      <c r="AH1" s="3" t="s">
        <v>7</v>
      </c>
      <c r="AI1" s="4"/>
      <c r="AJ1" s="4"/>
      <c r="AK1" s="4"/>
      <c r="AL1" s="4"/>
      <c r="AM1" s="4"/>
      <c r="AN1" s="4"/>
      <c r="AO1" s="5"/>
      <c r="AP1" s="7"/>
      <c r="AQ1" s="3" t="s">
        <v>9</v>
      </c>
      <c r="AR1" s="4"/>
      <c r="AS1" s="4"/>
      <c r="AT1" s="4"/>
      <c r="AU1" s="4"/>
      <c r="AV1" s="4"/>
      <c r="AW1" s="4"/>
      <c r="AX1" s="5"/>
      <c r="AY1" s="7"/>
      <c r="AZ1" s="3" t="s">
        <v>12</v>
      </c>
      <c r="BA1" s="4"/>
      <c r="BB1" s="4"/>
      <c r="BC1" s="4"/>
      <c r="BD1" s="4"/>
      <c r="BE1" s="4"/>
      <c r="BF1" s="4"/>
      <c r="BG1" s="5"/>
      <c r="BH1" s="7"/>
      <c r="BI1" s="3" t="s">
        <v>15</v>
      </c>
      <c r="BJ1" s="4"/>
      <c r="BK1" s="4"/>
      <c r="BL1" s="4"/>
      <c r="BM1" s="4"/>
      <c r="BN1" s="4"/>
      <c r="BO1" s="4"/>
      <c r="BP1" s="5"/>
      <c r="BQ1" s="7"/>
      <c r="BR1" s="11" t="s">
        <v>16</v>
      </c>
      <c r="BS1" s="11" t="s">
        <v>16</v>
      </c>
      <c r="BT1" s="11" t="s">
        <v>16</v>
      </c>
      <c r="BU1" s="11" t="s">
        <v>18</v>
      </c>
      <c r="BV1" s="16"/>
      <c r="BW1" s="16"/>
      <c r="BX1" s="16"/>
      <c r="BY1" s="11"/>
      <c r="CE1" s="17"/>
      <c r="CF1" s="17"/>
      <c r="CG1" s="17"/>
      <c r="CH1" s="17"/>
      <c r="CI1" s="17"/>
    </row>
    <row r="2">
      <c r="A2" s="2"/>
      <c r="B2" s="2"/>
      <c r="C2" s="1" t="s">
        <v>26</v>
      </c>
      <c r="D2" s="1" t="s">
        <v>28</v>
      </c>
      <c r="E2" s="1" t="s">
        <v>30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37</v>
      </c>
      <c r="K2" s="20" t="s">
        <v>38</v>
      </c>
      <c r="L2" s="1" t="s">
        <v>40</v>
      </c>
      <c r="M2" s="1" t="s">
        <v>42</v>
      </c>
      <c r="N2" s="1" t="s">
        <v>43</v>
      </c>
      <c r="O2" s="1" t="s">
        <v>45</v>
      </c>
      <c r="P2" s="1" t="s">
        <v>46</v>
      </c>
      <c r="Q2" s="1" t="s">
        <v>49</v>
      </c>
      <c r="R2" s="1" t="s">
        <v>50</v>
      </c>
      <c r="S2" s="1" t="s">
        <v>51</v>
      </c>
      <c r="T2" s="1" t="s">
        <v>46</v>
      </c>
      <c r="U2" s="1" t="s">
        <v>49</v>
      </c>
      <c r="V2" s="1" t="s">
        <v>50</v>
      </c>
      <c r="W2" s="1" t="s">
        <v>51</v>
      </c>
      <c r="X2" s="20" t="s">
        <v>38</v>
      </c>
      <c r="Y2" s="1" t="s">
        <v>56</v>
      </c>
      <c r="Z2" s="1" t="s">
        <v>57</v>
      </c>
      <c r="AA2" s="1" t="s">
        <v>58</v>
      </c>
      <c r="AB2" s="1" t="s">
        <v>59</v>
      </c>
      <c r="AC2" s="1" t="s">
        <v>60</v>
      </c>
      <c r="AD2" s="1" t="s">
        <v>62</v>
      </c>
      <c r="AE2" s="1" t="s">
        <v>64</v>
      </c>
      <c r="AF2" s="1" t="s">
        <v>65</v>
      </c>
      <c r="AG2" s="20" t="s">
        <v>38</v>
      </c>
      <c r="AH2" s="1" t="s">
        <v>68</v>
      </c>
      <c r="AI2" s="1" t="s">
        <v>70</v>
      </c>
      <c r="AJ2" s="1" t="s">
        <v>72</v>
      </c>
      <c r="AK2" s="1" t="s">
        <v>74</v>
      </c>
      <c r="AL2" s="1" t="s">
        <v>75</v>
      </c>
      <c r="AM2" s="1" t="s">
        <v>77</v>
      </c>
      <c r="AN2" s="1" t="s">
        <v>79</v>
      </c>
      <c r="AO2" s="1" t="s">
        <v>81</v>
      </c>
      <c r="AP2" s="20" t="s">
        <v>38</v>
      </c>
      <c r="AQ2" s="1" t="s">
        <v>83</v>
      </c>
      <c r="AR2" s="1" t="s">
        <v>85</v>
      </c>
      <c r="AS2" s="1" t="s">
        <v>88</v>
      </c>
      <c r="AT2" s="1" t="s">
        <v>89</v>
      </c>
      <c r="AU2" s="1" t="s">
        <v>92</v>
      </c>
      <c r="AV2" s="1" t="s">
        <v>94</v>
      </c>
      <c r="AW2" s="1" t="s">
        <v>96</v>
      </c>
      <c r="AX2" s="1" t="s">
        <v>98</v>
      </c>
      <c r="AY2" s="20" t="s">
        <v>38</v>
      </c>
      <c r="AZ2" s="1" t="s">
        <v>101</v>
      </c>
      <c r="BA2" s="1" t="s">
        <v>103</v>
      </c>
      <c r="BB2" s="1" t="s">
        <v>105</v>
      </c>
      <c r="BC2" s="1" t="s">
        <v>106</v>
      </c>
      <c r="BD2" s="1" t="s">
        <v>108</v>
      </c>
      <c r="BE2" s="1" t="s">
        <v>109</v>
      </c>
      <c r="BF2" s="1" t="s">
        <v>111</v>
      </c>
      <c r="BG2" s="1" t="s">
        <v>112</v>
      </c>
      <c r="BH2" s="20" t="s">
        <v>38</v>
      </c>
      <c r="BI2" s="1" t="s">
        <v>115</v>
      </c>
      <c r="BJ2" s="1" t="s">
        <v>117</v>
      </c>
      <c r="BK2" s="1" t="s">
        <v>118</v>
      </c>
      <c r="BL2" s="1" t="s">
        <v>120</v>
      </c>
      <c r="BM2" s="1" t="s">
        <v>122</v>
      </c>
      <c r="BN2" s="1" t="s">
        <v>124</v>
      </c>
      <c r="BO2" s="1" t="s">
        <v>125</v>
      </c>
      <c r="BP2" s="1" t="s">
        <v>127</v>
      </c>
      <c r="BQ2" s="20" t="s">
        <v>38</v>
      </c>
      <c r="BR2" s="1" t="s">
        <v>129</v>
      </c>
      <c r="BS2" s="1" t="s">
        <v>130</v>
      </c>
      <c r="BT2" s="10" t="s">
        <v>132</v>
      </c>
      <c r="BU2" s="1"/>
      <c r="BV2" s="22" t="s">
        <v>133</v>
      </c>
      <c r="BW2" s="29" t="s">
        <v>139</v>
      </c>
      <c r="BX2" s="22" t="s">
        <v>149</v>
      </c>
      <c r="BY2" s="25"/>
      <c r="BZ2" s="32" t="s">
        <v>150</v>
      </c>
      <c r="CA2" s="34" t="s">
        <v>151</v>
      </c>
      <c r="CB2" s="34" t="s">
        <v>155</v>
      </c>
      <c r="CC2" s="34" t="s">
        <v>156</v>
      </c>
      <c r="CD2" s="36"/>
      <c r="CE2" s="38"/>
      <c r="CF2" s="38"/>
      <c r="CG2" s="38"/>
      <c r="CH2" s="38"/>
      <c r="CI2" s="38"/>
    </row>
    <row r="3">
      <c r="A3" s="41"/>
      <c r="B3" s="42">
        <v>42956.0</v>
      </c>
      <c r="C3" s="44" t="s">
        <v>167</v>
      </c>
      <c r="D3" s="46"/>
      <c r="E3" s="48" t="s">
        <v>177</v>
      </c>
      <c r="F3" s="46"/>
      <c r="G3" s="50"/>
      <c r="H3" s="52"/>
      <c r="I3" s="52"/>
      <c r="J3" s="50"/>
      <c r="K3" s="55"/>
      <c r="L3" s="56"/>
      <c r="M3" s="52"/>
      <c r="N3" s="52"/>
      <c r="O3" s="52"/>
      <c r="P3" s="52"/>
      <c r="Q3" s="52"/>
      <c r="R3" s="52"/>
      <c r="S3" s="52"/>
      <c r="T3" s="58"/>
      <c r="U3" s="58"/>
      <c r="V3" s="58"/>
      <c r="W3" s="59"/>
      <c r="X3" s="55"/>
      <c r="AG3" s="62"/>
      <c r="AH3" s="63"/>
      <c r="AI3" s="63"/>
      <c r="AJ3" s="63"/>
      <c r="AK3" s="63"/>
      <c r="AL3" s="64"/>
      <c r="AM3" s="64"/>
      <c r="AN3" s="64"/>
      <c r="AO3" s="66"/>
      <c r="AP3" s="62"/>
      <c r="AY3" s="55"/>
      <c r="AZ3" s="52"/>
      <c r="BA3" s="52"/>
      <c r="BB3" s="52"/>
      <c r="BC3" s="52"/>
      <c r="BD3" s="52"/>
      <c r="BE3" s="52"/>
      <c r="BF3" s="52"/>
      <c r="BG3" s="52"/>
      <c r="BH3" s="55"/>
      <c r="BI3" s="52"/>
      <c r="BJ3" s="70"/>
      <c r="BK3" s="52"/>
      <c r="BL3" s="70"/>
      <c r="BM3" s="70"/>
      <c r="BN3" s="70"/>
      <c r="BO3" s="70"/>
      <c r="BP3" s="70"/>
      <c r="BQ3" s="55"/>
      <c r="BR3" s="72"/>
      <c r="BS3" s="74"/>
      <c r="BT3" s="75"/>
      <c r="BU3" s="74"/>
      <c r="BV3" s="74"/>
      <c r="BW3" s="81">
        <f t="shared" ref="BW3:BX3" si="1">countif($G3:$BQ4,"*" &amp; BW$2 &amp; "*")/2</f>
        <v>0</v>
      </c>
      <c r="BX3" s="81">
        <f t="shared" si="1"/>
        <v>0</v>
      </c>
      <c r="BY3" s="74"/>
      <c r="BZ3" s="82"/>
      <c r="CA3" s="82"/>
      <c r="CB3" s="82"/>
      <c r="CC3" s="82"/>
      <c r="CE3" s="17"/>
      <c r="CF3" s="17"/>
      <c r="CG3" s="17"/>
      <c r="CH3" s="17"/>
      <c r="CI3" s="17"/>
    </row>
    <row r="4">
      <c r="A4" s="41" t="s">
        <v>148</v>
      </c>
      <c r="B4" s="40">
        <v>42623.0</v>
      </c>
      <c r="C4" s="85"/>
      <c r="D4" s="86"/>
      <c r="E4" s="87"/>
      <c r="F4" s="86"/>
      <c r="G4" s="50"/>
      <c r="H4" s="50"/>
      <c r="I4" s="50"/>
      <c r="J4" s="50"/>
      <c r="K4" s="55"/>
      <c r="L4" s="89" t="s">
        <v>268</v>
      </c>
      <c r="M4" s="46"/>
      <c r="N4" s="93" t="s">
        <v>272</v>
      </c>
      <c r="O4" s="46"/>
      <c r="P4" s="93" t="s">
        <v>274</v>
      </c>
      <c r="Q4" s="46"/>
      <c r="S4" s="99" t="s">
        <v>276</v>
      </c>
      <c r="T4" s="58"/>
      <c r="U4" s="58"/>
      <c r="V4" s="58"/>
      <c r="W4" s="59"/>
      <c r="X4" s="55"/>
      <c r="Y4" s="101" t="s">
        <v>288</v>
      </c>
      <c r="Z4" s="61"/>
      <c r="AA4" s="61"/>
      <c r="AB4" s="61"/>
      <c r="AC4" s="61"/>
      <c r="AD4" s="61"/>
      <c r="AE4" s="61"/>
      <c r="AF4" s="46"/>
      <c r="AG4" s="105" t="s">
        <v>130</v>
      </c>
      <c r="AH4" s="63"/>
      <c r="AI4" s="63"/>
      <c r="AJ4" s="63"/>
      <c r="AK4" s="63"/>
      <c r="AL4" s="64"/>
      <c r="AM4" s="64"/>
      <c r="AN4" s="64"/>
      <c r="AO4" s="66"/>
      <c r="AP4" s="62"/>
      <c r="AQ4" s="89" t="s">
        <v>289</v>
      </c>
      <c r="AR4" s="46"/>
      <c r="AS4" s="89" t="s">
        <v>290</v>
      </c>
      <c r="AT4" s="46"/>
      <c r="AY4" s="55"/>
      <c r="AZ4" s="52"/>
      <c r="BA4" s="52"/>
      <c r="BB4" s="89" t="s">
        <v>291</v>
      </c>
      <c r="BC4" s="46"/>
      <c r="BD4" s="52"/>
      <c r="BE4" s="52"/>
      <c r="BF4" s="52"/>
      <c r="BG4" s="52"/>
      <c r="BH4" s="55"/>
      <c r="BI4" s="114" t="s">
        <v>292</v>
      </c>
      <c r="BJ4" s="61"/>
      <c r="BK4" s="61"/>
      <c r="BL4" s="61"/>
      <c r="BM4" s="61"/>
      <c r="BN4" s="61"/>
      <c r="BO4" s="61"/>
      <c r="BP4" s="46"/>
      <c r="BQ4" s="117" t="s">
        <v>132</v>
      </c>
      <c r="BR4" s="72">
        <f t="shared" ref="BR4:BT4" si="2">countif($G4:$BQ4,BR$2)</f>
        <v>0</v>
      </c>
      <c r="BS4" s="74">
        <f t="shared" si="2"/>
        <v>1</v>
      </c>
      <c r="BT4" s="74">
        <f t="shared" si="2"/>
        <v>1</v>
      </c>
      <c r="BU4" s="81">
        <f>countif($D4:$BQ5,"*MS (s)*")/2+countif($D4:$BQ5,"*AM2 (s)*")+countif($D4:$BQ5,"*BE2 (s)*")/2+countif($D4:$BQ5,"*LS2 (s)*")</f>
        <v>0</v>
      </c>
      <c r="BV4" s="81">
        <f>countif($D4:$BQ5,"*" &amp; BV$2 &amp; "*")</f>
        <v>0</v>
      </c>
      <c r="BW4" s="112"/>
      <c r="BX4" s="112"/>
      <c r="BY4" s="81">
        <f t="shared" ref="BY4:CC4" si="3">countif($D4:$BQ5,"*" &amp; BY$2 &amp; "*")</f>
        <v>13</v>
      </c>
      <c r="BZ4" s="81">
        <f t="shared" si="3"/>
        <v>1</v>
      </c>
      <c r="CA4" s="81">
        <f t="shared" si="3"/>
        <v>1</v>
      </c>
      <c r="CB4" s="81">
        <f t="shared" si="3"/>
        <v>1</v>
      </c>
      <c r="CC4" s="81">
        <f t="shared" si="3"/>
        <v>1</v>
      </c>
      <c r="CE4" s="17"/>
      <c r="CF4" s="17"/>
      <c r="CG4" s="17"/>
      <c r="CH4" s="17"/>
      <c r="CI4" s="17"/>
    </row>
    <row r="5" ht="13.5" customHeight="1">
      <c r="A5" s="96"/>
      <c r="B5" s="97">
        <v>42654.0</v>
      </c>
      <c r="C5" s="137"/>
      <c r="D5" s="138"/>
      <c r="E5" s="138"/>
      <c r="F5" s="138"/>
      <c r="G5" s="138"/>
      <c r="H5" s="138"/>
      <c r="I5" s="138"/>
      <c r="J5" s="139"/>
      <c r="K5" s="55"/>
      <c r="L5" s="85"/>
      <c r="M5" s="86"/>
      <c r="N5" s="85"/>
      <c r="O5" s="86"/>
      <c r="P5" s="85"/>
      <c r="Q5" s="86"/>
      <c r="S5" s="112"/>
      <c r="T5" s="58"/>
      <c r="U5" s="58"/>
      <c r="V5" s="58"/>
      <c r="W5" s="59"/>
      <c r="X5" s="55"/>
      <c r="Y5" s="85"/>
      <c r="Z5" s="87"/>
      <c r="AA5" s="87"/>
      <c r="AB5" s="87"/>
      <c r="AC5" s="87"/>
      <c r="AD5" s="87"/>
      <c r="AE5" s="87"/>
      <c r="AF5" s="86"/>
      <c r="AG5" s="106"/>
      <c r="AH5" s="143"/>
      <c r="AI5" s="64"/>
      <c r="AJ5" s="64"/>
      <c r="AK5" s="64"/>
      <c r="AL5" s="44" t="s">
        <v>167</v>
      </c>
      <c r="AM5" s="46"/>
      <c r="AN5" s="48" t="s">
        <v>177</v>
      </c>
      <c r="AO5" s="46"/>
      <c r="AP5" s="62"/>
      <c r="AQ5" s="85"/>
      <c r="AR5" s="86"/>
      <c r="AS5" s="85"/>
      <c r="AT5" s="86"/>
      <c r="AY5" s="55"/>
      <c r="AZ5" s="52"/>
      <c r="BA5" s="52"/>
      <c r="BB5" s="85"/>
      <c r="BC5" s="86"/>
      <c r="BD5" s="52"/>
      <c r="BE5" s="52"/>
      <c r="BF5" s="52"/>
      <c r="BG5" s="52"/>
      <c r="BH5" s="55"/>
      <c r="BI5" s="85"/>
      <c r="BJ5" s="87"/>
      <c r="BK5" s="87"/>
      <c r="BL5" s="87"/>
      <c r="BM5" s="87"/>
      <c r="BN5" s="87"/>
      <c r="BO5" s="87"/>
      <c r="BP5" s="86"/>
      <c r="BQ5" s="106"/>
      <c r="BR5" s="72">
        <f t="shared" ref="BR5:BT5" si="4">countif($D5:$BQ5,BR$2)</f>
        <v>0</v>
      </c>
      <c r="BS5" s="74">
        <f t="shared" si="4"/>
        <v>0</v>
      </c>
      <c r="BT5" s="74">
        <f t="shared" si="4"/>
        <v>0</v>
      </c>
      <c r="BU5" s="112"/>
      <c r="BV5" s="112"/>
      <c r="BW5" s="81">
        <f t="shared" ref="BW5:BX5" si="5">countif($D5:$BQ6,"*" &amp; BW$2 &amp; "*")/2</f>
        <v>1</v>
      </c>
      <c r="BX5" s="81">
        <f t="shared" si="5"/>
        <v>1</v>
      </c>
      <c r="BY5" s="112"/>
      <c r="BZ5" s="112"/>
      <c r="CA5" s="112"/>
      <c r="CB5" s="112"/>
      <c r="CC5" s="112"/>
      <c r="CE5" s="17"/>
      <c r="CF5" s="17"/>
      <c r="CG5" s="17"/>
      <c r="CH5" s="17"/>
      <c r="CI5" s="17"/>
    </row>
    <row r="6">
      <c r="A6" s="96"/>
      <c r="B6" s="97">
        <v>42686.0</v>
      </c>
      <c r="C6" s="114" t="s">
        <v>313</v>
      </c>
      <c r="D6" s="61"/>
      <c r="E6" s="61"/>
      <c r="F6" s="61"/>
      <c r="G6" s="61"/>
      <c r="H6" s="61"/>
      <c r="I6" s="61"/>
      <c r="J6" s="46"/>
      <c r="K6" s="154" t="s">
        <v>129</v>
      </c>
      <c r="L6" s="93" t="s">
        <v>316</v>
      </c>
      <c r="M6" s="46"/>
      <c r="N6" s="89" t="s">
        <v>319</v>
      </c>
      <c r="O6" s="46"/>
      <c r="Q6" s="99" t="s">
        <v>320</v>
      </c>
      <c r="R6" s="123" t="s">
        <v>322</v>
      </c>
      <c r="S6" s="46"/>
      <c r="T6" s="58"/>
      <c r="U6" s="58"/>
      <c r="V6" s="58"/>
      <c r="W6" s="59"/>
      <c r="X6" s="55"/>
      <c r="Y6" s="101" t="s">
        <v>323</v>
      </c>
      <c r="Z6" s="61"/>
      <c r="AA6" s="61"/>
      <c r="AB6" s="61"/>
      <c r="AC6" s="61"/>
      <c r="AD6" s="61"/>
      <c r="AE6" s="61"/>
      <c r="AF6" s="46"/>
      <c r="AG6" s="105" t="s">
        <v>130</v>
      </c>
      <c r="AH6" s="143"/>
      <c r="AI6" s="64"/>
      <c r="AJ6" s="64"/>
      <c r="AK6" s="64"/>
      <c r="AL6" s="85"/>
      <c r="AM6" s="86"/>
      <c r="AN6" s="87"/>
      <c r="AO6" s="86"/>
      <c r="AP6" s="62"/>
      <c r="AQ6" s="161" t="s">
        <v>327</v>
      </c>
      <c r="AR6" s="46"/>
      <c r="AS6" s="89" t="s">
        <v>329</v>
      </c>
      <c r="AT6" s="46"/>
      <c r="AU6" s="161" t="s">
        <v>330</v>
      </c>
      <c r="AV6" s="46"/>
      <c r="AY6" s="55"/>
      <c r="AZ6" s="52"/>
      <c r="BA6" s="52"/>
      <c r="BB6" s="52"/>
      <c r="BC6" s="52"/>
      <c r="BD6" s="99" t="s">
        <v>332</v>
      </c>
      <c r="BE6" s="99" t="s">
        <v>333</v>
      </c>
      <c r="BF6" s="89" t="s">
        <v>291</v>
      </c>
      <c r="BG6" s="46"/>
      <c r="BH6" s="164"/>
      <c r="BI6" s="166" t="s">
        <v>335</v>
      </c>
      <c r="BP6" s="106"/>
      <c r="BQ6" s="117" t="s">
        <v>132</v>
      </c>
      <c r="BR6" s="72">
        <f t="shared" ref="BR6:BT6" si="6">countif($D6:$BQ6,BR$2)</f>
        <v>1</v>
      </c>
      <c r="BS6" s="74">
        <f t="shared" si="6"/>
        <v>1</v>
      </c>
      <c r="BT6" s="74">
        <f t="shared" si="6"/>
        <v>1</v>
      </c>
      <c r="BU6" s="81">
        <f>countif($D6:$BQ7,"*MS (s)*")/2+countif($D6:$BQ7,"*AM2 (s)*")+countif($D6:$BQ7,"*BE2 (s)*")/2+countif($D6:$BQ7,"*LS2 (s)*")</f>
        <v>0</v>
      </c>
      <c r="BV6" s="81">
        <f>countif($D6:$BQ7,"*" &amp; BV$2 &amp; "*")</f>
        <v>0</v>
      </c>
      <c r="BW6" s="112"/>
      <c r="BX6" s="112"/>
      <c r="BY6" s="81">
        <f t="shared" ref="BY6:CC6" si="7">countif($D6:$BQ7,"*" &amp; BY$2 &amp; "*")</f>
        <v>17</v>
      </c>
      <c r="BZ6" s="81">
        <f t="shared" si="7"/>
        <v>1</v>
      </c>
      <c r="CA6" s="81">
        <f t="shared" si="7"/>
        <v>1</v>
      </c>
      <c r="CB6" s="81">
        <f t="shared" si="7"/>
        <v>1</v>
      </c>
      <c r="CC6" s="81">
        <f t="shared" si="7"/>
        <v>1</v>
      </c>
      <c r="CE6" s="17"/>
      <c r="CF6" s="17"/>
      <c r="CG6" s="17"/>
      <c r="CH6" s="17"/>
      <c r="CI6" s="17"/>
    </row>
    <row r="7">
      <c r="A7" s="96"/>
      <c r="B7" s="97">
        <v>42717.0</v>
      </c>
      <c r="C7" s="85"/>
      <c r="D7" s="87"/>
      <c r="E7" s="87"/>
      <c r="F7" s="87"/>
      <c r="G7" s="87"/>
      <c r="H7" s="87"/>
      <c r="I7" s="87"/>
      <c r="J7" s="86"/>
      <c r="K7" s="106"/>
      <c r="L7" s="85"/>
      <c r="M7" s="86"/>
      <c r="N7" s="85"/>
      <c r="O7" s="86"/>
      <c r="Q7" s="112"/>
      <c r="R7" s="85"/>
      <c r="S7" s="86"/>
      <c r="T7" s="58"/>
      <c r="U7" s="58"/>
      <c r="V7" s="58"/>
      <c r="W7" s="59"/>
      <c r="X7" s="55"/>
      <c r="Y7" s="85"/>
      <c r="Z7" s="87"/>
      <c r="AA7" s="87"/>
      <c r="AB7" s="87"/>
      <c r="AC7" s="87"/>
      <c r="AD7" s="87"/>
      <c r="AE7" s="87"/>
      <c r="AF7" s="86"/>
      <c r="AG7" s="106"/>
      <c r="AH7" s="56"/>
      <c r="AI7" s="52"/>
      <c r="AJ7" s="52"/>
      <c r="AK7" s="52"/>
      <c r="AL7" s="52"/>
      <c r="AM7" s="52"/>
      <c r="AN7" s="52"/>
      <c r="AO7" s="52"/>
      <c r="AP7" s="62"/>
      <c r="AQ7" s="85"/>
      <c r="AR7" s="86"/>
      <c r="AS7" s="85"/>
      <c r="AT7" s="86"/>
      <c r="AU7" s="85"/>
      <c r="AV7" s="86"/>
      <c r="AY7" s="55"/>
      <c r="AZ7" s="89" t="s">
        <v>167</v>
      </c>
      <c r="BA7" s="46"/>
      <c r="BB7" s="176" t="s">
        <v>177</v>
      </c>
      <c r="BC7" s="46"/>
      <c r="BD7" s="112"/>
      <c r="BE7" s="112"/>
      <c r="BF7" s="85"/>
      <c r="BG7" s="86"/>
      <c r="BH7" s="96"/>
      <c r="BI7" s="85"/>
      <c r="BJ7" s="87"/>
      <c r="BK7" s="87"/>
      <c r="BL7" s="87"/>
      <c r="BM7" s="87"/>
      <c r="BN7" s="87"/>
      <c r="BO7" s="87"/>
      <c r="BP7" s="86"/>
      <c r="BQ7" s="106"/>
      <c r="BR7" s="72">
        <f t="shared" ref="BR7:BT7" si="8">countif($D7:$BQ7,BR$2)</f>
        <v>0</v>
      </c>
      <c r="BS7" s="74">
        <f t="shared" si="8"/>
        <v>0</v>
      </c>
      <c r="BT7" s="74">
        <f t="shared" si="8"/>
        <v>0</v>
      </c>
      <c r="BU7" s="112"/>
      <c r="BV7" s="112"/>
      <c r="BW7" s="81">
        <f t="shared" ref="BW7:BX7" si="9">countif($D7:$BQ8,"*" &amp; BW$2 &amp; "*")/2</f>
        <v>1</v>
      </c>
      <c r="BX7" s="81">
        <f t="shared" si="9"/>
        <v>1</v>
      </c>
      <c r="BY7" s="112"/>
      <c r="BZ7" s="112"/>
      <c r="CA7" s="112"/>
      <c r="CB7" s="112"/>
      <c r="CC7" s="112"/>
      <c r="CE7" s="17"/>
      <c r="CF7" s="17"/>
      <c r="CG7" s="17"/>
      <c r="CH7" s="17"/>
      <c r="CI7" s="17"/>
    </row>
    <row r="8">
      <c r="A8" s="96"/>
      <c r="B8" s="184" t="s">
        <v>310</v>
      </c>
      <c r="C8" s="114" t="s">
        <v>361</v>
      </c>
      <c r="D8" s="61"/>
      <c r="E8" s="61"/>
      <c r="F8" s="61"/>
      <c r="G8" s="61"/>
      <c r="H8" s="61"/>
      <c r="I8" s="61"/>
      <c r="J8" s="46"/>
      <c r="K8" s="154" t="s">
        <v>129</v>
      </c>
      <c r="L8" s="89" t="s">
        <v>363</v>
      </c>
      <c r="M8" s="46"/>
      <c r="N8" s="50"/>
      <c r="O8" s="50"/>
      <c r="P8" s="50"/>
      <c r="Q8" s="50"/>
      <c r="R8" s="161" t="s">
        <v>327</v>
      </c>
      <c r="S8" s="46"/>
      <c r="T8" s="58"/>
      <c r="U8" s="58"/>
      <c r="V8" s="58"/>
      <c r="W8" s="59"/>
      <c r="X8" s="55"/>
      <c r="Y8" s="166" t="s">
        <v>365</v>
      </c>
      <c r="AF8" s="106"/>
      <c r="AG8" s="105" t="s">
        <v>130</v>
      </c>
      <c r="AH8" s="114" t="s">
        <v>367</v>
      </c>
      <c r="AI8" s="61"/>
      <c r="AJ8" s="61"/>
      <c r="AK8" s="61"/>
      <c r="AL8" s="61"/>
      <c r="AM8" s="61"/>
      <c r="AN8" s="61"/>
      <c r="AO8" s="46"/>
      <c r="AP8" s="191" t="s">
        <v>141</v>
      </c>
      <c r="AS8" s="161" t="s">
        <v>368</v>
      </c>
      <c r="AT8" s="46"/>
      <c r="AY8" s="55"/>
      <c r="AZ8" s="85"/>
      <c r="BA8" s="86"/>
      <c r="BB8" s="87"/>
      <c r="BC8" s="86"/>
      <c r="BD8" s="161" t="s">
        <v>327</v>
      </c>
      <c r="BE8" s="46"/>
      <c r="BF8" s="99" t="s">
        <v>332</v>
      </c>
      <c r="BG8" s="99" t="s">
        <v>333</v>
      </c>
      <c r="BH8" s="192"/>
      <c r="BI8" s="166" t="s">
        <v>371</v>
      </c>
      <c r="BP8" s="106"/>
      <c r="BQ8" s="117" t="s">
        <v>132</v>
      </c>
      <c r="BR8" s="72">
        <f t="shared" ref="BR8:BT8" si="10">countif($K8:$BQ8,BR$2)</f>
        <v>1</v>
      </c>
      <c r="BS8" s="74">
        <f t="shared" si="10"/>
        <v>1</v>
      </c>
      <c r="BT8" s="74">
        <f t="shared" si="10"/>
        <v>1</v>
      </c>
      <c r="BU8" s="81">
        <f>countif($K8:$BQ9,"*MS (s)*")/2+countif($K8:$BQ9,"*AM2 (s)*")+countif($K8:$BQ9,"*BE2 (s)*")/2+countif($K8:$BQ9,"*LS2 (s)*")</f>
        <v>0</v>
      </c>
      <c r="BV8" s="81">
        <f>countif($K8:$BQ9,"*" &amp; BV$2 &amp; "*")</f>
        <v>0</v>
      </c>
      <c r="BW8" s="112"/>
      <c r="BX8" s="112"/>
      <c r="BY8" s="81">
        <f t="shared" ref="BY8:CC8" si="11">countif($K8:$BQ9,"*" &amp; BY$2 &amp; "*")</f>
        <v>15</v>
      </c>
      <c r="BZ8" s="81">
        <f t="shared" si="11"/>
        <v>1</v>
      </c>
      <c r="CA8" s="81">
        <f t="shared" si="11"/>
        <v>0</v>
      </c>
      <c r="CB8" s="81">
        <f t="shared" si="11"/>
        <v>0</v>
      </c>
      <c r="CC8" s="81">
        <f t="shared" si="11"/>
        <v>0</v>
      </c>
      <c r="CE8" s="17"/>
      <c r="CF8" s="17"/>
      <c r="CG8" s="17"/>
      <c r="CH8" s="17"/>
      <c r="CI8" s="17"/>
    </row>
    <row r="9">
      <c r="A9" s="96"/>
      <c r="B9" s="184" t="s">
        <v>341</v>
      </c>
      <c r="C9" s="85"/>
      <c r="D9" s="87"/>
      <c r="E9" s="87"/>
      <c r="F9" s="87"/>
      <c r="G9" s="87"/>
      <c r="H9" s="87"/>
      <c r="I9" s="87"/>
      <c r="J9" s="86"/>
      <c r="K9" s="106"/>
      <c r="L9" s="85"/>
      <c r="M9" s="86"/>
      <c r="N9" s="54"/>
      <c r="O9" s="54"/>
      <c r="P9" s="50"/>
      <c r="Q9" s="50"/>
      <c r="R9" s="85"/>
      <c r="S9" s="86"/>
      <c r="T9" s="58"/>
      <c r="U9" s="58"/>
      <c r="V9" s="58"/>
      <c r="W9" s="59"/>
      <c r="X9" s="55"/>
      <c r="Y9" s="85"/>
      <c r="Z9" s="87"/>
      <c r="AA9" s="87"/>
      <c r="AB9" s="87"/>
      <c r="AC9" s="87"/>
      <c r="AD9" s="87"/>
      <c r="AE9" s="87"/>
      <c r="AF9" s="86"/>
      <c r="AG9" s="106"/>
      <c r="AH9" s="85"/>
      <c r="AI9" s="87"/>
      <c r="AJ9" s="87"/>
      <c r="AK9" s="87"/>
      <c r="AL9" s="87"/>
      <c r="AM9" s="87"/>
      <c r="AN9" s="87"/>
      <c r="AO9" s="86"/>
      <c r="AP9" s="106"/>
      <c r="AS9" s="85"/>
      <c r="AT9" s="86"/>
      <c r="AU9" s="89" t="s">
        <v>167</v>
      </c>
      <c r="AV9" s="46"/>
      <c r="AW9" s="176" t="s">
        <v>177</v>
      </c>
      <c r="AX9" s="46"/>
      <c r="AY9" s="55"/>
      <c r="BD9" s="85"/>
      <c r="BE9" s="86"/>
      <c r="BF9" s="112"/>
      <c r="BG9" s="112"/>
      <c r="BH9" s="106"/>
      <c r="BI9" s="85"/>
      <c r="BJ9" s="87"/>
      <c r="BK9" s="87"/>
      <c r="BL9" s="87"/>
      <c r="BM9" s="87"/>
      <c r="BN9" s="87"/>
      <c r="BO9" s="87"/>
      <c r="BP9" s="86"/>
      <c r="BQ9" s="106"/>
      <c r="BR9" s="72">
        <f t="shared" ref="BR9:BT9" si="12">countif($K9:$BQ9,BR$2)</f>
        <v>0</v>
      </c>
      <c r="BS9" s="74">
        <f t="shared" si="12"/>
        <v>0</v>
      </c>
      <c r="BT9" s="74">
        <f t="shared" si="12"/>
        <v>0</v>
      </c>
      <c r="BU9" s="112"/>
      <c r="BV9" s="112"/>
      <c r="BW9" s="81">
        <f t="shared" ref="BW9:BX9" si="13">countif($D9:$BQ10,"*" &amp; BW$2 &amp; "*")/2</f>
        <v>1</v>
      </c>
      <c r="BX9" s="81">
        <f t="shared" si="13"/>
        <v>1</v>
      </c>
      <c r="BY9" s="112"/>
      <c r="BZ9" s="112"/>
      <c r="CA9" s="112"/>
      <c r="CB9" s="112"/>
      <c r="CC9" s="112"/>
      <c r="CE9" s="17"/>
      <c r="CF9" s="17"/>
      <c r="CG9" s="17"/>
      <c r="CH9" s="17"/>
      <c r="CI9" s="17"/>
    </row>
    <row r="10">
      <c r="A10" s="96"/>
      <c r="B10" s="184" t="s">
        <v>342</v>
      </c>
      <c r="E10" s="50"/>
      <c r="F10" s="50"/>
      <c r="G10" s="50"/>
      <c r="H10" s="50"/>
      <c r="K10" s="55"/>
      <c r="L10" s="54"/>
      <c r="M10" s="54"/>
      <c r="N10" s="54"/>
      <c r="O10" s="54"/>
      <c r="P10" s="50"/>
      <c r="Q10" s="50"/>
      <c r="R10" s="50"/>
      <c r="S10" s="214"/>
      <c r="T10" s="58"/>
      <c r="U10" s="58"/>
      <c r="V10" s="58"/>
      <c r="W10" s="59"/>
      <c r="X10" s="55"/>
      <c r="Y10" s="52"/>
      <c r="Z10" s="52"/>
      <c r="AE10" s="89" t="s">
        <v>363</v>
      </c>
      <c r="AF10" s="46"/>
      <c r="AG10" s="55"/>
      <c r="AH10" s="101" t="s">
        <v>395</v>
      </c>
      <c r="AI10" s="61"/>
      <c r="AJ10" s="61"/>
      <c r="AK10" s="61"/>
      <c r="AL10" s="61"/>
      <c r="AM10" s="61"/>
      <c r="AN10" s="61"/>
      <c r="AO10" s="46"/>
      <c r="AP10" s="105" t="s">
        <v>129</v>
      </c>
      <c r="AT10" s="99" t="s">
        <v>396</v>
      </c>
      <c r="AU10" s="85"/>
      <c r="AV10" s="86"/>
      <c r="AW10" s="87"/>
      <c r="AX10" s="86"/>
      <c r="AY10" s="55"/>
      <c r="AZ10" s="114" t="s">
        <v>399</v>
      </c>
      <c r="BA10" s="61"/>
      <c r="BB10" s="61"/>
      <c r="BC10" s="61"/>
      <c r="BD10" s="61"/>
      <c r="BE10" s="61"/>
      <c r="BF10" s="61"/>
      <c r="BG10" s="46"/>
      <c r="BH10" s="191" t="s">
        <v>132</v>
      </c>
      <c r="BK10" s="161" t="s">
        <v>327</v>
      </c>
      <c r="BL10" s="46"/>
      <c r="BM10" s="52"/>
      <c r="BN10" s="52"/>
      <c r="BO10" s="52"/>
      <c r="BP10" s="52"/>
      <c r="BQ10" s="55"/>
      <c r="BR10" s="72">
        <f t="shared" ref="BR10:BT10" si="14">countif($E10:$BQ10,BR$2)</f>
        <v>1</v>
      </c>
      <c r="BS10" s="74">
        <f t="shared" si="14"/>
        <v>0</v>
      </c>
      <c r="BT10" s="74">
        <f t="shared" si="14"/>
        <v>1</v>
      </c>
      <c r="BU10" s="81">
        <f>countif($E10:$BQ11,"*MS (s)*")/2+countif($E10:$BQ11,"*AM2 (s)*")+countif($E10:$BQ11,"*BE2 (s)*")/2+countif($E10:$BQ11,"*LS2 (s)*")</f>
        <v>0</v>
      </c>
      <c r="BV10" s="81">
        <f>countif($E10:$BQ11,"*" &amp; BV$2 &amp; "*")</f>
        <v>0</v>
      </c>
      <c r="BW10" s="112"/>
      <c r="BX10" s="112"/>
      <c r="BY10" s="81">
        <f t="shared" ref="BY10:CC10" si="15">countif($E10:$BQ11,"*" &amp; BY$2 &amp; "*")</f>
        <v>9</v>
      </c>
      <c r="BZ10" s="81">
        <f t="shared" si="15"/>
        <v>1</v>
      </c>
      <c r="CA10" s="81">
        <f t="shared" si="15"/>
        <v>0</v>
      </c>
      <c r="CB10" s="81">
        <f t="shared" si="15"/>
        <v>0</v>
      </c>
      <c r="CC10" s="81">
        <f t="shared" si="15"/>
        <v>0</v>
      </c>
      <c r="CE10" s="17"/>
      <c r="CF10" s="17"/>
      <c r="CG10" s="17"/>
      <c r="CH10" s="17"/>
      <c r="CI10" s="17"/>
    </row>
    <row r="11">
      <c r="A11" s="96"/>
      <c r="B11" s="184" t="s">
        <v>369</v>
      </c>
      <c r="E11" s="50"/>
      <c r="F11" s="50"/>
      <c r="G11" s="44" t="s">
        <v>167</v>
      </c>
      <c r="H11" s="46"/>
      <c r="I11" s="48" t="s">
        <v>177</v>
      </c>
      <c r="J11" s="46"/>
      <c r="K11" s="55"/>
      <c r="L11" s="244"/>
      <c r="M11" s="50"/>
      <c r="N11" s="50"/>
      <c r="O11" s="50"/>
      <c r="P11" s="54"/>
      <c r="Q11" s="54"/>
      <c r="R11" s="54"/>
      <c r="S11" s="54"/>
      <c r="T11" s="58"/>
      <c r="U11" s="58"/>
      <c r="V11" s="58"/>
      <c r="W11" s="59"/>
      <c r="X11" s="55"/>
      <c r="Y11" s="52"/>
      <c r="Z11" s="52"/>
      <c r="AE11" s="85"/>
      <c r="AF11" s="86"/>
      <c r="AG11" s="55"/>
      <c r="AH11" s="85"/>
      <c r="AI11" s="87"/>
      <c r="AJ11" s="87"/>
      <c r="AK11" s="87"/>
      <c r="AL11" s="87"/>
      <c r="AM11" s="87"/>
      <c r="AN11" s="87"/>
      <c r="AO11" s="86"/>
      <c r="AP11" s="106"/>
      <c r="AT11" s="112"/>
      <c r="AY11" s="55"/>
      <c r="AZ11" s="85"/>
      <c r="BA11" s="87"/>
      <c r="BB11" s="87"/>
      <c r="BC11" s="87"/>
      <c r="BD11" s="87"/>
      <c r="BE11" s="87"/>
      <c r="BF11" s="87"/>
      <c r="BG11" s="86"/>
      <c r="BH11" s="106"/>
      <c r="BK11" s="85"/>
      <c r="BL11" s="86"/>
      <c r="BM11" s="52"/>
      <c r="BN11" s="52"/>
      <c r="BO11" s="52"/>
      <c r="BP11" s="52"/>
      <c r="BQ11" s="55"/>
      <c r="BR11" s="72">
        <f t="shared" ref="BR11:BT11" si="16">countif($E11:$BQ11,BR$2)</f>
        <v>0</v>
      </c>
      <c r="BS11" s="74">
        <f t="shared" si="16"/>
        <v>0</v>
      </c>
      <c r="BT11" s="74">
        <f t="shared" si="16"/>
        <v>0</v>
      </c>
      <c r="BU11" s="112"/>
      <c r="BV11" s="112"/>
      <c r="BW11" s="81">
        <f t="shared" ref="BW11:BX11" si="17">countif($D11:$BQ12,"*" &amp; BW$2 &amp; "*")/2</f>
        <v>1</v>
      </c>
      <c r="BX11" s="81">
        <f t="shared" si="17"/>
        <v>1</v>
      </c>
      <c r="BY11" s="112"/>
      <c r="BZ11" s="112"/>
      <c r="CA11" s="112"/>
      <c r="CB11" s="112"/>
      <c r="CC11" s="112"/>
      <c r="CE11" s="17"/>
      <c r="CF11" s="17"/>
      <c r="CG11" s="17"/>
      <c r="CH11" s="17"/>
      <c r="CI11" s="17"/>
    </row>
    <row r="12">
      <c r="A12" s="96"/>
      <c r="B12" s="184" t="s">
        <v>375</v>
      </c>
      <c r="C12" s="244"/>
      <c r="D12" s="50"/>
      <c r="E12" s="50"/>
      <c r="F12" s="50"/>
      <c r="G12" s="85"/>
      <c r="H12" s="86"/>
      <c r="I12" s="87"/>
      <c r="J12" s="86"/>
      <c r="K12" s="55"/>
      <c r="L12" s="244"/>
      <c r="M12" s="50"/>
      <c r="N12" s="50"/>
      <c r="O12" s="50"/>
      <c r="P12" s="54"/>
      <c r="Q12" s="54"/>
      <c r="R12" s="54"/>
      <c r="S12" s="54"/>
      <c r="T12" s="58"/>
      <c r="U12" s="58"/>
      <c r="V12" s="58"/>
      <c r="W12" s="59"/>
      <c r="X12" s="55"/>
      <c r="Y12" s="52"/>
      <c r="Z12" s="52"/>
      <c r="AA12" s="52"/>
      <c r="AB12" s="52"/>
      <c r="AC12" s="52"/>
      <c r="AD12" s="52"/>
      <c r="AE12" s="52"/>
      <c r="AF12" s="264"/>
      <c r="AG12" s="55"/>
      <c r="AH12" s="166" t="s">
        <v>431</v>
      </c>
      <c r="AO12" s="106"/>
      <c r="AP12" s="105" t="s">
        <v>129</v>
      </c>
      <c r="AW12" s="89" t="s">
        <v>363</v>
      </c>
      <c r="AX12" s="46"/>
      <c r="AY12" s="55"/>
      <c r="AZ12" s="114" t="s">
        <v>435</v>
      </c>
      <c r="BA12" s="61"/>
      <c r="BB12" s="61"/>
      <c r="BC12" s="61"/>
      <c r="BD12" s="61"/>
      <c r="BE12" s="61"/>
      <c r="BF12" s="61"/>
      <c r="BG12" s="46"/>
      <c r="BH12" s="191" t="s">
        <v>132</v>
      </c>
      <c r="BI12" s="56"/>
      <c r="BJ12" s="52"/>
      <c r="BK12" s="52"/>
      <c r="BL12" s="52"/>
      <c r="BM12" s="52"/>
      <c r="BN12" s="52"/>
      <c r="BO12" s="52"/>
      <c r="BP12" s="52"/>
      <c r="BQ12" s="55"/>
      <c r="BR12" s="72">
        <f t="shared" ref="BR12:BT12" si="18">countif($D12:$BQ12,BR$2)</f>
        <v>1</v>
      </c>
      <c r="BS12" s="74">
        <f t="shared" si="18"/>
        <v>0</v>
      </c>
      <c r="BT12" s="74">
        <f t="shared" si="18"/>
        <v>1</v>
      </c>
      <c r="BU12" s="81">
        <f>countif($D12:$BQ13,"*MS (s)*")/2+countif($D12:$BQ13,"*AM2 (s)*")+countif($D12:$BQ13,"*BE2 (s)*")/2+countif($D12:$BQ13,"*LS2 (s)*")</f>
        <v>0</v>
      </c>
      <c r="BV12" s="81">
        <f>countif($D12:$BQ13,"*" &amp; BV$2 &amp; "*")</f>
        <v>0</v>
      </c>
      <c r="BW12" s="112"/>
      <c r="BX12" s="112"/>
      <c r="BY12" s="81">
        <f t="shared" ref="BY12:CC12" si="19">countif($D12:$BQ13,"*" &amp; BY$2 &amp; "*")</f>
        <v>5</v>
      </c>
      <c r="BZ12" s="81">
        <f t="shared" si="19"/>
        <v>1</v>
      </c>
      <c r="CA12" s="81">
        <f t="shared" si="19"/>
        <v>0</v>
      </c>
      <c r="CB12" s="81">
        <f t="shared" si="19"/>
        <v>0</v>
      </c>
      <c r="CC12" s="81">
        <f t="shared" si="19"/>
        <v>0</v>
      </c>
      <c r="CE12" s="17"/>
      <c r="CF12" s="17"/>
      <c r="CG12" s="17"/>
      <c r="CH12" s="17"/>
      <c r="CI12" s="17"/>
    </row>
    <row r="13">
      <c r="A13" s="96"/>
      <c r="B13" s="184" t="s">
        <v>392</v>
      </c>
      <c r="G13" s="138"/>
      <c r="H13" s="138"/>
      <c r="I13" s="138"/>
      <c r="J13" s="138"/>
      <c r="K13" s="55"/>
      <c r="L13" s="137"/>
      <c r="M13" s="138"/>
      <c r="N13" s="138"/>
      <c r="O13" s="138"/>
      <c r="P13" s="138"/>
      <c r="Q13" s="138"/>
      <c r="R13" s="138"/>
      <c r="S13" s="139"/>
      <c r="T13" s="58"/>
      <c r="U13" s="58"/>
      <c r="V13" s="58"/>
      <c r="W13" s="59"/>
      <c r="X13" s="55"/>
      <c r="Y13" s="56"/>
      <c r="Z13" s="52"/>
      <c r="AA13" s="52"/>
      <c r="AB13" s="52"/>
      <c r="AC13" s="52"/>
      <c r="AD13" s="52"/>
      <c r="AE13" s="52"/>
      <c r="AF13" s="264"/>
      <c r="AG13" s="55"/>
      <c r="AH13" s="85"/>
      <c r="AI13" s="87"/>
      <c r="AJ13" s="87"/>
      <c r="AK13" s="87"/>
      <c r="AL13" s="87"/>
      <c r="AM13" s="87"/>
      <c r="AN13" s="87"/>
      <c r="AO13" s="86"/>
      <c r="AP13" s="106"/>
      <c r="AW13" s="85"/>
      <c r="AX13" s="86"/>
      <c r="AY13" s="55"/>
      <c r="AZ13" s="85"/>
      <c r="BA13" s="87"/>
      <c r="BB13" s="87"/>
      <c r="BC13" s="87"/>
      <c r="BD13" s="87"/>
      <c r="BE13" s="87"/>
      <c r="BF13" s="87"/>
      <c r="BG13" s="86"/>
      <c r="BH13" s="106"/>
      <c r="BI13" s="56"/>
      <c r="BJ13" s="52"/>
      <c r="BK13" s="52"/>
      <c r="BL13" s="52"/>
      <c r="BM13" s="52"/>
      <c r="BN13" s="52"/>
      <c r="BO13" s="52"/>
      <c r="BP13" s="52"/>
      <c r="BQ13" s="55"/>
      <c r="BR13" s="72">
        <f t="shared" ref="BR13:BT13" si="20">countif($G13:$BQ13,BR$2)</f>
        <v>0</v>
      </c>
      <c r="BS13" s="74">
        <f t="shared" si="20"/>
        <v>0</v>
      </c>
      <c r="BT13" s="74">
        <f t="shared" si="20"/>
        <v>0</v>
      </c>
      <c r="BU13" s="112"/>
      <c r="BV13" s="112"/>
      <c r="BW13" s="81">
        <f t="shared" ref="BW13:BX13" si="21">countif($G13:$BQ14,"*" &amp; BW$2 &amp; "*")/2</f>
        <v>0</v>
      </c>
      <c r="BX13" s="81">
        <f t="shared" si="21"/>
        <v>0</v>
      </c>
      <c r="BY13" s="112"/>
      <c r="BZ13" s="112"/>
      <c r="CA13" s="112"/>
      <c r="CB13" s="112"/>
      <c r="CC13" s="112"/>
      <c r="CE13" s="17"/>
      <c r="CF13" s="17"/>
      <c r="CG13" s="17"/>
      <c r="CH13" s="17"/>
      <c r="CI13" s="17"/>
    </row>
    <row r="14">
      <c r="A14" s="96"/>
      <c r="B14" s="151" t="s">
        <v>398</v>
      </c>
      <c r="C14" s="277"/>
      <c r="D14" s="277"/>
      <c r="E14" s="277"/>
      <c r="F14" s="277"/>
      <c r="G14" s="277"/>
      <c r="H14" s="277"/>
      <c r="I14" s="277"/>
      <c r="J14" s="277"/>
      <c r="K14" s="278"/>
      <c r="L14" s="277"/>
      <c r="M14" s="277"/>
      <c r="N14" s="277"/>
      <c r="O14" s="277"/>
      <c r="P14" s="277"/>
      <c r="Q14" s="277"/>
      <c r="R14" s="277"/>
      <c r="S14" s="277"/>
      <c r="T14" s="277"/>
      <c r="U14" s="277"/>
      <c r="V14" s="277"/>
      <c r="W14" s="277"/>
      <c r="X14" s="278"/>
      <c r="Y14" s="277"/>
      <c r="Z14" s="277"/>
      <c r="AA14" s="277"/>
      <c r="AB14" s="277"/>
      <c r="AC14" s="277"/>
      <c r="AD14" s="277"/>
      <c r="AE14" s="277"/>
      <c r="AF14" s="277"/>
      <c r="AG14" s="278"/>
      <c r="AH14" s="277"/>
      <c r="AI14" s="277"/>
      <c r="AJ14" s="277"/>
      <c r="AK14" s="277"/>
      <c r="AL14" s="277"/>
      <c r="AM14" s="277"/>
      <c r="AN14" s="277"/>
      <c r="AO14" s="277"/>
      <c r="AP14" s="278"/>
      <c r="AQ14" s="277"/>
      <c r="AR14" s="277"/>
      <c r="AS14" s="277"/>
      <c r="AT14" s="277"/>
      <c r="AU14" s="277"/>
      <c r="AV14" s="277"/>
      <c r="AW14" s="277"/>
      <c r="AX14" s="277"/>
      <c r="AY14" s="278"/>
      <c r="AZ14" s="280"/>
      <c r="BA14" s="280"/>
      <c r="BB14" s="280"/>
      <c r="BC14" s="280"/>
      <c r="BD14" s="280"/>
      <c r="BE14" s="280"/>
      <c r="BF14" s="280"/>
      <c r="BG14" s="280"/>
      <c r="BH14" s="278"/>
      <c r="BI14" s="277"/>
      <c r="BJ14" s="277"/>
      <c r="BK14" s="277"/>
      <c r="BL14" s="277"/>
      <c r="BM14" s="277"/>
      <c r="BN14" s="277"/>
      <c r="BO14" s="277"/>
      <c r="BP14" s="277"/>
      <c r="BQ14" s="62"/>
      <c r="BR14" s="72">
        <f t="shared" ref="BR14:BT14" si="22">countif($G14:$BQ14,BR$2)</f>
        <v>0</v>
      </c>
      <c r="BS14" s="74">
        <f t="shared" si="22"/>
        <v>0</v>
      </c>
      <c r="BT14" s="74">
        <f t="shared" si="22"/>
        <v>0</v>
      </c>
      <c r="BU14" s="81">
        <f>countif($D14:$BQ15,"*MS (s)*")/2+countif($D14:$BQ15,"*AM2 (s)*")+countif($D14:$BQ15,"*BE2 (s)*")/2+countif($D14:$BQ15,"*LS2 (s)*")</f>
        <v>0</v>
      </c>
      <c r="BV14" s="81">
        <f>countif($D14:$BQ15,"*" &amp; BV$2 &amp; "*")</f>
        <v>0</v>
      </c>
      <c r="BW14" s="112"/>
      <c r="BX14" s="112"/>
      <c r="BY14" s="81">
        <f t="shared" ref="BY14:CC14" si="23">countif($D14:$BQ15,"*" &amp; BY$2 &amp; "*")</f>
        <v>0</v>
      </c>
      <c r="BZ14" s="81">
        <f t="shared" si="23"/>
        <v>0</v>
      </c>
      <c r="CA14" s="81">
        <f t="shared" si="23"/>
        <v>0</v>
      </c>
      <c r="CB14" s="81">
        <f t="shared" si="23"/>
        <v>0</v>
      </c>
      <c r="CC14" s="81">
        <f t="shared" si="23"/>
        <v>0</v>
      </c>
      <c r="CE14" s="17"/>
      <c r="CF14" s="17"/>
      <c r="CG14" s="17"/>
      <c r="CH14" s="17"/>
      <c r="CI14" s="17"/>
    </row>
    <row r="15">
      <c r="A15" s="96"/>
      <c r="B15" s="151" t="s">
        <v>408</v>
      </c>
      <c r="C15" s="277"/>
      <c r="D15" s="289"/>
      <c r="E15" s="277"/>
      <c r="F15" s="290"/>
      <c r="G15" s="277"/>
      <c r="H15" s="289"/>
      <c r="I15" s="277"/>
      <c r="J15" s="291"/>
      <c r="K15" s="292"/>
      <c r="L15" s="277"/>
      <c r="M15" s="289"/>
      <c r="N15" s="277"/>
      <c r="O15" s="290"/>
      <c r="P15" s="277"/>
      <c r="Q15" s="289"/>
      <c r="R15" s="277"/>
      <c r="S15" s="290"/>
      <c r="T15" s="277"/>
      <c r="U15" s="277"/>
      <c r="V15" s="277"/>
      <c r="W15" s="277"/>
      <c r="X15" s="292"/>
      <c r="Y15" s="277"/>
      <c r="Z15" s="289"/>
      <c r="AA15" s="289"/>
      <c r="AB15" s="277"/>
      <c r="AC15" s="277"/>
      <c r="AD15" s="290"/>
      <c r="AE15" s="290"/>
      <c r="AF15" s="290"/>
      <c r="AG15" s="292"/>
      <c r="AH15" s="277"/>
      <c r="AI15" s="277"/>
      <c r="AJ15" s="277"/>
      <c r="AK15" s="277"/>
      <c r="AL15" s="277"/>
      <c r="AM15" s="290"/>
      <c r="AN15" s="290"/>
      <c r="AO15" s="290"/>
      <c r="AP15" s="292"/>
      <c r="AQ15" s="293"/>
      <c r="AR15" s="293"/>
      <c r="AS15" s="293"/>
      <c r="AT15" s="293"/>
      <c r="AU15" s="293"/>
      <c r="AV15" s="293"/>
      <c r="AW15" s="293"/>
      <c r="AX15" s="294"/>
      <c r="AY15" s="292"/>
      <c r="AZ15" s="295"/>
      <c r="BA15" s="296"/>
      <c r="BB15" s="295"/>
      <c r="BC15" s="296"/>
      <c r="BD15" s="295"/>
      <c r="BE15" s="295"/>
      <c r="BF15" s="295"/>
      <c r="BG15" s="295"/>
      <c r="BH15" s="292"/>
      <c r="BI15" s="277"/>
      <c r="BJ15" s="277"/>
      <c r="BK15" s="277"/>
      <c r="BL15" s="277"/>
      <c r="BM15" s="277"/>
      <c r="BN15" s="277"/>
      <c r="BO15" s="277"/>
      <c r="BP15" s="293"/>
      <c r="BQ15" s="298"/>
      <c r="BR15" s="72">
        <f t="shared" ref="BR15:BT15" si="24">countif($D15:$BQ15,BR$2)</f>
        <v>0</v>
      </c>
      <c r="BS15" s="74">
        <f t="shared" si="24"/>
        <v>0</v>
      </c>
      <c r="BT15" s="74">
        <f t="shared" si="24"/>
        <v>0</v>
      </c>
      <c r="BU15" s="112"/>
      <c r="BV15" s="112"/>
      <c r="BW15" s="301"/>
      <c r="BX15" s="302"/>
      <c r="BY15" s="112"/>
      <c r="BZ15" s="112"/>
      <c r="CA15" s="112"/>
      <c r="CB15" s="112"/>
      <c r="CC15" s="112"/>
      <c r="CE15" s="17"/>
      <c r="CF15" s="17"/>
      <c r="CG15" s="17"/>
      <c r="CH15" s="17"/>
      <c r="CI15" s="17"/>
    </row>
    <row r="16" ht="1.5" customHeight="1">
      <c r="A16" s="6"/>
      <c r="B16" s="304"/>
      <c r="C16" s="247"/>
      <c r="D16" s="247"/>
      <c r="E16" s="248"/>
      <c r="F16" s="248"/>
      <c r="G16" s="248"/>
      <c r="H16" s="248"/>
      <c r="I16" s="248"/>
      <c r="J16" s="249"/>
      <c r="K16" s="305"/>
      <c r="L16" s="247"/>
      <c r="M16" s="248"/>
      <c r="N16" s="248"/>
      <c r="O16" s="248"/>
      <c r="P16" s="248"/>
      <c r="Q16" s="248"/>
      <c r="R16" s="248"/>
      <c r="S16" s="254"/>
      <c r="T16" s="248"/>
      <c r="U16" s="248"/>
      <c r="V16" s="248"/>
      <c r="W16" s="248"/>
      <c r="X16" s="305"/>
      <c r="Y16" s="247"/>
      <c r="Z16" s="248"/>
      <c r="AA16" s="248"/>
      <c r="AB16" s="248"/>
      <c r="AC16" s="248"/>
      <c r="AD16" s="248"/>
      <c r="AE16" s="248"/>
      <c r="AF16" s="248"/>
      <c r="AG16" s="305"/>
      <c r="AH16" s="247"/>
      <c r="AI16" s="248"/>
      <c r="AJ16" s="248"/>
      <c r="AK16" s="248"/>
      <c r="AL16" s="248"/>
      <c r="AM16" s="248"/>
      <c r="AN16" s="248"/>
      <c r="AO16" s="248"/>
      <c r="AP16" s="305"/>
      <c r="AQ16" s="247"/>
      <c r="AR16" s="248"/>
      <c r="AS16" s="248"/>
      <c r="AT16" s="248"/>
      <c r="AU16" s="248"/>
      <c r="AV16" s="248"/>
      <c r="AW16" s="248"/>
      <c r="AX16" s="248"/>
      <c r="AY16" s="305"/>
      <c r="AZ16" s="247"/>
      <c r="BA16" s="248"/>
      <c r="BB16" s="248"/>
      <c r="BC16" s="248"/>
      <c r="BD16" s="307"/>
      <c r="BE16" s="307"/>
      <c r="BF16" s="307"/>
      <c r="BG16" s="307"/>
      <c r="BH16" s="305"/>
      <c r="BI16" s="247"/>
      <c r="BJ16" s="248"/>
      <c r="BK16" s="248"/>
      <c r="BL16" s="248"/>
      <c r="BM16" s="248"/>
      <c r="BN16" s="248"/>
      <c r="BO16" s="249"/>
      <c r="BP16" s="249"/>
      <c r="BQ16" s="305"/>
      <c r="BR16" s="254"/>
      <c r="BS16" s="255"/>
      <c r="BT16" s="255"/>
      <c r="BU16" s="255"/>
      <c r="BV16" s="310"/>
      <c r="BW16" s="310"/>
      <c r="BX16" s="310"/>
      <c r="BY16" s="255"/>
      <c r="BZ16" s="82"/>
      <c r="CA16" s="82"/>
      <c r="CB16" s="82"/>
      <c r="CC16" s="82"/>
      <c r="CE16" s="17"/>
      <c r="CF16" s="17"/>
      <c r="CG16" s="17"/>
      <c r="CH16" s="17"/>
      <c r="CI16" s="17"/>
    </row>
    <row r="17">
      <c r="A17" s="30" t="s">
        <v>421</v>
      </c>
      <c r="B17" s="42">
        <v>42956.0</v>
      </c>
      <c r="C17" s="54"/>
      <c r="D17" s="54"/>
      <c r="E17" s="54"/>
      <c r="F17" s="54"/>
      <c r="G17" s="54"/>
      <c r="H17" s="54"/>
      <c r="I17" s="54"/>
      <c r="J17" s="54"/>
      <c r="K17" s="55"/>
      <c r="T17" s="58"/>
      <c r="U17" s="58"/>
      <c r="V17" s="58"/>
      <c r="W17" s="58"/>
      <c r="X17" s="55"/>
      <c r="AG17" s="62"/>
      <c r="AH17" s="56"/>
      <c r="AI17" s="52"/>
      <c r="AJ17" s="52"/>
      <c r="AK17" s="52"/>
      <c r="AL17" s="52"/>
      <c r="AM17" s="52"/>
      <c r="AN17" s="52"/>
      <c r="AO17" s="52"/>
      <c r="AP17" s="62"/>
      <c r="AQ17" s="56"/>
      <c r="AR17" s="52"/>
      <c r="AS17" s="52"/>
      <c r="AT17" s="52"/>
      <c r="AU17" s="52"/>
      <c r="AV17" s="52"/>
      <c r="AW17" s="52"/>
      <c r="AX17" s="52"/>
      <c r="AY17" s="55"/>
      <c r="AZ17" s="52"/>
      <c r="BA17" s="70"/>
      <c r="BB17" s="52"/>
      <c r="BC17" s="70"/>
      <c r="BD17" s="52"/>
      <c r="BE17" s="52"/>
      <c r="BF17" s="52"/>
      <c r="BG17" s="52"/>
      <c r="BH17" s="55"/>
      <c r="BI17" s="56"/>
      <c r="BJ17" s="52"/>
      <c r="BK17" s="52"/>
      <c r="BL17" s="52"/>
      <c r="BM17" s="52"/>
      <c r="BN17" s="52"/>
      <c r="BO17" s="52"/>
      <c r="BP17" s="52"/>
      <c r="BQ17" s="55"/>
      <c r="BR17" s="72"/>
      <c r="BS17" s="74"/>
      <c r="BT17" s="74"/>
      <c r="BU17" s="74"/>
      <c r="BV17" s="74"/>
      <c r="BW17" s="317"/>
      <c r="BX17" s="318"/>
      <c r="BY17" s="74"/>
      <c r="BZ17" s="74"/>
      <c r="CA17" s="74"/>
      <c r="CB17" s="74"/>
      <c r="CC17" s="74"/>
      <c r="CE17" s="17"/>
      <c r="CF17" s="17"/>
      <c r="CG17" s="17"/>
      <c r="CH17" s="17"/>
      <c r="CI17" s="17"/>
    </row>
    <row r="18">
      <c r="A18" s="96"/>
      <c r="B18" s="40">
        <v>42623.0</v>
      </c>
      <c r="C18" s="203" t="s">
        <v>490</v>
      </c>
      <c r="D18" s="46"/>
      <c r="E18" s="89" t="s">
        <v>363</v>
      </c>
      <c r="F18" s="46"/>
      <c r="G18" s="123" t="s">
        <v>492</v>
      </c>
      <c r="H18" s="46"/>
      <c r="I18" s="203" t="s">
        <v>494</v>
      </c>
      <c r="J18" s="46"/>
      <c r="K18" s="55"/>
      <c r="L18" s="114" t="s">
        <v>495</v>
      </c>
      <c r="M18" s="61"/>
      <c r="N18" s="61"/>
      <c r="O18" s="61"/>
      <c r="P18" s="61"/>
      <c r="Q18" s="61"/>
      <c r="R18" s="61"/>
      <c r="S18" s="46"/>
      <c r="T18" s="322"/>
      <c r="U18" s="322"/>
      <c r="V18" s="322"/>
      <c r="W18" s="324"/>
      <c r="X18" s="154" t="s">
        <v>132</v>
      </c>
      <c r="AG18" s="62"/>
      <c r="AH18" s="56"/>
      <c r="AI18" s="52"/>
      <c r="AJ18" s="52"/>
      <c r="AK18" s="52"/>
      <c r="AL18" s="52"/>
      <c r="AM18" s="52"/>
      <c r="AN18" s="52"/>
      <c r="AO18" s="52"/>
      <c r="AP18" s="62"/>
      <c r="AQ18" s="114" t="s">
        <v>499</v>
      </c>
      <c r="AR18" s="61"/>
      <c r="AS18" s="61"/>
      <c r="AT18" s="61"/>
      <c r="AU18" s="61"/>
      <c r="AV18" s="61"/>
      <c r="AW18" s="61"/>
      <c r="AX18" s="46"/>
      <c r="AY18" s="105" t="s">
        <v>130</v>
      </c>
      <c r="AZ18" s="114" t="s">
        <v>501</v>
      </c>
      <c r="BA18" s="61"/>
      <c r="BB18" s="61"/>
      <c r="BC18" s="61"/>
      <c r="BD18" s="61"/>
      <c r="BE18" s="61"/>
      <c r="BF18" s="61"/>
      <c r="BG18" s="46"/>
      <c r="BH18" s="191" t="s">
        <v>129</v>
      </c>
      <c r="BI18" s="56"/>
      <c r="BJ18" s="52"/>
      <c r="BK18" s="52"/>
      <c r="BL18" s="52"/>
      <c r="BM18" s="52"/>
      <c r="BN18" s="52"/>
      <c r="BO18" s="52"/>
      <c r="BP18" s="52"/>
      <c r="BQ18" s="55"/>
      <c r="BR18" s="72">
        <f t="shared" ref="BR18:BT18" si="25">countif($D18:$BQ18,BR$2)</f>
        <v>1</v>
      </c>
      <c r="BS18" s="74">
        <f t="shared" si="25"/>
        <v>1</v>
      </c>
      <c r="BT18" s="74">
        <f t="shared" si="25"/>
        <v>1</v>
      </c>
      <c r="BU18" s="81">
        <f>countif($D18:$BQ19,"*MS (s)*")/2+countif($D18:$BQ19,"*AM2 (s)*")+countif($D18:$BQ19,"*BE2 (s)*")/2+countif($D18:$BQ19,"*LS2 (s)*")</f>
        <v>0</v>
      </c>
      <c r="BV18" s="81">
        <f>countif($D18:$BQ19,"*" &amp; BV$2 &amp; "*")</f>
        <v>0</v>
      </c>
      <c r="BW18" s="317"/>
      <c r="BX18" s="318"/>
      <c r="BY18" s="81">
        <f t="shared" ref="BY18:CC18" si="26">countif($D18:$BQ19,"*" &amp; BY$2 &amp; "*")</f>
        <v>9</v>
      </c>
      <c r="BZ18" s="81">
        <f t="shared" si="26"/>
        <v>1</v>
      </c>
      <c r="CA18" s="81">
        <f t="shared" si="26"/>
        <v>1</v>
      </c>
      <c r="CB18" s="81">
        <f t="shared" si="26"/>
        <v>0</v>
      </c>
      <c r="CC18" s="81">
        <f t="shared" si="26"/>
        <v>0</v>
      </c>
      <c r="CE18" s="17"/>
      <c r="CF18" s="17"/>
      <c r="CG18" s="17"/>
      <c r="CH18" s="17"/>
      <c r="CI18" s="17"/>
    </row>
    <row r="19">
      <c r="A19" s="96"/>
      <c r="B19" s="97">
        <v>42654.0</v>
      </c>
      <c r="C19" s="85"/>
      <c r="D19" s="86"/>
      <c r="E19" s="85"/>
      <c r="F19" s="86"/>
      <c r="G19" s="85"/>
      <c r="H19" s="86"/>
      <c r="I19" s="85"/>
      <c r="J19" s="86"/>
      <c r="K19" s="55"/>
      <c r="L19" s="85"/>
      <c r="M19" s="87"/>
      <c r="N19" s="87"/>
      <c r="O19" s="87"/>
      <c r="P19" s="87"/>
      <c r="Q19" s="87"/>
      <c r="R19" s="87"/>
      <c r="S19" s="86"/>
      <c r="T19" s="332"/>
      <c r="U19" s="332"/>
      <c r="V19" s="332"/>
      <c r="W19" s="333"/>
      <c r="X19" s="106"/>
      <c r="AG19" s="62"/>
      <c r="AH19" s="56"/>
      <c r="AI19" s="52"/>
      <c r="AJ19" s="52"/>
      <c r="AK19" s="52"/>
      <c r="AL19" s="52"/>
      <c r="AM19" s="52"/>
      <c r="AN19" s="52"/>
      <c r="AO19" s="52"/>
      <c r="AP19" s="62"/>
      <c r="AQ19" s="85"/>
      <c r="AR19" s="87"/>
      <c r="AS19" s="87"/>
      <c r="AT19" s="87"/>
      <c r="AU19" s="87"/>
      <c r="AV19" s="87"/>
      <c r="AW19" s="87"/>
      <c r="AX19" s="86"/>
      <c r="AY19" s="106"/>
      <c r="AZ19" s="85"/>
      <c r="BA19" s="87"/>
      <c r="BB19" s="87"/>
      <c r="BC19" s="87"/>
      <c r="BD19" s="87"/>
      <c r="BE19" s="87"/>
      <c r="BF19" s="87"/>
      <c r="BG19" s="86"/>
      <c r="BH19" s="106"/>
      <c r="BI19" s="56"/>
      <c r="BJ19" s="52"/>
      <c r="BK19" s="52"/>
      <c r="BL19" s="52"/>
      <c r="BM19" s="52"/>
      <c r="BN19" s="52"/>
      <c r="BO19" s="52"/>
      <c r="BP19" s="52"/>
      <c r="BQ19" s="55"/>
      <c r="BR19" s="72">
        <f t="shared" ref="BR19:BT19" si="27">countif($D19:$BQ19,BR$2)</f>
        <v>0</v>
      </c>
      <c r="BS19" s="74">
        <f t="shared" si="27"/>
        <v>0</v>
      </c>
      <c r="BT19" s="74">
        <f t="shared" si="27"/>
        <v>0</v>
      </c>
      <c r="BU19" s="112"/>
      <c r="BV19" s="112"/>
      <c r="BW19" s="81">
        <f t="shared" ref="BW19:BX19" si="28">countif($D19:$BQ20,"*" &amp; BW$2 &amp; "*")/2</f>
        <v>0</v>
      </c>
      <c r="BX19" s="81">
        <f t="shared" si="28"/>
        <v>0</v>
      </c>
      <c r="BY19" s="112"/>
      <c r="BZ19" s="112"/>
      <c r="CA19" s="112"/>
      <c r="CB19" s="112"/>
      <c r="CC19" s="112"/>
      <c r="CE19" s="17"/>
      <c r="CF19" s="17"/>
      <c r="CG19" s="17"/>
      <c r="CH19" s="17"/>
      <c r="CI19" s="17"/>
    </row>
    <row r="20">
      <c r="A20" s="96"/>
      <c r="B20" s="97">
        <v>42686.0</v>
      </c>
      <c r="C20" s="123" t="s">
        <v>522</v>
      </c>
      <c r="D20" s="46"/>
      <c r="E20" s="123" t="s">
        <v>524</v>
      </c>
      <c r="F20" s="46"/>
      <c r="G20" s="123" t="s">
        <v>525</v>
      </c>
      <c r="H20" s="46"/>
      <c r="I20" s="123" t="s">
        <v>492</v>
      </c>
      <c r="J20" s="46"/>
      <c r="K20" s="55"/>
      <c r="L20" s="337" t="s">
        <v>528</v>
      </c>
      <c r="S20" s="106"/>
      <c r="T20" s="332"/>
      <c r="U20" s="332"/>
      <c r="V20" s="332"/>
      <c r="W20" s="333"/>
      <c r="X20" s="154" t="s">
        <v>132</v>
      </c>
      <c r="AA20" s="340" t="s">
        <v>332</v>
      </c>
      <c r="AB20" s="340" t="s">
        <v>333</v>
      </c>
      <c r="AG20" s="62"/>
      <c r="AH20" s="123" t="s">
        <v>533</v>
      </c>
      <c r="AI20" s="46"/>
      <c r="AL20" s="89" t="s">
        <v>534</v>
      </c>
      <c r="AM20" s="46"/>
      <c r="AN20" s="52"/>
      <c r="AO20" s="52"/>
      <c r="AP20" s="62"/>
      <c r="AQ20" s="337" t="s">
        <v>535</v>
      </c>
      <c r="AX20" s="106"/>
      <c r="AY20" s="105" t="s">
        <v>130</v>
      </c>
      <c r="AZ20" s="166" t="s">
        <v>537</v>
      </c>
      <c r="BG20" s="106"/>
      <c r="BH20" s="191" t="s">
        <v>129</v>
      </c>
      <c r="BI20" s="56"/>
      <c r="BJ20" s="52"/>
      <c r="BK20" s="52"/>
      <c r="BL20" s="52"/>
      <c r="BM20" s="52"/>
      <c r="BN20" s="52"/>
      <c r="BO20" s="52"/>
      <c r="BP20" s="52"/>
      <c r="BQ20" s="55"/>
      <c r="BR20" s="72">
        <f t="shared" ref="BR20:BT20" si="29">countif($E20:$BQ20,BR$2)</f>
        <v>1</v>
      </c>
      <c r="BS20" s="74">
        <f t="shared" si="29"/>
        <v>1</v>
      </c>
      <c r="BT20" s="74">
        <f t="shared" si="29"/>
        <v>1</v>
      </c>
      <c r="BU20" s="81">
        <f>countif($E20:$BQ21,"*MS (s)*")/2+countif($E20:$BQ21,"*AM2 (s)*")+countif($E20:$BQ21,"*BE2 (s)*")/2+countif($E20:$BQ21,"*LS2 (s)*")</f>
        <v>0</v>
      </c>
      <c r="BV20" s="81">
        <f>countif($E20:$BQ21,"*" &amp; BV$2 &amp; "*")</f>
        <v>0</v>
      </c>
      <c r="BW20" s="112"/>
      <c r="BX20" s="112"/>
      <c r="BY20" s="81">
        <f t="shared" ref="BY20:CC20" si="30">countif($E20:$BQ21,"*" &amp; BY$2 &amp; "*")</f>
        <v>13</v>
      </c>
      <c r="BZ20" s="81">
        <f t="shared" si="30"/>
        <v>1</v>
      </c>
      <c r="CA20" s="81">
        <f t="shared" si="30"/>
        <v>0</v>
      </c>
      <c r="CB20" s="81">
        <f t="shared" si="30"/>
        <v>1</v>
      </c>
      <c r="CC20" s="81">
        <f t="shared" si="30"/>
        <v>1</v>
      </c>
      <c r="CE20" s="17"/>
      <c r="CF20" s="17"/>
      <c r="CG20" s="17"/>
      <c r="CH20" s="17"/>
      <c r="CI20" s="17"/>
    </row>
    <row r="21">
      <c r="A21" s="96"/>
      <c r="B21" s="97">
        <v>42717.0</v>
      </c>
      <c r="C21" s="85"/>
      <c r="D21" s="86"/>
      <c r="E21" s="85"/>
      <c r="F21" s="86"/>
      <c r="G21" s="85"/>
      <c r="H21" s="86"/>
      <c r="I21" s="85"/>
      <c r="J21" s="86"/>
      <c r="K21" s="55"/>
      <c r="L21" s="85"/>
      <c r="M21" s="87"/>
      <c r="N21" s="87"/>
      <c r="O21" s="87"/>
      <c r="P21" s="87"/>
      <c r="Q21" s="87"/>
      <c r="R21" s="87"/>
      <c r="S21" s="86"/>
      <c r="T21" s="332"/>
      <c r="U21" s="332"/>
      <c r="V21" s="332"/>
      <c r="W21" s="333"/>
      <c r="X21" s="106"/>
      <c r="AA21" s="112"/>
      <c r="AB21" s="112"/>
      <c r="AG21" s="62"/>
      <c r="AH21" s="85"/>
      <c r="AI21" s="86"/>
      <c r="AL21" s="85"/>
      <c r="AM21" s="86"/>
      <c r="AN21" s="52"/>
      <c r="AO21" s="52"/>
      <c r="AP21" s="62"/>
      <c r="AQ21" s="85"/>
      <c r="AR21" s="87"/>
      <c r="AS21" s="87"/>
      <c r="AT21" s="87"/>
      <c r="AU21" s="87"/>
      <c r="AV21" s="87"/>
      <c r="AW21" s="87"/>
      <c r="AX21" s="86"/>
      <c r="AY21" s="106"/>
      <c r="AZ21" s="85"/>
      <c r="BA21" s="87"/>
      <c r="BB21" s="87"/>
      <c r="BC21" s="87"/>
      <c r="BD21" s="87"/>
      <c r="BE21" s="87"/>
      <c r="BF21" s="87"/>
      <c r="BG21" s="86"/>
      <c r="BH21" s="106"/>
      <c r="BI21" s="56"/>
      <c r="BJ21" s="52"/>
      <c r="BK21" s="52"/>
      <c r="BL21" s="52"/>
      <c r="BM21" s="52"/>
      <c r="BN21" s="52"/>
      <c r="BO21" s="52"/>
      <c r="BP21" s="52"/>
      <c r="BQ21" s="55"/>
      <c r="BR21" s="72">
        <f t="shared" ref="BR21:BT21" si="31">countif($E21:$BQ21,BR$2)</f>
        <v>0</v>
      </c>
      <c r="BS21" s="74">
        <f t="shared" si="31"/>
        <v>0</v>
      </c>
      <c r="BT21" s="74">
        <f t="shared" si="31"/>
        <v>0</v>
      </c>
      <c r="BU21" s="112"/>
      <c r="BV21" s="112"/>
      <c r="BW21" s="81">
        <f t="shared" ref="BW21:BX21" si="32">countif($D21:$BQ22,"*" &amp; BW$2 &amp; "*")/2</f>
        <v>0</v>
      </c>
      <c r="BX21" s="81">
        <f t="shared" si="32"/>
        <v>0</v>
      </c>
      <c r="BY21" s="112"/>
      <c r="BZ21" s="112"/>
      <c r="CA21" s="112"/>
      <c r="CB21" s="112"/>
      <c r="CC21" s="112"/>
      <c r="CE21" s="17"/>
      <c r="CF21" s="17"/>
      <c r="CG21" s="17"/>
      <c r="CH21" s="17"/>
      <c r="CI21" s="17"/>
    </row>
    <row r="22">
      <c r="A22" s="96"/>
      <c r="B22" s="151" t="s">
        <v>310</v>
      </c>
      <c r="C22" s="123" t="s">
        <v>544</v>
      </c>
      <c r="D22" s="46"/>
      <c r="E22" s="161" t="s">
        <v>327</v>
      </c>
      <c r="F22" s="46"/>
      <c r="G22" s="161" t="s">
        <v>330</v>
      </c>
      <c r="H22" s="46"/>
      <c r="I22" s="54"/>
      <c r="J22" s="54"/>
      <c r="K22" s="55"/>
      <c r="L22" s="166" t="s">
        <v>545</v>
      </c>
      <c r="S22" s="106"/>
      <c r="T22" s="332"/>
      <c r="U22" s="332"/>
      <c r="V22" s="332"/>
      <c r="W22" s="333"/>
      <c r="X22" s="154" t="s">
        <v>132</v>
      </c>
      <c r="Y22" s="123" t="s">
        <v>546</v>
      </c>
      <c r="Z22" s="46"/>
      <c r="AA22" s="309" t="s">
        <v>547</v>
      </c>
      <c r="AB22" s="46"/>
      <c r="AG22" s="55"/>
      <c r="AH22" s="203" t="s">
        <v>548</v>
      </c>
      <c r="AI22" s="46"/>
      <c r="AJ22" s="123" t="s">
        <v>492</v>
      </c>
      <c r="AK22" s="46"/>
      <c r="AL22" s="161" t="s">
        <v>368</v>
      </c>
      <c r="AM22" s="46"/>
      <c r="AN22" s="161" t="s">
        <v>368</v>
      </c>
      <c r="AO22" s="46"/>
      <c r="AP22" s="55"/>
      <c r="AQ22" s="337" t="s">
        <v>549</v>
      </c>
      <c r="AX22" s="106"/>
      <c r="AY22" s="105" t="s">
        <v>130</v>
      </c>
      <c r="AZ22" s="166" t="s">
        <v>551</v>
      </c>
      <c r="BG22" s="106"/>
      <c r="BH22" s="191" t="s">
        <v>129</v>
      </c>
      <c r="BK22" s="52"/>
      <c r="BL22" s="52"/>
      <c r="BM22" s="52"/>
      <c r="BN22" s="52"/>
      <c r="BO22" s="123" t="s">
        <v>553</v>
      </c>
      <c r="BP22" s="46"/>
      <c r="BQ22" s="55"/>
      <c r="BR22" s="72">
        <f t="shared" ref="BR22:BT22" si="33">countif($G22:$BQ22,BR$2)</f>
        <v>1</v>
      </c>
      <c r="BS22" s="74">
        <f t="shared" si="33"/>
        <v>1</v>
      </c>
      <c r="BT22" s="74">
        <f t="shared" si="33"/>
        <v>1</v>
      </c>
      <c r="BU22" s="81">
        <f>countif($G22:$BQ23,"*MS (s)*")/2+countif($G22:$BQ23,"*AM2 (s)*")+countif($G22:$BQ23,"*BE2 (s)*")/2+countif($G22:$BQ23,"*LS2 (s)*")</f>
        <v>0</v>
      </c>
      <c r="BV22" s="81">
        <f>countif($G22:$BQ23,"*" &amp; BV$2 &amp; "*")</f>
        <v>0</v>
      </c>
      <c r="BW22" s="112"/>
      <c r="BX22" s="112"/>
      <c r="BY22" s="81">
        <f t="shared" ref="BY22:CC22" si="34">countif($G22:$BQ23,"*" &amp; BY$2 &amp; "*")</f>
        <v>14</v>
      </c>
      <c r="BZ22" s="81">
        <f t="shared" si="34"/>
        <v>2</v>
      </c>
      <c r="CA22" s="81">
        <f t="shared" si="34"/>
        <v>0</v>
      </c>
      <c r="CB22" s="81">
        <f t="shared" si="34"/>
        <v>2</v>
      </c>
      <c r="CC22" s="81">
        <f t="shared" si="34"/>
        <v>1</v>
      </c>
      <c r="CE22" s="17"/>
      <c r="CF22" s="17"/>
      <c r="CG22" s="17"/>
      <c r="CH22" s="17"/>
      <c r="CI22" s="17"/>
    </row>
    <row r="23">
      <c r="A23" s="96"/>
      <c r="B23" s="151" t="s">
        <v>341</v>
      </c>
      <c r="C23" s="85"/>
      <c r="D23" s="86"/>
      <c r="E23" s="85"/>
      <c r="F23" s="86"/>
      <c r="G23" s="85"/>
      <c r="H23" s="86"/>
      <c r="I23" s="54"/>
      <c r="J23" s="54"/>
      <c r="K23" s="55"/>
      <c r="L23" s="85"/>
      <c r="M23" s="87"/>
      <c r="N23" s="87"/>
      <c r="O23" s="87"/>
      <c r="P23" s="87"/>
      <c r="Q23" s="87"/>
      <c r="R23" s="87"/>
      <c r="S23" s="86"/>
      <c r="T23" s="332"/>
      <c r="U23" s="332"/>
      <c r="V23" s="332"/>
      <c r="W23" s="333"/>
      <c r="X23" s="106"/>
      <c r="Y23" s="85"/>
      <c r="Z23" s="86"/>
      <c r="AA23" s="85"/>
      <c r="AB23" s="86"/>
      <c r="AG23" s="55"/>
      <c r="AH23" s="85"/>
      <c r="AI23" s="86"/>
      <c r="AJ23" s="85"/>
      <c r="AK23" s="86"/>
      <c r="AL23" s="85"/>
      <c r="AM23" s="86"/>
      <c r="AN23" s="85"/>
      <c r="AO23" s="86"/>
      <c r="AP23" s="55"/>
      <c r="AQ23" s="85"/>
      <c r="AR23" s="87"/>
      <c r="AS23" s="87"/>
      <c r="AT23" s="87"/>
      <c r="AU23" s="87"/>
      <c r="AV23" s="87"/>
      <c r="AW23" s="87"/>
      <c r="AX23" s="86"/>
      <c r="AY23" s="106"/>
      <c r="AZ23" s="85"/>
      <c r="BA23" s="87"/>
      <c r="BB23" s="87"/>
      <c r="BC23" s="87"/>
      <c r="BD23" s="87"/>
      <c r="BE23" s="87"/>
      <c r="BF23" s="87"/>
      <c r="BG23" s="86"/>
      <c r="BH23" s="106"/>
      <c r="BK23" s="52"/>
      <c r="BL23" s="52"/>
      <c r="BM23" s="52"/>
      <c r="BN23" s="52"/>
      <c r="BO23" s="85"/>
      <c r="BP23" s="86"/>
      <c r="BQ23" s="55"/>
      <c r="BR23" s="72">
        <f t="shared" ref="BR23:BT23" si="35">countif($G23:$BQ23,BR$2)</f>
        <v>0</v>
      </c>
      <c r="BS23" s="74">
        <f t="shared" si="35"/>
        <v>0</v>
      </c>
      <c r="BT23" s="74">
        <f t="shared" si="35"/>
        <v>0</v>
      </c>
      <c r="BU23" s="112"/>
      <c r="BV23" s="112"/>
      <c r="BW23" s="81">
        <f t="shared" ref="BW23:BX23" si="36">countif($D23:$BQ24,"*" &amp; BW$2 &amp; "*")/2</f>
        <v>0</v>
      </c>
      <c r="BX23" s="81">
        <f t="shared" si="36"/>
        <v>0</v>
      </c>
      <c r="BY23" s="112"/>
      <c r="BZ23" s="112"/>
      <c r="CA23" s="112"/>
      <c r="CB23" s="112"/>
      <c r="CC23" s="112"/>
      <c r="CE23" s="17"/>
      <c r="CF23" s="17"/>
      <c r="CG23" s="17"/>
      <c r="CH23" s="17"/>
      <c r="CI23" s="17"/>
    </row>
    <row r="24">
      <c r="A24" s="96"/>
      <c r="B24" s="151" t="s">
        <v>342</v>
      </c>
      <c r="C24" s="54"/>
      <c r="D24" s="54"/>
      <c r="E24" s="54"/>
      <c r="F24" s="54"/>
      <c r="G24" s="54"/>
      <c r="H24" s="54"/>
      <c r="I24" s="54"/>
      <c r="J24" s="54"/>
      <c r="K24" s="55"/>
      <c r="M24" s="388"/>
      <c r="N24" s="388"/>
      <c r="O24" s="388"/>
      <c r="P24" s="388"/>
      <c r="Q24" s="388"/>
      <c r="R24" s="388"/>
      <c r="S24" s="389"/>
      <c r="T24" s="58"/>
      <c r="U24" s="58"/>
      <c r="V24" s="58"/>
      <c r="W24" s="59"/>
      <c r="X24" s="55"/>
      <c r="Y24" s="114" t="s">
        <v>595</v>
      </c>
      <c r="Z24" s="61"/>
      <c r="AA24" s="61"/>
      <c r="AB24" s="61"/>
      <c r="AC24" s="61"/>
      <c r="AD24" s="61"/>
      <c r="AE24" s="61"/>
      <c r="AF24" s="46"/>
      <c r="AG24" s="154" t="s">
        <v>129</v>
      </c>
      <c r="AH24" s="123" t="s">
        <v>596</v>
      </c>
      <c r="AI24" s="46"/>
      <c r="AJ24" s="123" t="s">
        <v>598</v>
      </c>
      <c r="AK24" s="46"/>
      <c r="AL24" s="123" t="s">
        <v>492</v>
      </c>
      <c r="AM24" s="46"/>
      <c r="AN24" s="89" t="s">
        <v>330</v>
      </c>
      <c r="AO24" s="46"/>
      <c r="AP24" s="55"/>
      <c r="AQ24" s="393"/>
      <c r="AR24" s="395"/>
      <c r="AU24" s="395"/>
      <c r="AV24" s="395"/>
      <c r="AW24" s="395"/>
      <c r="AX24" s="395"/>
      <c r="AY24" s="55"/>
      <c r="AZ24" s="99" t="s">
        <v>332</v>
      </c>
      <c r="BA24" s="99" t="s">
        <v>333</v>
      </c>
      <c r="BB24" s="52"/>
      <c r="BC24" s="52"/>
      <c r="BD24" s="52"/>
      <c r="BE24" s="52"/>
      <c r="BF24" s="52"/>
      <c r="BG24" s="52"/>
      <c r="BH24" s="55"/>
      <c r="BI24" s="114" t="s">
        <v>606</v>
      </c>
      <c r="BJ24" s="61"/>
      <c r="BK24" s="61"/>
      <c r="BL24" s="61"/>
      <c r="BM24" s="61"/>
      <c r="BN24" s="61"/>
      <c r="BO24" s="61"/>
      <c r="BP24" s="46"/>
      <c r="BQ24" s="117" t="s">
        <v>132</v>
      </c>
      <c r="BR24" s="72">
        <f t="shared" ref="BR24:BT24" si="37">countif($E24:$BQ24,BR$2)</f>
        <v>1</v>
      </c>
      <c r="BS24" s="74">
        <f t="shared" si="37"/>
        <v>0</v>
      </c>
      <c r="BT24" s="74">
        <f t="shared" si="37"/>
        <v>1</v>
      </c>
      <c r="BU24" s="81">
        <f>countif($E24:$BQ25,"*MS (s)*")/2+countif($E24:$BQ25,"*AM2 (s)*")+countif($E24:$BQ25,"*BE2 (s)*")/2+countif($E24:$BQ25,"*LS2 (s)*")</f>
        <v>0</v>
      </c>
      <c r="BV24" s="81">
        <f>countif($E24:$BQ25,"*" &amp; BV$2 &amp; "*")</f>
        <v>0</v>
      </c>
      <c r="BW24" s="112"/>
      <c r="BX24" s="112"/>
      <c r="BY24" s="81">
        <f t="shared" ref="BY24:CC24" si="38">countif($E24:$BQ25,"*" &amp; BY$2 &amp; "*")</f>
        <v>10</v>
      </c>
      <c r="BZ24" s="81">
        <f t="shared" si="38"/>
        <v>0</v>
      </c>
      <c r="CA24" s="81">
        <f t="shared" si="38"/>
        <v>1</v>
      </c>
      <c r="CB24" s="81">
        <f t="shared" si="38"/>
        <v>1</v>
      </c>
      <c r="CC24" s="81">
        <f t="shared" si="38"/>
        <v>1</v>
      </c>
      <c r="CE24" s="17"/>
      <c r="CF24" s="17"/>
      <c r="CG24" s="17"/>
      <c r="CH24" s="17"/>
      <c r="CI24" s="17"/>
    </row>
    <row r="25">
      <c r="A25" s="96"/>
      <c r="B25" s="151" t="s">
        <v>369</v>
      </c>
      <c r="C25" s="54"/>
      <c r="D25" s="54"/>
      <c r="E25" s="54"/>
      <c r="F25" s="54"/>
      <c r="G25" s="54"/>
      <c r="H25" s="54"/>
      <c r="I25" s="54"/>
      <c r="J25" s="54"/>
      <c r="K25" s="55"/>
      <c r="M25" s="402"/>
      <c r="N25" s="402"/>
      <c r="O25" s="402"/>
      <c r="P25" s="402"/>
      <c r="Q25" s="402"/>
      <c r="R25" s="402"/>
      <c r="S25" s="240"/>
      <c r="T25" s="58"/>
      <c r="U25" s="58"/>
      <c r="V25" s="58"/>
      <c r="W25" s="59"/>
      <c r="X25" s="55"/>
      <c r="Y25" s="85"/>
      <c r="Z25" s="87"/>
      <c r="AA25" s="87"/>
      <c r="AB25" s="87"/>
      <c r="AC25" s="87"/>
      <c r="AD25" s="87"/>
      <c r="AE25" s="87"/>
      <c r="AF25" s="86"/>
      <c r="AG25" s="106"/>
      <c r="AH25" s="85"/>
      <c r="AI25" s="86"/>
      <c r="AJ25" s="85"/>
      <c r="AK25" s="86"/>
      <c r="AL25" s="85"/>
      <c r="AM25" s="86"/>
      <c r="AN25" s="85"/>
      <c r="AO25" s="86"/>
      <c r="AP25" s="55"/>
      <c r="AQ25" s="405"/>
      <c r="AR25" s="406"/>
      <c r="AU25" s="406"/>
      <c r="AV25" s="406"/>
      <c r="AW25" s="406"/>
      <c r="AX25" s="406"/>
      <c r="AY25" s="55"/>
      <c r="AZ25" s="112"/>
      <c r="BA25" s="112"/>
      <c r="BB25" s="52"/>
      <c r="BC25" s="52"/>
      <c r="BD25" s="52"/>
      <c r="BE25" s="52"/>
      <c r="BF25" s="52"/>
      <c r="BG25" s="52"/>
      <c r="BH25" s="55"/>
      <c r="BI25" s="85"/>
      <c r="BJ25" s="87"/>
      <c r="BK25" s="87"/>
      <c r="BL25" s="87"/>
      <c r="BM25" s="87"/>
      <c r="BN25" s="87"/>
      <c r="BO25" s="87"/>
      <c r="BP25" s="86"/>
      <c r="BQ25" s="106"/>
      <c r="BR25" s="72">
        <f t="shared" ref="BR25:BT25" si="39">countif($E25:$BQ25,BR$2)</f>
        <v>0</v>
      </c>
      <c r="BS25" s="74">
        <f t="shared" si="39"/>
        <v>0</v>
      </c>
      <c r="BT25" s="74">
        <f t="shared" si="39"/>
        <v>0</v>
      </c>
      <c r="BU25" s="112"/>
      <c r="BV25" s="112"/>
      <c r="BW25" s="81">
        <f t="shared" ref="BW25:BX25" si="40">countif($D25:$BQ26,"*" &amp; BW$2 &amp; "*")/2</f>
        <v>0</v>
      </c>
      <c r="BX25" s="81">
        <f t="shared" si="40"/>
        <v>0</v>
      </c>
      <c r="BY25" s="112"/>
      <c r="BZ25" s="112"/>
      <c r="CA25" s="112"/>
      <c r="CB25" s="112"/>
      <c r="CC25" s="112"/>
      <c r="CE25" s="17"/>
      <c r="CF25" s="17"/>
      <c r="CG25" s="17"/>
      <c r="CH25" s="17"/>
      <c r="CI25" s="17"/>
    </row>
    <row r="26">
      <c r="A26" s="96"/>
      <c r="B26" s="151" t="s">
        <v>375</v>
      </c>
      <c r="C26" s="54"/>
      <c r="D26" s="54"/>
      <c r="E26" s="54"/>
      <c r="F26" s="54"/>
      <c r="G26" s="54"/>
      <c r="H26" s="54"/>
      <c r="I26" s="54"/>
      <c r="J26" s="54"/>
      <c r="K26" s="55"/>
      <c r="L26" s="412"/>
      <c r="M26" s="402"/>
      <c r="N26" s="402"/>
      <c r="O26" s="402"/>
      <c r="P26" s="402"/>
      <c r="Q26" s="402"/>
      <c r="R26" s="402"/>
      <c r="S26" s="240"/>
      <c r="T26" s="58"/>
      <c r="U26" s="58"/>
      <c r="V26" s="58"/>
      <c r="W26" s="59"/>
      <c r="X26" s="55"/>
      <c r="Y26" s="337" t="s">
        <v>643</v>
      </c>
      <c r="AF26" s="106"/>
      <c r="AG26" s="154" t="s">
        <v>129</v>
      </c>
      <c r="AJ26" s="123" t="s">
        <v>645</v>
      </c>
      <c r="AK26" s="46"/>
      <c r="AN26" s="123" t="s">
        <v>492</v>
      </c>
      <c r="AO26" s="46"/>
      <c r="AP26" s="55"/>
      <c r="AQ26" s="405"/>
      <c r="AR26" s="406"/>
      <c r="AS26" s="406"/>
      <c r="AT26" s="406"/>
      <c r="AU26" s="406"/>
      <c r="AV26" s="406"/>
      <c r="AW26" s="406"/>
      <c r="AX26" s="406"/>
      <c r="AY26" s="55"/>
      <c r="BB26" s="52"/>
      <c r="BC26" s="52"/>
      <c r="BD26" s="203" t="s">
        <v>647</v>
      </c>
      <c r="BE26" s="46"/>
      <c r="BF26" s="123" t="s">
        <v>548</v>
      </c>
      <c r="BG26" s="46"/>
      <c r="BH26" s="55"/>
      <c r="BI26" s="166" t="s">
        <v>650</v>
      </c>
      <c r="BP26" s="106"/>
      <c r="BQ26" s="117" t="s">
        <v>132</v>
      </c>
      <c r="BR26" s="72">
        <f t="shared" ref="BR26:BT26" si="41">countif($D26:$BQ26,BR$2)</f>
        <v>1</v>
      </c>
      <c r="BS26" s="74">
        <f t="shared" si="41"/>
        <v>0</v>
      </c>
      <c r="BT26" s="74">
        <f t="shared" si="41"/>
        <v>1</v>
      </c>
      <c r="BU26" s="81">
        <f>countif($D26:$BQ27,"*MS (s)*")/2+countif($D26:$BQ27,"*AM2 (s)*")+countif($D26:$BQ27,"*BE2 (s)*")/2+countif($D26:$BQ27,"*LS2 (s)*")</f>
        <v>0</v>
      </c>
      <c r="BV26" s="81">
        <f>countif($D26:$BQ27,"*" &amp; BV$2 &amp; "*")</f>
        <v>0</v>
      </c>
      <c r="BW26" s="112"/>
      <c r="BX26" s="112"/>
      <c r="BY26" s="81">
        <f t="shared" ref="BY26:CC26" si="42">countif($D26:$BQ27,"*" &amp; BY$2 &amp; "*")</f>
        <v>8</v>
      </c>
      <c r="BZ26" s="81">
        <f t="shared" si="42"/>
        <v>0</v>
      </c>
      <c r="CA26" s="81">
        <f t="shared" si="42"/>
        <v>1</v>
      </c>
      <c r="CB26" s="81">
        <f t="shared" si="42"/>
        <v>2</v>
      </c>
      <c r="CC26" s="81">
        <f t="shared" si="42"/>
        <v>0</v>
      </c>
      <c r="CE26" s="17"/>
      <c r="CF26" s="17"/>
      <c r="CG26" s="17"/>
      <c r="CH26" s="17"/>
      <c r="CI26" s="17"/>
    </row>
    <row r="27">
      <c r="A27" s="96"/>
      <c r="B27" s="151" t="s">
        <v>392</v>
      </c>
      <c r="C27" s="54"/>
      <c r="D27" s="54"/>
      <c r="E27" s="54"/>
      <c r="F27" s="54"/>
      <c r="G27" s="54"/>
      <c r="H27" s="54"/>
      <c r="I27" s="54"/>
      <c r="J27" s="54"/>
      <c r="K27" s="55"/>
      <c r="L27" s="424"/>
      <c r="M27" s="425"/>
      <c r="N27" s="425"/>
      <c r="O27" s="425"/>
      <c r="P27" s="425"/>
      <c r="Q27" s="425"/>
      <c r="R27" s="425"/>
      <c r="S27" s="268"/>
      <c r="T27" s="58"/>
      <c r="U27" s="58"/>
      <c r="V27" s="58"/>
      <c r="W27" s="59"/>
      <c r="X27" s="55"/>
      <c r="Y27" s="85"/>
      <c r="Z27" s="87"/>
      <c r="AA27" s="87"/>
      <c r="AB27" s="87"/>
      <c r="AC27" s="87"/>
      <c r="AD27" s="87"/>
      <c r="AE27" s="87"/>
      <c r="AF27" s="86"/>
      <c r="AG27" s="106"/>
      <c r="AJ27" s="85"/>
      <c r="AK27" s="86"/>
      <c r="AN27" s="85"/>
      <c r="AO27" s="86"/>
      <c r="AP27" s="55"/>
      <c r="AQ27" s="405"/>
      <c r="AR27" s="406"/>
      <c r="AS27" s="406"/>
      <c r="AT27" s="406"/>
      <c r="AU27" s="406"/>
      <c r="AV27" s="406"/>
      <c r="AW27" s="406"/>
      <c r="AX27" s="406"/>
      <c r="AY27" s="55"/>
      <c r="BB27" s="52"/>
      <c r="BC27" s="52"/>
      <c r="BD27" s="85"/>
      <c r="BE27" s="86"/>
      <c r="BF27" s="85"/>
      <c r="BG27" s="86"/>
      <c r="BH27" s="55"/>
      <c r="BI27" s="85"/>
      <c r="BJ27" s="87"/>
      <c r="BK27" s="87"/>
      <c r="BL27" s="87"/>
      <c r="BM27" s="87"/>
      <c r="BN27" s="87"/>
      <c r="BO27" s="87"/>
      <c r="BP27" s="86"/>
      <c r="BQ27" s="106"/>
      <c r="BR27" s="72">
        <f t="shared" ref="BR27:BT27" si="43">countif($D27:$BQ27,BR$2)</f>
        <v>0</v>
      </c>
      <c r="BS27" s="74">
        <f t="shared" si="43"/>
        <v>0</v>
      </c>
      <c r="BT27" s="74">
        <f t="shared" si="43"/>
        <v>0</v>
      </c>
      <c r="BU27" s="112"/>
      <c r="BV27" s="112"/>
      <c r="BW27" s="81">
        <f t="shared" ref="BW27:BX27" si="44">countif($D27:$BQ28,"*" &amp; BW$2 &amp; "*")/2</f>
        <v>0</v>
      </c>
      <c r="BX27" s="81">
        <f t="shared" si="44"/>
        <v>0</v>
      </c>
      <c r="BY27" s="112"/>
      <c r="BZ27" s="112"/>
      <c r="CA27" s="112"/>
      <c r="CB27" s="112"/>
      <c r="CC27" s="112"/>
      <c r="CE27" s="17"/>
      <c r="CF27" s="17"/>
      <c r="CG27" s="17"/>
      <c r="CH27" s="17"/>
      <c r="CI27" s="17"/>
    </row>
    <row r="28">
      <c r="A28" s="96"/>
      <c r="B28" s="151" t="s">
        <v>398</v>
      </c>
      <c r="C28" s="277"/>
      <c r="D28" s="277"/>
      <c r="E28" s="277"/>
      <c r="F28" s="277"/>
      <c r="G28" s="277"/>
      <c r="H28" s="277"/>
      <c r="I28" s="277"/>
      <c r="J28" s="277"/>
      <c r="K28" s="278"/>
      <c r="L28" s="277"/>
      <c r="M28" s="277"/>
      <c r="N28" s="277"/>
      <c r="O28" s="277"/>
      <c r="P28" s="277"/>
      <c r="Q28" s="277"/>
      <c r="R28" s="277"/>
      <c r="S28" s="277"/>
      <c r="T28" s="277"/>
      <c r="U28" s="277"/>
      <c r="V28" s="277"/>
      <c r="W28" s="277"/>
      <c r="X28" s="278"/>
      <c r="Y28" s="277"/>
      <c r="Z28" s="277"/>
      <c r="AA28" s="277"/>
      <c r="AB28" s="277"/>
      <c r="AC28" s="277"/>
      <c r="AD28" s="277"/>
      <c r="AE28" s="277"/>
      <c r="AF28" s="277"/>
      <c r="AG28" s="278"/>
      <c r="AH28" s="277"/>
      <c r="AI28" s="277"/>
      <c r="AJ28" s="277"/>
      <c r="AK28" s="277"/>
      <c r="AL28" s="277"/>
      <c r="AM28" s="277"/>
      <c r="AN28" s="277"/>
      <c r="AO28" s="277"/>
      <c r="AP28" s="278"/>
      <c r="AQ28" s="277"/>
      <c r="AR28" s="277"/>
      <c r="AS28" s="277"/>
      <c r="AT28" s="277"/>
      <c r="AU28" s="277"/>
      <c r="AV28" s="277"/>
      <c r="AW28" s="277"/>
      <c r="AX28" s="277"/>
      <c r="AY28" s="278"/>
      <c r="AZ28" s="280"/>
      <c r="BA28" s="280"/>
      <c r="BB28" s="280"/>
      <c r="BC28" s="280"/>
      <c r="BD28" s="280"/>
      <c r="BE28" s="280"/>
      <c r="BF28" s="280"/>
      <c r="BG28" s="280"/>
      <c r="BH28" s="278"/>
      <c r="BI28" s="277"/>
      <c r="BJ28" s="277"/>
      <c r="BK28" s="277"/>
      <c r="BL28" s="277"/>
      <c r="BM28" s="277"/>
      <c r="BN28" s="277"/>
      <c r="BO28" s="277"/>
      <c r="BP28" s="277"/>
      <c r="BQ28" s="62"/>
      <c r="BR28" s="72">
        <f t="shared" ref="BR28:BT28" si="45">countif($D28:$BQ28,BR$2)</f>
        <v>0</v>
      </c>
      <c r="BS28" s="74">
        <f t="shared" si="45"/>
        <v>0</v>
      </c>
      <c r="BT28" s="74">
        <f t="shared" si="45"/>
        <v>0</v>
      </c>
      <c r="BU28" s="81">
        <f>countif($D28:$BQ29,"*MS (s)*")/2+countif($D28:$BQ29,"*AM2 (s)*")+countif($D28:$BQ29,"*BE2 (s)*")/2+countif($D28:$BQ29,"*LS2 (s)*")</f>
        <v>0</v>
      </c>
      <c r="BV28" s="81">
        <f>countif($D28:$BQ29,"*" &amp; BV$2 &amp; "*")</f>
        <v>0</v>
      </c>
      <c r="BW28" s="112"/>
      <c r="BX28" s="112"/>
      <c r="BY28" s="81">
        <f t="shared" ref="BY28:CC28" si="46">countif($D28:$BQ29,"*" &amp; BY$2 &amp; "*")</f>
        <v>0</v>
      </c>
      <c r="BZ28" s="81">
        <f t="shared" si="46"/>
        <v>0</v>
      </c>
      <c r="CA28" s="81">
        <f t="shared" si="46"/>
        <v>0</v>
      </c>
      <c r="CB28" s="81">
        <f t="shared" si="46"/>
        <v>0</v>
      </c>
      <c r="CC28" s="81">
        <f t="shared" si="46"/>
        <v>0</v>
      </c>
      <c r="CE28" s="17"/>
      <c r="CF28" s="17"/>
      <c r="CG28" s="17"/>
      <c r="CH28" s="17"/>
      <c r="CI28" s="17"/>
    </row>
    <row r="29">
      <c r="A29" s="112"/>
      <c r="B29" s="151" t="s">
        <v>408</v>
      </c>
      <c r="C29" s="277"/>
      <c r="D29" s="277"/>
      <c r="E29" s="289"/>
      <c r="F29" s="289"/>
      <c r="G29" s="277"/>
      <c r="H29" s="277"/>
      <c r="I29" s="277"/>
      <c r="J29" s="293"/>
      <c r="K29" s="292"/>
      <c r="L29" s="277"/>
      <c r="M29" s="289"/>
      <c r="N29" s="277"/>
      <c r="O29" s="290"/>
      <c r="P29" s="277"/>
      <c r="Q29" s="289"/>
      <c r="R29" s="277"/>
      <c r="S29" s="290"/>
      <c r="T29" s="277"/>
      <c r="U29" s="277"/>
      <c r="V29" s="277"/>
      <c r="W29" s="277"/>
      <c r="X29" s="292"/>
      <c r="Y29" s="277"/>
      <c r="Z29" s="289"/>
      <c r="AA29" s="289"/>
      <c r="AB29" s="277"/>
      <c r="AC29" s="277"/>
      <c r="AD29" s="290"/>
      <c r="AE29" s="290"/>
      <c r="AF29" s="290"/>
      <c r="AG29" s="292"/>
      <c r="AH29" s="293"/>
      <c r="AI29" s="293"/>
      <c r="AJ29" s="293"/>
      <c r="AK29" s="293"/>
      <c r="AL29" s="293"/>
      <c r="AM29" s="294"/>
      <c r="AN29" s="294"/>
      <c r="AO29" s="294"/>
      <c r="AP29" s="292"/>
      <c r="AQ29" s="277"/>
      <c r="AR29" s="289"/>
      <c r="AS29" s="289"/>
      <c r="AT29" s="277"/>
      <c r="AU29" s="277"/>
      <c r="AV29" s="277"/>
      <c r="AW29" s="277"/>
      <c r="AX29" s="290"/>
      <c r="AY29" s="292"/>
      <c r="AZ29" s="295"/>
      <c r="BA29" s="296"/>
      <c r="BB29" s="295"/>
      <c r="BC29" s="296"/>
      <c r="BD29" s="295"/>
      <c r="BE29" s="295"/>
      <c r="BF29" s="295"/>
      <c r="BG29" s="295"/>
      <c r="BH29" s="292"/>
      <c r="BI29" s="277"/>
      <c r="BJ29" s="277"/>
      <c r="BK29" s="277"/>
      <c r="BL29" s="277"/>
      <c r="BM29" s="277"/>
      <c r="BN29" s="277"/>
      <c r="BO29" s="277"/>
      <c r="BP29" s="293"/>
      <c r="BQ29" s="298"/>
      <c r="BR29" s="72">
        <f t="shared" ref="BR29:BT29" si="47">countif($D29:$BQ29,BR$2)</f>
        <v>0</v>
      </c>
      <c r="BS29" s="74">
        <f t="shared" si="47"/>
        <v>0</v>
      </c>
      <c r="BT29" s="74">
        <f t="shared" si="47"/>
        <v>0</v>
      </c>
      <c r="BU29" s="112"/>
      <c r="BV29" s="112"/>
      <c r="BW29" s="301"/>
      <c r="BX29" s="302"/>
      <c r="BY29" s="112"/>
      <c r="BZ29" s="112"/>
      <c r="CA29" s="112"/>
      <c r="CB29" s="112"/>
      <c r="CC29" s="112"/>
      <c r="CE29" s="17"/>
      <c r="CF29" s="17"/>
      <c r="CG29" s="17"/>
      <c r="CH29" s="17"/>
      <c r="CI29" s="17"/>
    </row>
    <row r="30" ht="1.5" customHeight="1">
      <c r="A30" s="6"/>
      <c r="B30" s="304"/>
      <c r="C30" s="247"/>
      <c r="D30" s="247"/>
      <c r="E30" s="248"/>
      <c r="F30" s="248"/>
      <c r="G30" s="248"/>
      <c r="H30" s="248"/>
      <c r="I30" s="248"/>
      <c r="J30" s="249"/>
      <c r="K30" s="305"/>
      <c r="L30" s="247"/>
      <c r="M30" s="248"/>
      <c r="N30" s="248"/>
      <c r="O30" s="248"/>
      <c r="P30" s="248"/>
      <c r="Q30" s="248"/>
      <c r="R30" s="248"/>
      <c r="S30" s="254"/>
      <c r="T30" s="248"/>
      <c r="U30" s="248"/>
      <c r="V30" s="248"/>
      <c r="W30" s="248"/>
      <c r="X30" s="305"/>
      <c r="Y30" s="247"/>
      <c r="Z30" s="248"/>
      <c r="AA30" s="248"/>
      <c r="AB30" s="248"/>
      <c r="AC30" s="248"/>
      <c r="AD30" s="248"/>
      <c r="AE30" s="248"/>
      <c r="AF30" s="248"/>
      <c r="AG30" s="305"/>
      <c r="AH30" s="247"/>
      <c r="AI30" s="248"/>
      <c r="AJ30" s="248"/>
      <c r="AK30" s="248"/>
      <c r="AL30" s="248"/>
      <c r="AM30" s="248"/>
      <c r="AN30" s="248"/>
      <c r="AO30" s="248"/>
      <c r="AP30" s="305"/>
      <c r="AQ30" s="247"/>
      <c r="AR30" s="248"/>
      <c r="AS30" s="248"/>
      <c r="AT30" s="248"/>
      <c r="AU30" s="248"/>
      <c r="AV30" s="248"/>
      <c r="AW30" s="248"/>
      <c r="AX30" s="248"/>
      <c r="AY30" s="305"/>
      <c r="AZ30" s="247"/>
      <c r="BA30" s="248"/>
      <c r="BB30" s="248"/>
      <c r="BC30" s="248"/>
      <c r="BD30" s="307"/>
      <c r="BE30" s="307"/>
      <c r="BF30" s="307"/>
      <c r="BG30" s="307"/>
      <c r="BH30" s="305"/>
      <c r="BI30" s="247"/>
      <c r="BJ30" s="248"/>
      <c r="BK30" s="248"/>
      <c r="BL30" s="248"/>
      <c r="BM30" s="248"/>
      <c r="BN30" s="248"/>
      <c r="BO30" s="249"/>
      <c r="BP30" s="249"/>
      <c r="BQ30" s="305"/>
      <c r="BR30" s="254"/>
      <c r="BS30" s="255"/>
      <c r="BT30" s="255"/>
      <c r="BU30" s="255"/>
      <c r="BV30" s="310"/>
      <c r="BW30" s="310"/>
      <c r="BX30" s="310"/>
      <c r="BY30" s="255"/>
      <c r="BZ30" s="82"/>
      <c r="CA30" s="82"/>
      <c r="CB30" s="82"/>
      <c r="CC30" s="82"/>
      <c r="CE30" s="17"/>
      <c r="CF30" s="17"/>
      <c r="CG30" s="17"/>
      <c r="CH30" s="17"/>
      <c r="CI30" s="17"/>
    </row>
    <row r="31">
      <c r="A31" s="41" t="s">
        <v>552</v>
      </c>
      <c r="B31" s="42">
        <v>42956.0</v>
      </c>
      <c r="C31" s="244"/>
      <c r="D31" s="50"/>
      <c r="E31" s="50"/>
      <c r="F31" s="50"/>
      <c r="G31" s="442"/>
      <c r="H31" s="442"/>
      <c r="I31" s="442"/>
      <c r="J31" s="148"/>
      <c r="K31" s="55"/>
      <c r="L31" s="443"/>
      <c r="M31" s="443"/>
      <c r="N31" s="443"/>
      <c r="O31" s="443"/>
      <c r="P31" s="443"/>
      <c r="Q31" s="443"/>
      <c r="R31" s="443"/>
      <c r="S31" s="443"/>
      <c r="T31" s="58"/>
      <c r="U31" s="58"/>
      <c r="V31" s="58"/>
      <c r="W31" s="59"/>
      <c r="X31" s="55"/>
      <c r="AG31" s="62"/>
      <c r="AP31" s="62"/>
      <c r="AQ31" s="56"/>
      <c r="AR31" s="52"/>
      <c r="AS31" s="52"/>
      <c r="AT31" s="52"/>
      <c r="AU31" s="52"/>
      <c r="AV31" s="52"/>
      <c r="AW31" s="52"/>
      <c r="AX31" s="52"/>
      <c r="AY31" s="62"/>
      <c r="AZ31" s="417"/>
      <c r="BA31" s="388"/>
      <c r="BB31" s="388"/>
      <c r="BC31" s="388"/>
      <c r="BD31" s="89" t="s">
        <v>167</v>
      </c>
      <c r="BE31" s="46"/>
      <c r="BF31" s="176" t="s">
        <v>177</v>
      </c>
      <c r="BG31" s="46"/>
      <c r="BH31" s="55"/>
      <c r="BI31" s="52"/>
      <c r="BJ31" s="70"/>
      <c r="BK31" s="52"/>
      <c r="BL31" s="70"/>
      <c r="BM31" s="70"/>
      <c r="BN31" s="70"/>
      <c r="BO31" s="70"/>
      <c r="BP31" s="70"/>
      <c r="BQ31" s="55"/>
      <c r="BR31" s="72"/>
      <c r="BS31" s="74"/>
      <c r="BT31" s="74"/>
      <c r="BU31" s="74"/>
      <c r="BV31" s="74"/>
      <c r="BW31" s="81">
        <f t="shared" ref="BW31:BX31" si="48">countif($G31:$BQ32,"*" &amp; BW$2 &amp; "*")/2</f>
        <v>1</v>
      </c>
      <c r="BX31" s="81">
        <f t="shared" si="48"/>
        <v>1</v>
      </c>
      <c r="BY31" s="74"/>
      <c r="BZ31" s="74"/>
      <c r="CA31" s="74"/>
      <c r="CB31" s="74"/>
      <c r="CC31" s="74"/>
      <c r="CE31" s="17"/>
      <c r="CF31" s="17"/>
      <c r="CG31" s="17"/>
      <c r="CH31" s="17"/>
      <c r="CI31" s="17"/>
    </row>
    <row r="32">
      <c r="A32" s="96"/>
      <c r="B32" s="40">
        <v>42623.0</v>
      </c>
      <c r="C32" s="161" t="s">
        <v>368</v>
      </c>
      <c r="D32" s="46"/>
      <c r="E32" s="50"/>
      <c r="F32" s="50"/>
      <c r="G32" s="50"/>
      <c r="H32" s="50"/>
      <c r="I32" s="50"/>
      <c r="J32" s="214"/>
      <c r="K32" s="55"/>
      <c r="L32" s="443"/>
      <c r="M32" s="443"/>
      <c r="N32" s="443"/>
      <c r="O32" s="443"/>
      <c r="P32" s="443"/>
      <c r="Q32" s="443"/>
      <c r="R32" s="443"/>
      <c r="S32" s="443"/>
      <c r="T32" s="58"/>
      <c r="U32" s="58"/>
      <c r="V32" s="58"/>
      <c r="W32" s="59"/>
      <c r="X32" s="55"/>
      <c r="AG32" s="62"/>
      <c r="AJ32" s="89" t="s">
        <v>534</v>
      </c>
      <c r="AK32" s="46"/>
      <c r="AP32" s="62"/>
      <c r="AQ32" s="337" t="s">
        <v>711</v>
      </c>
      <c r="AX32" s="106"/>
      <c r="AY32" s="154" t="s">
        <v>132</v>
      </c>
      <c r="AZ32" s="89" t="s">
        <v>289</v>
      </c>
      <c r="BA32" s="46"/>
      <c r="BB32" s="99" t="s">
        <v>332</v>
      </c>
      <c r="BC32" s="99" t="s">
        <v>333</v>
      </c>
      <c r="BD32" s="85"/>
      <c r="BE32" s="86"/>
      <c r="BF32" s="87"/>
      <c r="BG32" s="86"/>
      <c r="BH32" s="55"/>
      <c r="BI32" s="114" t="s">
        <v>712</v>
      </c>
      <c r="BJ32" s="61"/>
      <c r="BK32" s="61"/>
      <c r="BL32" s="61"/>
      <c r="BM32" s="61"/>
      <c r="BN32" s="61"/>
      <c r="BO32" s="61"/>
      <c r="BP32" s="46"/>
      <c r="BQ32" s="117" t="s">
        <v>129</v>
      </c>
      <c r="BR32" s="72">
        <f t="shared" ref="BR32:BT32" si="49">countif($G32:$BQ32,BR$2)</f>
        <v>1</v>
      </c>
      <c r="BS32" s="74">
        <f t="shared" si="49"/>
        <v>0</v>
      </c>
      <c r="BT32" s="74">
        <f t="shared" si="49"/>
        <v>1</v>
      </c>
      <c r="BU32" s="81">
        <f>countif($D32:$BQ33,"*MS (s)*")/2+countif($D32:$BQ33,"*AM2 (s)*")+countif($D32:$BQ33,"*BE2 (s)*")/2+countif($D32:$BQ33,"*LS2 (s)*")</f>
        <v>0</v>
      </c>
      <c r="BV32" s="81">
        <f>countif($D32:$BQ33,"*" &amp; BV$2 &amp; "*")</f>
        <v>0</v>
      </c>
      <c r="BW32" s="112"/>
      <c r="BX32" s="112"/>
      <c r="BY32" s="81">
        <f t="shared" ref="BY32:CC32" si="50">countif($D32:$BQ33,"*" &amp; BY$2 &amp; "*")</f>
        <v>10</v>
      </c>
      <c r="BZ32" s="81">
        <f t="shared" si="50"/>
        <v>0</v>
      </c>
      <c r="CA32" s="81">
        <f t="shared" si="50"/>
        <v>0</v>
      </c>
      <c r="CB32" s="81">
        <f t="shared" si="50"/>
        <v>1</v>
      </c>
      <c r="CC32" s="81">
        <f t="shared" si="50"/>
        <v>1</v>
      </c>
      <c r="CE32" s="17"/>
      <c r="CF32" s="17"/>
      <c r="CG32" s="17"/>
      <c r="CH32" s="17"/>
      <c r="CI32" s="17"/>
    </row>
    <row r="33">
      <c r="A33" s="96"/>
      <c r="B33" s="97">
        <v>42654.0</v>
      </c>
      <c r="C33" s="85"/>
      <c r="D33" s="86"/>
      <c r="E33" s="50"/>
      <c r="F33" s="50"/>
      <c r="G33" s="50"/>
      <c r="H33" s="50"/>
      <c r="I33" s="50"/>
      <c r="J33" s="214"/>
      <c r="K33" s="55"/>
      <c r="L33" s="89" t="s">
        <v>167</v>
      </c>
      <c r="M33" s="46"/>
      <c r="N33" s="176" t="s">
        <v>177</v>
      </c>
      <c r="O33" s="46"/>
      <c r="P33" s="443"/>
      <c r="Q33" s="443"/>
      <c r="R33" s="443"/>
      <c r="S33" s="443"/>
      <c r="T33" s="58"/>
      <c r="U33" s="58"/>
      <c r="V33" s="58"/>
      <c r="W33" s="59"/>
      <c r="X33" s="55"/>
      <c r="AG33" s="62"/>
      <c r="AJ33" s="85"/>
      <c r="AK33" s="86"/>
      <c r="AP33" s="62"/>
      <c r="AQ33" s="85"/>
      <c r="AR33" s="87"/>
      <c r="AS33" s="87"/>
      <c r="AT33" s="87"/>
      <c r="AU33" s="87"/>
      <c r="AV33" s="87"/>
      <c r="AW33" s="87"/>
      <c r="AX33" s="86"/>
      <c r="AY33" s="106"/>
      <c r="AZ33" s="85"/>
      <c r="BA33" s="86"/>
      <c r="BB33" s="112"/>
      <c r="BC33" s="112"/>
      <c r="BD33" s="402"/>
      <c r="BE33" s="402"/>
      <c r="BF33" s="402"/>
      <c r="BG33" s="240"/>
      <c r="BH33" s="55"/>
      <c r="BI33" s="85"/>
      <c r="BJ33" s="87"/>
      <c r="BK33" s="87"/>
      <c r="BL33" s="87"/>
      <c r="BM33" s="87"/>
      <c r="BN33" s="87"/>
      <c r="BO33" s="87"/>
      <c r="BP33" s="86"/>
      <c r="BQ33" s="106"/>
      <c r="BR33" s="72">
        <f t="shared" ref="BR33:BT33" si="51">countif($G33:$BQ33,BR$2)</f>
        <v>0</v>
      </c>
      <c r="BS33" s="74">
        <f t="shared" si="51"/>
        <v>0</v>
      </c>
      <c r="BT33" s="74">
        <f t="shared" si="51"/>
        <v>0</v>
      </c>
      <c r="BU33" s="112"/>
      <c r="BV33" s="112"/>
      <c r="BW33" s="81">
        <f t="shared" ref="BW33:BX33" si="52">countif($G33:$BQ34,"*" &amp; BW$2 &amp; "*")/2</f>
        <v>1</v>
      </c>
      <c r="BX33" s="81">
        <f t="shared" si="52"/>
        <v>1</v>
      </c>
      <c r="BY33" s="112"/>
      <c r="BZ33" s="112"/>
      <c r="CA33" s="112"/>
      <c r="CB33" s="112"/>
      <c r="CC33" s="112"/>
      <c r="CE33" s="17"/>
      <c r="CF33" s="17"/>
      <c r="CG33" s="17"/>
      <c r="CH33" s="17"/>
      <c r="CI33" s="17"/>
    </row>
    <row r="34">
      <c r="A34" s="96"/>
      <c r="B34" s="97">
        <v>42686.0</v>
      </c>
      <c r="C34" s="203" t="s">
        <v>740</v>
      </c>
      <c r="D34" s="46"/>
      <c r="E34" s="50"/>
      <c r="F34" s="50"/>
      <c r="G34" s="50"/>
      <c r="H34" s="50"/>
      <c r="I34" s="203" t="s">
        <v>742</v>
      </c>
      <c r="J34" s="46"/>
      <c r="K34" s="55"/>
      <c r="L34" s="85"/>
      <c r="M34" s="86"/>
      <c r="N34" s="87"/>
      <c r="O34" s="86"/>
      <c r="P34" s="443"/>
      <c r="Q34" s="443"/>
      <c r="R34" s="443"/>
      <c r="S34" s="443"/>
      <c r="T34" s="58"/>
      <c r="U34" s="58"/>
      <c r="V34" s="58"/>
      <c r="W34" s="59"/>
      <c r="X34" s="55"/>
      <c r="Y34" s="89" t="s">
        <v>534</v>
      </c>
      <c r="Z34" s="46"/>
      <c r="AC34" s="123" t="s">
        <v>645</v>
      </c>
      <c r="AD34" s="46"/>
      <c r="AG34" s="62"/>
      <c r="AH34" s="337" t="s">
        <v>748</v>
      </c>
      <c r="AO34" s="106"/>
      <c r="AP34" s="105" t="s">
        <v>130</v>
      </c>
      <c r="AQ34" s="337" t="s">
        <v>752</v>
      </c>
      <c r="AX34" s="106"/>
      <c r="AY34" s="154" t="s">
        <v>132</v>
      </c>
      <c r="AZ34" s="89" t="s">
        <v>330</v>
      </c>
      <c r="BA34" s="46"/>
      <c r="BB34" s="161" t="s">
        <v>368</v>
      </c>
      <c r="BC34" s="46"/>
      <c r="BD34" s="89" t="s">
        <v>268</v>
      </c>
      <c r="BE34" s="46"/>
      <c r="BF34" s="161" t="s">
        <v>327</v>
      </c>
      <c r="BG34" s="46"/>
      <c r="BH34" s="55"/>
      <c r="BI34" s="166" t="s">
        <v>755</v>
      </c>
      <c r="BP34" s="106"/>
      <c r="BQ34" s="117" t="s">
        <v>129</v>
      </c>
      <c r="BR34" s="72">
        <f t="shared" ref="BR34:BT34" si="53">countif($G34:$BQ34,BR$2)</f>
        <v>1</v>
      </c>
      <c r="BS34" s="74">
        <f t="shared" si="53"/>
        <v>1</v>
      </c>
      <c r="BT34" s="74">
        <f t="shared" si="53"/>
        <v>1</v>
      </c>
      <c r="BU34" s="81">
        <f>countif($E34:$BQ35,"*MS (s)*")/2+countif($E34:$BQ35,"*AM2 (s)*")+countif($E34:$BQ35,"*BE2 (s)*")/2+countif($E34:$BQ35,"*LS2 (s)*")</f>
        <v>0</v>
      </c>
      <c r="BV34" s="81">
        <f>countif($E34:$BQ35,"*" &amp; BV$2 &amp; "*")</f>
        <v>0</v>
      </c>
      <c r="BW34" s="112"/>
      <c r="BX34" s="112"/>
      <c r="BY34" s="81">
        <f t="shared" ref="BY34:CC34" si="54">countif($E34:$BQ35,"*" &amp; BY$2 &amp; "*")</f>
        <v>15</v>
      </c>
      <c r="BZ34" s="81">
        <f t="shared" si="54"/>
        <v>1</v>
      </c>
      <c r="CA34" s="81">
        <f t="shared" si="54"/>
        <v>1</v>
      </c>
      <c r="CB34" s="81">
        <f t="shared" si="54"/>
        <v>1</v>
      </c>
      <c r="CC34" s="81">
        <f t="shared" si="54"/>
        <v>1</v>
      </c>
      <c r="CE34" s="17"/>
      <c r="CF34" s="17"/>
      <c r="CG34" s="17"/>
      <c r="CH34" s="17"/>
      <c r="CI34" s="17"/>
    </row>
    <row r="35">
      <c r="A35" s="96"/>
      <c r="B35" s="97">
        <v>42717.0</v>
      </c>
      <c r="C35" s="85"/>
      <c r="D35" s="86"/>
      <c r="E35" s="50"/>
      <c r="F35" s="50"/>
      <c r="I35" s="85"/>
      <c r="J35" s="86"/>
      <c r="K35" s="55"/>
      <c r="L35" s="443"/>
      <c r="M35" s="443"/>
      <c r="N35" s="443"/>
      <c r="O35" s="443"/>
      <c r="P35" s="89" t="s">
        <v>167</v>
      </c>
      <c r="Q35" s="46"/>
      <c r="R35" s="176" t="s">
        <v>177</v>
      </c>
      <c r="S35" s="46"/>
      <c r="T35" s="58"/>
      <c r="U35" s="58"/>
      <c r="V35" s="58"/>
      <c r="W35" s="59"/>
      <c r="X35" s="55"/>
      <c r="Y35" s="85"/>
      <c r="Z35" s="86"/>
      <c r="AC35" s="85"/>
      <c r="AD35" s="86"/>
      <c r="AG35" s="62"/>
      <c r="AH35" s="85"/>
      <c r="AI35" s="87"/>
      <c r="AJ35" s="87"/>
      <c r="AK35" s="87"/>
      <c r="AL35" s="87"/>
      <c r="AM35" s="87"/>
      <c r="AN35" s="87"/>
      <c r="AO35" s="86"/>
      <c r="AP35" s="106"/>
      <c r="AQ35" s="85"/>
      <c r="AR35" s="87"/>
      <c r="AS35" s="87"/>
      <c r="AT35" s="87"/>
      <c r="AU35" s="87"/>
      <c r="AV35" s="87"/>
      <c r="AW35" s="87"/>
      <c r="AX35" s="86"/>
      <c r="AY35" s="106"/>
      <c r="AZ35" s="85"/>
      <c r="BA35" s="86"/>
      <c r="BB35" s="85"/>
      <c r="BC35" s="86"/>
      <c r="BD35" s="85"/>
      <c r="BE35" s="86"/>
      <c r="BF35" s="85"/>
      <c r="BG35" s="86"/>
      <c r="BH35" s="55"/>
      <c r="BI35" s="85"/>
      <c r="BJ35" s="87"/>
      <c r="BK35" s="87"/>
      <c r="BL35" s="87"/>
      <c r="BM35" s="87"/>
      <c r="BN35" s="87"/>
      <c r="BO35" s="87"/>
      <c r="BP35" s="86"/>
      <c r="BQ35" s="106"/>
      <c r="BR35" s="72">
        <f t="shared" ref="BR35:BT35" si="55">countif($E35:$BQ35,BR$2)</f>
        <v>0</v>
      </c>
      <c r="BS35" s="74">
        <f t="shared" si="55"/>
        <v>0</v>
      </c>
      <c r="BT35" s="74">
        <f t="shared" si="55"/>
        <v>0</v>
      </c>
      <c r="BU35" s="112"/>
      <c r="BV35" s="112"/>
      <c r="BW35" s="81">
        <f t="shared" ref="BW35:BX35" si="56">countif($E35:$BQ36,"*" &amp; BW$2 &amp; "*")/2</f>
        <v>1</v>
      </c>
      <c r="BX35" s="81">
        <f t="shared" si="56"/>
        <v>1</v>
      </c>
      <c r="BY35" s="112"/>
      <c r="BZ35" s="112"/>
      <c r="CA35" s="112"/>
      <c r="CB35" s="112"/>
      <c r="CC35" s="112"/>
      <c r="CE35" s="17"/>
      <c r="CF35" s="17"/>
      <c r="CG35" s="17"/>
      <c r="CH35" s="17"/>
      <c r="CI35" s="17"/>
    </row>
    <row r="36">
      <c r="A36" s="96"/>
      <c r="B36" s="151" t="s">
        <v>310</v>
      </c>
      <c r="C36" s="123" t="s">
        <v>492</v>
      </c>
      <c r="D36" s="46"/>
      <c r="E36" s="123" t="s">
        <v>765</v>
      </c>
      <c r="F36" s="46"/>
      <c r="G36" s="123" t="s">
        <v>327</v>
      </c>
      <c r="H36" s="46"/>
      <c r="I36" s="123" t="s">
        <v>368</v>
      </c>
      <c r="J36" s="46"/>
      <c r="K36" s="55"/>
      <c r="L36" s="146" t="s">
        <v>767</v>
      </c>
      <c r="M36" s="443"/>
      <c r="N36" s="89" t="s">
        <v>534</v>
      </c>
      <c r="O36" s="46"/>
      <c r="P36" s="85"/>
      <c r="Q36" s="86"/>
      <c r="R36" s="87"/>
      <c r="S36" s="86"/>
      <c r="T36" s="58"/>
      <c r="U36" s="58"/>
      <c r="V36" s="58"/>
      <c r="W36" s="59"/>
      <c r="X36" s="55"/>
      <c r="AC36" s="161" t="s">
        <v>522</v>
      </c>
      <c r="AD36" s="46"/>
      <c r="AE36" s="123" t="s">
        <v>778</v>
      </c>
      <c r="AF36" s="46"/>
      <c r="AG36" s="55"/>
      <c r="AH36" s="166" t="s">
        <v>779</v>
      </c>
      <c r="AO36" s="106"/>
      <c r="AP36" s="105" t="s">
        <v>130</v>
      </c>
      <c r="AQ36" s="337" t="s">
        <v>781</v>
      </c>
      <c r="AX36" s="106"/>
      <c r="AY36" s="154" t="s">
        <v>132</v>
      </c>
      <c r="AZ36" s="412"/>
      <c r="BA36" s="402"/>
      <c r="BB36" s="402"/>
      <c r="BC36" s="402"/>
      <c r="BD36" s="402"/>
      <c r="BE36" s="402"/>
      <c r="BF36" s="402"/>
      <c r="BG36" s="402"/>
      <c r="BH36" s="55"/>
      <c r="BI36" s="166" t="s">
        <v>786</v>
      </c>
      <c r="BP36" s="106"/>
      <c r="BQ36" s="117" t="s">
        <v>129</v>
      </c>
      <c r="BR36" s="72">
        <f t="shared" ref="BR36:BT36" si="57">countif($C36:$BQ36,BR$2)</f>
        <v>1</v>
      </c>
      <c r="BS36" s="74">
        <f t="shared" si="57"/>
        <v>1</v>
      </c>
      <c r="BT36" s="74">
        <f t="shared" si="57"/>
        <v>1</v>
      </c>
      <c r="BU36" s="81">
        <f>countif($C36:$BQ37,"*MS (s)*")/2+countif($C36:$BQ37,"*AM2 (s)*")+countif($C36:$BQ37,"*BE2 (s)*")/2+countif($C36:$BQ37,"*LS2 (s)*")</f>
        <v>0</v>
      </c>
      <c r="BV36" s="81">
        <f>countif($C36:$BQ37,"*" &amp; BV$2 &amp; "*")</f>
        <v>0</v>
      </c>
      <c r="BW36" s="112"/>
      <c r="BX36" s="112"/>
      <c r="BY36" s="81">
        <f t="shared" ref="BY36:CC36" si="58">countif($C36:$BQ37,"*" &amp; BY$2 &amp; "*")</f>
        <v>16</v>
      </c>
      <c r="BZ36" s="81">
        <f t="shared" si="58"/>
        <v>1</v>
      </c>
      <c r="CA36" s="81">
        <f t="shared" si="58"/>
        <v>1</v>
      </c>
      <c r="CB36" s="81">
        <f t="shared" si="58"/>
        <v>1</v>
      </c>
      <c r="CC36" s="81">
        <f t="shared" si="58"/>
        <v>1</v>
      </c>
      <c r="CE36" s="17"/>
      <c r="CF36" s="17"/>
      <c r="CG36" s="17"/>
      <c r="CH36" s="17"/>
      <c r="CI36" s="17"/>
    </row>
    <row r="37">
      <c r="A37" s="96"/>
      <c r="B37" s="151" t="s">
        <v>341</v>
      </c>
      <c r="C37" s="85"/>
      <c r="D37" s="86"/>
      <c r="E37" s="85"/>
      <c r="F37" s="86"/>
      <c r="G37" s="85"/>
      <c r="H37" s="86"/>
      <c r="I37" s="85"/>
      <c r="J37" s="86"/>
      <c r="K37" s="55"/>
      <c r="L37" s="112"/>
      <c r="M37" s="443"/>
      <c r="N37" s="85"/>
      <c r="O37" s="86"/>
      <c r="P37" s="443"/>
      <c r="Q37" s="443"/>
      <c r="R37" s="443"/>
      <c r="S37" s="443"/>
      <c r="T37" s="58"/>
      <c r="U37" s="58"/>
      <c r="V37" s="58"/>
      <c r="W37" s="59"/>
      <c r="X37" s="55"/>
      <c r="Y37" s="89" t="s">
        <v>167</v>
      </c>
      <c r="Z37" s="46"/>
      <c r="AA37" s="176" t="s">
        <v>177</v>
      </c>
      <c r="AB37" s="46"/>
      <c r="AC37" s="85"/>
      <c r="AD37" s="86"/>
      <c r="AE37" s="85"/>
      <c r="AF37" s="86"/>
      <c r="AG37" s="55"/>
      <c r="AH37" s="85"/>
      <c r="AI37" s="87"/>
      <c r="AJ37" s="87"/>
      <c r="AK37" s="87"/>
      <c r="AL37" s="87"/>
      <c r="AM37" s="87"/>
      <c r="AN37" s="87"/>
      <c r="AO37" s="86"/>
      <c r="AP37" s="106"/>
      <c r="AQ37" s="85"/>
      <c r="AR37" s="87"/>
      <c r="AS37" s="87"/>
      <c r="AT37" s="87"/>
      <c r="AU37" s="87"/>
      <c r="AV37" s="87"/>
      <c r="AW37" s="87"/>
      <c r="AX37" s="86"/>
      <c r="AY37" s="106"/>
      <c r="AZ37" s="412"/>
      <c r="BA37" s="402"/>
      <c r="BB37" s="402"/>
      <c r="BC37" s="402"/>
      <c r="BD37" s="402"/>
      <c r="BE37" s="402"/>
      <c r="BF37" s="402"/>
      <c r="BG37" s="402"/>
      <c r="BH37" s="55"/>
      <c r="BI37" s="85"/>
      <c r="BJ37" s="87"/>
      <c r="BK37" s="87"/>
      <c r="BL37" s="87"/>
      <c r="BM37" s="87"/>
      <c r="BN37" s="87"/>
      <c r="BO37" s="87"/>
      <c r="BP37" s="86"/>
      <c r="BQ37" s="106"/>
      <c r="BR37" s="72">
        <f t="shared" ref="BR37:BT37" si="59">countif($C37:$BQ37,BR$2)</f>
        <v>0</v>
      </c>
      <c r="BS37" s="74">
        <f t="shared" si="59"/>
        <v>0</v>
      </c>
      <c r="BT37" s="74">
        <f t="shared" si="59"/>
        <v>0</v>
      </c>
      <c r="BU37" s="112"/>
      <c r="BV37" s="112"/>
      <c r="BW37" s="81">
        <f t="shared" ref="BW37:BX37" si="60">countif($D37:$BQ38,"*" &amp; BW$2 &amp; "*")/2</f>
        <v>1</v>
      </c>
      <c r="BX37" s="81">
        <f t="shared" si="60"/>
        <v>1</v>
      </c>
      <c r="BY37" s="112"/>
      <c r="BZ37" s="112"/>
      <c r="CA37" s="112"/>
      <c r="CB37" s="112"/>
      <c r="CC37" s="112"/>
      <c r="CE37" s="17"/>
      <c r="CF37" s="17"/>
      <c r="CG37" s="17"/>
      <c r="CH37" s="17"/>
      <c r="CI37" s="17"/>
    </row>
    <row r="38">
      <c r="A38" s="96"/>
      <c r="B38" s="151" t="s">
        <v>342</v>
      </c>
      <c r="C38" s="244"/>
      <c r="D38" s="50"/>
      <c r="E38" s="123" t="s">
        <v>492</v>
      </c>
      <c r="F38" s="46"/>
      <c r="G38" s="123" t="s">
        <v>544</v>
      </c>
      <c r="H38" s="46"/>
      <c r="I38" s="89" t="s">
        <v>363</v>
      </c>
      <c r="J38" s="46"/>
      <c r="K38" s="55"/>
      <c r="L38" s="114" t="s">
        <v>824</v>
      </c>
      <c r="M38" s="61"/>
      <c r="N38" s="61"/>
      <c r="O38" s="61"/>
      <c r="P38" s="61"/>
      <c r="Q38" s="61"/>
      <c r="R38" s="61"/>
      <c r="S38" s="46"/>
      <c r="T38" s="322"/>
      <c r="U38" s="322"/>
      <c r="V38" s="322"/>
      <c r="W38" s="324"/>
      <c r="X38" s="154" t="s">
        <v>132</v>
      </c>
      <c r="Y38" s="85"/>
      <c r="Z38" s="86"/>
      <c r="AA38" s="87"/>
      <c r="AB38" s="86"/>
      <c r="AG38" s="55"/>
      <c r="AH38" s="114" t="s">
        <v>870</v>
      </c>
      <c r="AI38" s="61"/>
      <c r="AJ38" s="61"/>
      <c r="AK38" s="61"/>
      <c r="AL38" s="61"/>
      <c r="AM38" s="61"/>
      <c r="AN38" s="61"/>
      <c r="AO38" s="46"/>
      <c r="AP38" s="105" t="s">
        <v>130</v>
      </c>
      <c r="AU38" s="161" t="s">
        <v>327</v>
      </c>
      <c r="AV38" s="46"/>
      <c r="AW38" s="161" t="s">
        <v>368</v>
      </c>
      <c r="AX38" s="46"/>
      <c r="AY38" s="55"/>
      <c r="AZ38" s="412"/>
      <c r="BA38" s="402"/>
      <c r="BB38" s="402"/>
      <c r="BC38" s="402"/>
      <c r="BD38" s="402"/>
      <c r="BE38" s="402"/>
      <c r="BF38" s="402"/>
      <c r="BG38" s="402"/>
      <c r="BH38" s="55"/>
      <c r="BQ38" s="117" t="s">
        <v>129</v>
      </c>
      <c r="BR38" s="72">
        <f t="shared" ref="BR38:BT38" si="61">countif($E38:$BQ38,BR$2)</f>
        <v>1</v>
      </c>
      <c r="BS38" s="74">
        <f t="shared" si="61"/>
        <v>1</v>
      </c>
      <c r="BT38" s="74">
        <f t="shared" si="61"/>
        <v>1</v>
      </c>
      <c r="BU38" s="81">
        <f>countif($E38:$BQ39,"*MS (s)*")/2+countif($E38:$BQ39,"*AM2 (s)*")+countif($E38:$BQ39,"*BE2 (s)*")/2+countif($E38:$BQ39,"*LS2 (s)*")</f>
        <v>0</v>
      </c>
      <c r="BV38" s="81">
        <f>countif($E38:$BQ39,"*" &amp; BV$2 &amp; "*")/2</f>
        <v>0</v>
      </c>
      <c r="BW38" s="112"/>
      <c r="BX38" s="112"/>
      <c r="BY38" s="81">
        <f t="shared" ref="BY38:CC38" si="62">countif($E38:$BQ39,"*" &amp; BY$2 &amp; "*")</f>
        <v>12</v>
      </c>
      <c r="BZ38" s="81">
        <f t="shared" si="62"/>
        <v>1</v>
      </c>
      <c r="CA38" s="81">
        <f t="shared" si="62"/>
        <v>1</v>
      </c>
      <c r="CB38" s="81">
        <f t="shared" si="62"/>
        <v>0</v>
      </c>
      <c r="CC38" s="81">
        <f t="shared" si="62"/>
        <v>0</v>
      </c>
      <c r="CE38" s="17"/>
      <c r="CF38" s="17"/>
      <c r="CG38" s="17"/>
      <c r="CH38" s="17"/>
      <c r="CI38" s="17"/>
    </row>
    <row r="39" ht="13.5" customHeight="1">
      <c r="A39" s="96"/>
      <c r="B39" s="151" t="s">
        <v>369</v>
      </c>
      <c r="C39" s="244"/>
      <c r="D39" s="50"/>
      <c r="E39" s="85"/>
      <c r="F39" s="86"/>
      <c r="G39" s="85"/>
      <c r="H39" s="86"/>
      <c r="I39" s="85"/>
      <c r="J39" s="86"/>
      <c r="K39" s="55"/>
      <c r="L39" s="85"/>
      <c r="M39" s="87"/>
      <c r="N39" s="87"/>
      <c r="O39" s="87"/>
      <c r="P39" s="87"/>
      <c r="Q39" s="87"/>
      <c r="R39" s="87"/>
      <c r="S39" s="86"/>
      <c r="T39" s="332"/>
      <c r="U39" s="332"/>
      <c r="V39" s="332"/>
      <c r="W39" s="333"/>
      <c r="X39" s="106"/>
      <c r="AC39" s="89" t="s">
        <v>167</v>
      </c>
      <c r="AD39" s="46"/>
      <c r="AE39" s="176" t="s">
        <v>177</v>
      </c>
      <c r="AF39" s="46"/>
      <c r="AG39" s="55"/>
      <c r="AH39" s="85"/>
      <c r="AI39" s="87"/>
      <c r="AJ39" s="87"/>
      <c r="AK39" s="87"/>
      <c r="AL39" s="87"/>
      <c r="AM39" s="87"/>
      <c r="AN39" s="87"/>
      <c r="AO39" s="86"/>
      <c r="AP39" s="106"/>
      <c r="AU39" s="85"/>
      <c r="AV39" s="86"/>
      <c r="AW39" s="85"/>
      <c r="AX39" s="86"/>
      <c r="AY39" s="55"/>
      <c r="AZ39" s="412"/>
      <c r="BA39" s="402"/>
      <c r="BB39" s="402"/>
      <c r="BC39" s="402"/>
      <c r="BD39" s="402"/>
      <c r="BE39" s="402"/>
      <c r="BF39" s="402"/>
      <c r="BG39" s="402"/>
      <c r="BH39" s="55"/>
      <c r="BQ39" s="106"/>
      <c r="BR39" s="72">
        <f t="shared" ref="BR39:BT39" si="63">countif($E39:$BQ39,BR$2)</f>
        <v>0</v>
      </c>
      <c r="BS39" s="74">
        <f t="shared" si="63"/>
        <v>0</v>
      </c>
      <c r="BT39" s="74">
        <f t="shared" si="63"/>
        <v>0</v>
      </c>
      <c r="BU39" s="112"/>
      <c r="BV39" s="112"/>
      <c r="BW39" s="81">
        <f t="shared" ref="BW39:BX39" si="64">countif($D39:$BQ40,"*" &amp; BW$2 &amp; "*")/2</f>
        <v>1</v>
      </c>
      <c r="BX39" s="81">
        <f t="shared" si="64"/>
        <v>1</v>
      </c>
      <c r="BY39" s="112"/>
      <c r="BZ39" s="112"/>
      <c r="CA39" s="112"/>
      <c r="CB39" s="112"/>
      <c r="CC39" s="112"/>
      <c r="CE39" s="17"/>
      <c r="CF39" s="17"/>
      <c r="CG39" s="17"/>
      <c r="CH39" s="17"/>
      <c r="CI39" s="17"/>
    </row>
    <row r="40" ht="15.0" customHeight="1">
      <c r="A40" s="96"/>
      <c r="B40" s="151" t="s">
        <v>375</v>
      </c>
      <c r="C40" s="244"/>
      <c r="D40" s="50"/>
      <c r="E40" s="50"/>
      <c r="F40" s="50"/>
      <c r="G40" s="50"/>
      <c r="H40" s="50"/>
      <c r="I40" s="123" t="s">
        <v>765</v>
      </c>
      <c r="J40" s="46"/>
      <c r="K40" s="55"/>
      <c r="L40" s="337" t="s">
        <v>918</v>
      </c>
      <c r="S40" s="106"/>
      <c r="T40" s="332"/>
      <c r="U40" s="332"/>
      <c r="V40" s="332"/>
      <c r="W40" s="333"/>
      <c r="X40" s="154" t="s">
        <v>132</v>
      </c>
      <c r="AA40" s="89" t="s">
        <v>522</v>
      </c>
      <c r="AB40" s="46"/>
      <c r="AC40" s="85"/>
      <c r="AD40" s="86"/>
      <c r="AE40" s="87"/>
      <c r="AF40" s="86"/>
      <c r="AG40" s="55"/>
      <c r="AH40" s="244"/>
      <c r="AI40" s="50"/>
      <c r="AJ40" s="50"/>
      <c r="AK40" s="50"/>
      <c r="AL40" s="50"/>
      <c r="AM40" s="50"/>
      <c r="AN40" s="50"/>
      <c r="AO40" s="214"/>
      <c r="AP40" s="55"/>
      <c r="AS40" s="52"/>
      <c r="AT40" s="52"/>
      <c r="AU40" s="555"/>
      <c r="AV40" s="555"/>
      <c r="AW40" s="555"/>
      <c r="AX40" s="555"/>
      <c r="AY40" s="55"/>
      <c r="BD40" s="402"/>
      <c r="BE40" s="402"/>
      <c r="BF40" s="402"/>
      <c r="BG40" s="402"/>
      <c r="BH40" s="55"/>
      <c r="BQ40" s="55"/>
      <c r="BR40" s="72">
        <f t="shared" ref="BR40:BT40" si="65">countif($D40:$BQ40,BR$2)</f>
        <v>0</v>
      </c>
      <c r="BS40" s="74">
        <f t="shared" si="65"/>
        <v>0</v>
      </c>
      <c r="BT40" s="74">
        <f t="shared" si="65"/>
        <v>1</v>
      </c>
      <c r="BU40" s="81">
        <f>countif($D40:$BQ41,"*MS (s)*")/2+countif($D40:$BQ41,"*AM2 (s)*")+countif($D40:$BQ41,"*BE2 (s)*")/2+countif($D40:$BQ41,"*LS2 (s)*")</f>
        <v>0</v>
      </c>
      <c r="BV40" s="81">
        <f>countif($D40:$BQ41,"*" &amp; BV$2 &amp; "*")</f>
        <v>0</v>
      </c>
      <c r="BW40" s="112"/>
      <c r="BX40" s="112"/>
      <c r="BY40" s="81">
        <f t="shared" ref="BY40:CC40" si="66">countif($D40:$BQ41,"*" &amp; BY$2 &amp; "*")</f>
        <v>4</v>
      </c>
      <c r="BZ40" s="81">
        <f t="shared" si="66"/>
        <v>1</v>
      </c>
      <c r="CA40" s="81">
        <f t="shared" si="66"/>
        <v>1</v>
      </c>
      <c r="CB40" s="81">
        <f t="shared" si="66"/>
        <v>0</v>
      </c>
      <c r="CC40" s="81">
        <f t="shared" si="66"/>
        <v>0</v>
      </c>
      <c r="CE40" s="17"/>
      <c r="CF40" s="17"/>
      <c r="CG40" s="17"/>
      <c r="CH40" s="17"/>
      <c r="CI40" s="17"/>
    </row>
    <row r="41">
      <c r="A41" s="96"/>
      <c r="B41" s="151" t="s">
        <v>392</v>
      </c>
      <c r="C41" s="137"/>
      <c r="D41" s="138"/>
      <c r="E41" s="138"/>
      <c r="F41" s="138"/>
      <c r="G41" s="138"/>
      <c r="H41" s="138"/>
      <c r="I41" s="85"/>
      <c r="J41" s="86"/>
      <c r="K41" s="55"/>
      <c r="L41" s="85"/>
      <c r="M41" s="87"/>
      <c r="N41" s="87"/>
      <c r="O41" s="87"/>
      <c r="P41" s="87"/>
      <c r="Q41" s="87"/>
      <c r="R41" s="87"/>
      <c r="S41" s="86"/>
      <c r="T41" s="332"/>
      <c r="U41" s="332"/>
      <c r="V41" s="332"/>
      <c r="W41" s="333"/>
      <c r="X41" s="106"/>
      <c r="Y41" s="270"/>
      <c r="Z41" s="54"/>
      <c r="AA41" s="85"/>
      <c r="AB41" s="86"/>
      <c r="AC41" s="54"/>
      <c r="AD41" s="54"/>
      <c r="AE41" s="54"/>
      <c r="AF41" s="54"/>
      <c r="AG41" s="55"/>
      <c r="AH41" s="244"/>
      <c r="AI41" s="50"/>
      <c r="AJ41" s="50"/>
      <c r="AK41" s="50"/>
      <c r="AL41" s="50"/>
      <c r="AM41" s="50"/>
      <c r="AN41" s="50"/>
      <c r="AO41" s="214"/>
      <c r="AP41" s="55"/>
      <c r="AS41" s="52"/>
      <c r="AT41" s="52"/>
      <c r="AU41" s="52"/>
      <c r="AV41" s="52"/>
      <c r="AW41" s="52"/>
      <c r="AX41" s="52"/>
      <c r="AY41" s="55"/>
      <c r="BD41" s="402"/>
      <c r="BE41" s="402"/>
      <c r="BF41" s="402"/>
      <c r="BG41" s="402"/>
      <c r="BH41" s="55"/>
      <c r="BQ41" s="55"/>
      <c r="BR41" s="72">
        <f t="shared" ref="BR41:BT41" si="67">countif($D41:$BQ41,BR$2)</f>
        <v>0</v>
      </c>
      <c r="BS41" s="74">
        <f t="shared" si="67"/>
        <v>0</v>
      </c>
      <c r="BT41" s="74">
        <f t="shared" si="67"/>
        <v>0</v>
      </c>
      <c r="BU41" s="112"/>
      <c r="BV41" s="112"/>
      <c r="BW41" s="81">
        <f t="shared" ref="BW41:BX41" si="68">countif($D41:$BQ42,"*" &amp; BW$2 &amp; "*")/2</f>
        <v>0</v>
      </c>
      <c r="BX41" s="81">
        <f t="shared" si="68"/>
        <v>0</v>
      </c>
      <c r="BY41" s="112"/>
      <c r="BZ41" s="112"/>
      <c r="CA41" s="112"/>
      <c r="CB41" s="112"/>
      <c r="CC41" s="112"/>
      <c r="CE41" s="17"/>
      <c r="CF41" s="17"/>
      <c r="CG41" s="17"/>
      <c r="CH41" s="17"/>
      <c r="CI41" s="17"/>
    </row>
    <row r="42">
      <c r="A42" s="96"/>
      <c r="B42" s="151" t="s">
        <v>398</v>
      </c>
      <c r="C42" s="277"/>
      <c r="D42" s="277"/>
      <c r="E42" s="277"/>
      <c r="F42" s="277"/>
      <c r="G42" s="277"/>
      <c r="H42" s="277"/>
      <c r="I42" s="277"/>
      <c r="J42" s="277"/>
      <c r="K42" s="278"/>
      <c r="L42" s="277"/>
      <c r="M42" s="277"/>
      <c r="N42" s="277"/>
      <c r="O42" s="277"/>
      <c r="P42" s="277"/>
      <c r="Q42" s="277"/>
      <c r="R42" s="277"/>
      <c r="S42" s="277"/>
      <c r="T42" s="277"/>
      <c r="U42" s="277"/>
      <c r="V42" s="277"/>
      <c r="W42" s="277"/>
      <c r="X42" s="278"/>
      <c r="Y42" s="277"/>
      <c r="Z42" s="277"/>
      <c r="AA42" s="277"/>
      <c r="AB42" s="277"/>
      <c r="AC42" s="277"/>
      <c r="AD42" s="277"/>
      <c r="AE42" s="277"/>
      <c r="AF42" s="277"/>
      <c r="AG42" s="278"/>
      <c r="AH42" s="277"/>
      <c r="AI42" s="277"/>
      <c r="AJ42" s="277"/>
      <c r="AK42" s="277"/>
      <c r="AL42" s="277"/>
      <c r="AM42" s="277"/>
      <c r="AN42" s="277"/>
      <c r="AO42" s="277"/>
      <c r="AP42" s="278"/>
      <c r="AQ42" s="277"/>
      <c r="AR42" s="277"/>
      <c r="AS42" s="277"/>
      <c r="AT42" s="277"/>
      <c r="AU42" s="277"/>
      <c r="AV42" s="277"/>
      <c r="AW42" s="277"/>
      <c r="AX42" s="277"/>
      <c r="AY42" s="278"/>
      <c r="AZ42" s="280"/>
      <c r="BA42" s="280"/>
      <c r="BB42" s="280"/>
      <c r="BC42" s="280"/>
      <c r="BD42" s="280"/>
      <c r="BE42" s="280"/>
      <c r="BF42" s="280"/>
      <c r="BG42" s="280"/>
      <c r="BH42" s="278"/>
      <c r="BI42" s="277"/>
      <c r="BJ42" s="277"/>
      <c r="BK42" s="277"/>
      <c r="BL42" s="277"/>
      <c r="BM42" s="277"/>
      <c r="BN42" s="277"/>
      <c r="BO42" s="277"/>
      <c r="BP42" s="277"/>
      <c r="BQ42" s="62"/>
      <c r="BR42" s="72">
        <f t="shared" ref="BR42:BT42" si="69">countif($D42:$BQ42,BR$2)</f>
        <v>0</v>
      </c>
      <c r="BS42" s="74">
        <f t="shared" si="69"/>
        <v>0</v>
      </c>
      <c r="BT42" s="74">
        <f t="shared" si="69"/>
        <v>0</v>
      </c>
      <c r="BU42" s="81">
        <f>countif($D42:$BQ43,"*MS (s)*")/2+countif($D42:$BQ43,"*AM2 (s)*")+countif($D42:$BQ43,"*BE2 (s)*")/2+countif($D42:$BQ43,"*LS2 (s)*")</f>
        <v>0</v>
      </c>
      <c r="BV42" s="81">
        <f>countif($D42:$BQ43,"*" &amp; BV$2 &amp; "*")</f>
        <v>0</v>
      </c>
      <c r="BW42" s="112"/>
      <c r="BX42" s="112"/>
      <c r="BY42" s="81">
        <f t="shared" ref="BY42:CC42" si="70">countif($D42:$BQ43,"*" &amp; BY$2 &amp; "*")</f>
        <v>0</v>
      </c>
      <c r="BZ42" s="81">
        <f t="shared" si="70"/>
        <v>0</v>
      </c>
      <c r="CA42" s="81">
        <f t="shared" si="70"/>
        <v>0</v>
      </c>
      <c r="CB42" s="81">
        <f t="shared" si="70"/>
        <v>0</v>
      </c>
      <c r="CC42" s="81">
        <f t="shared" si="70"/>
        <v>0</v>
      </c>
      <c r="CE42" s="17"/>
      <c r="CF42" s="17"/>
      <c r="CG42" s="17"/>
      <c r="CH42" s="17"/>
      <c r="CI42" s="17"/>
    </row>
    <row r="43">
      <c r="A43" s="112"/>
      <c r="B43" s="151" t="s">
        <v>408</v>
      </c>
      <c r="C43" s="277"/>
      <c r="D43" s="277"/>
      <c r="E43" s="289"/>
      <c r="F43" s="289"/>
      <c r="G43" s="277"/>
      <c r="H43" s="277"/>
      <c r="I43" s="277"/>
      <c r="J43" s="293"/>
      <c r="K43" s="292"/>
      <c r="L43" s="293"/>
      <c r="M43" s="293"/>
      <c r="N43" s="293"/>
      <c r="O43" s="293"/>
      <c r="P43" s="293"/>
      <c r="Q43" s="294"/>
      <c r="R43" s="294"/>
      <c r="S43" s="294"/>
      <c r="T43" s="277"/>
      <c r="U43" s="277"/>
      <c r="V43" s="277"/>
      <c r="W43" s="277"/>
      <c r="X43" s="292"/>
      <c r="Y43" s="293"/>
      <c r="Z43" s="293"/>
      <c r="AA43" s="293"/>
      <c r="AB43" s="293"/>
      <c r="AC43" s="293"/>
      <c r="AD43" s="294"/>
      <c r="AE43" s="294"/>
      <c r="AF43" s="294"/>
      <c r="AG43" s="292"/>
      <c r="AH43" s="277"/>
      <c r="AI43" s="289"/>
      <c r="AJ43" s="289"/>
      <c r="AK43" s="277"/>
      <c r="AL43" s="277"/>
      <c r="AM43" s="290"/>
      <c r="AN43" s="290"/>
      <c r="AO43" s="290"/>
      <c r="AP43" s="292"/>
      <c r="AQ43" s="277"/>
      <c r="AR43" s="289"/>
      <c r="AS43" s="289"/>
      <c r="AT43" s="277"/>
      <c r="AU43" s="277"/>
      <c r="AV43" s="277"/>
      <c r="AW43" s="277"/>
      <c r="AX43" s="290"/>
      <c r="AY43" s="292"/>
      <c r="AZ43" s="295"/>
      <c r="BA43" s="296"/>
      <c r="BB43" s="295"/>
      <c r="BC43" s="296"/>
      <c r="BD43" s="295"/>
      <c r="BE43" s="295"/>
      <c r="BF43" s="295"/>
      <c r="BG43" s="295"/>
      <c r="BH43" s="292"/>
      <c r="BI43" s="277"/>
      <c r="BJ43" s="277"/>
      <c r="BK43" s="277"/>
      <c r="BL43" s="277"/>
      <c r="BM43" s="277"/>
      <c r="BN43" s="277"/>
      <c r="BO43" s="277"/>
      <c r="BP43" s="293"/>
      <c r="BQ43" s="298"/>
      <c r="BR43" s="72">
        <f t="shared" ref="BR43:BT43" si="71">countif($D43:$BQ43,BR$2)</f>
        <v>0</v>
      </c>
      <c r="BS43" s="74">
        <f t="shared" si="71"/>
        <v>0</v>
      </c>
      <c r="BT43" s="74">
        <f t="shared" si="71"/>
        <v>0</v>
      </c>
      <c r="BU43" s="112"/>
      <c r="BV43" s="112"/>
      <c r="BW43" s="301"/>
      <c r="BX43" s="302"/>
      <c r="BY43" s="112"/>
      <c r="BZ43" s="112"/>
      <c r="CA43" s="112"/>
      <c r="CB43" s="112"/>
      <c r="CC43" s="112"/>
      <c r="CE43" s="17"/>
      <c r="CF43" s="17"/>
      <c r="CG43" s="17"/>
      <c r="CH43" s="17"/>
      <c r="CI43" s="17"/>
    </row>
    <row r="44" ht="1.5" customHeight="1">
      <c r="A44" s="6"/>
      <c r="B44" s="304"/>
      <c r="C44" s="247"/>
      <c r="D44" s="247"/>
      <c r="E44" s="248"/>
      <c r="F44" s="248"/>
      <c r="G44" s="248"/>
      <c r="H44" s="248"/>
      <c r="I44" s="248"/>
      <c r="J44" s="249"/>
      <c r="K44" s="305"/>
      <c r="L44" s="247"/>
      <c r="M44" s="248"/>
      <c r="N44" s="248"/>
      <c r="O44" s="248"/>
      <c r="P44" s="248"/>
      <c r="Q44" s="248"/>
      <c r="R44" s="248"/>
      <c r="S44" s="248"/>
      <c r="T44" s="248"/>
      <c r="U44" s="248"/>
      <c r="V44" s="248"/>
      <c r="W44" s="248"/>
      <c r="X44" s="305"/>
      <c r="Y44" s="247"/>
      <c r="Z44" s="248"/>
      <c r="AA44" s="248"/>
      <c r="AB44" s="248"/>
      <c r="AC44" s="248"/>
      <c r="AD44" s="248"/>
      <c r="AE44" s="248"/>
      <c r="AF44" s="248"/>
      <c r="AG44" s="305"/>
      <c r="AH44" s="247"/>
      <c r="AI44" s="248"/>
      <c r="AJ44" s="248"/>
      <c r="AK44" s="248"/>
      <c r="AL44" s="248"/>
      <c r="AM44" s="248"/>
      <c r="AN44" s="248"/>
      <c r="AO44" s="248"/>
      <c r="AP44" s="305"/>
      <c r="AQ44" s="247"/>
      <c r="AR44" s="248"/>
      <c r="AS44" s="248"/>
      <c r="AT44" s="248"/>
      <c r="AU44" s="248"/>
      <c r="AV44" s="248"/>
      <c r="AW44" s="248"/>
      <c r="AX44" s="248"/>
      <c r="AY44" s="305"/>
      <c r="AZ44" s="247"/>
      <c r="BA44" s="248"/>
      <c r="BB44" s="248"/>
      <c r="BC44" s="248"/>
      <c r="BD44" s="307"/>
      <c r="BE44" s="307"/>
      <c r="BF44" s="307"/>
      <c r="BG44" s="307"/>
      <c r="BH44" s="305"/>
      <c r="BI44" s="247"/>
      <c r="BJ44" s="248"/>
      <c r="BK44" s="248"/>
      <c r="BL44" s="248"/>
      <c r="BM44" s="248"/>
      <c r="BN44" s="248"/>
      <c r="BO44" s="249"/>
      <c r="BP44" s="249"/>
      <c r="BQ44" s="305"/>
      <c r="BR44" s="254"/>
      <c r="BS44" s="255"/>
      <c r="BT44" s="255"/>
      <c r="BU44" s="255"/>
      <c r="BV44" s="310"/>
      <c r="BW44" s="310"/>
      <c r="BX44" s="310"/>
      <c r="BY44" s="255"/>
      <c r="BZ44" s="82"/>
      <c r="CA44" s="82"/>
      <c r="CB44" s="82"/>
      <c r="CC44" s="82"/>
      <c r="CE44" s="17"/>
      <c r="CF44" s="17"/>
      <c r="CG44" s="17"/>
      <c r="CH44" s="17"/>
      <c r="CI44" s="17"/>
    </row>
    <row r="45">
      <c r="A45" s="41" t="s">
        <v>704</v>
      </c>
      <c r="B45" s="42">
        <v>42956.0</v>
      </c>
      <c r="C45" s="52"/>
      <c r="D45" s="52"/>
      <c r="E45" s="52"/>
      <c r="F45" s="52"/>
      <c r="G45" s="52"/>
      <c r="H45" s="52"/>
      <c r="I45" s="52"/>
      <c r="J45" s="52"/>
      <c r="K45" s="585"/>
      <c r="L45" s="56"/>
      <c r="M45" s="52"/>
      <c r="N45" s="52"/>
      <c r="O45" s="52"/>
      <c r="P45" s="52"/>
      <c r="Q45" s="52"/>
      <c r="R45" s="52"/>
      <c r="S45" s="52"/>
      <c r="T45" s="58"/>
      <c r="U45" s="58"/>
      <c r="V45" s="58"/>
      <c r="W45" s="59"/>
      <c r="X45" s="55"/>
      <c r="Y45" s="56"/>
      <c r="Z45" s="52"/>
      <c r="AA45" s="52"/>
      <c r="AB45" s="52"/>
      <c r="AC45" s="52"/>
      <c r="AD45" s="52"/>
      <c r="AE45" s="52"/>
      <c r="AF45" s="264"/>
      <c r="AG45" s="62"/>
      <c r="AH45" s="56"/>
      <c r="AI45" s="52"/>
      <c r="AJ45" s="52"/>
      <c r="AK45" s="52"/>
      <c r="AL45" s="52"/>
      <c r="AM45" s="52"/>
      <c r="AN45" s="52"/>
      <c r="AO45" s="264"/>
      <c r="AP45" s="62"/>
      <c r="AQ45" s="89" t="s">
        <v>167</v>
      </c>
      <c r="AR45" s="46"/>
      <c r="AS45" s="176" t="s">
        <v>177</v>
      </c>
      <c r="AT45" s="46"/>
      <c r="AU45" s="586"/>
      <c r="AV45" s="586"/>
      <c r="AW45" s="586"/>
      <c r="AX45" s="588"/>
      <c r="AY45" s="55"/>
      <c r="BH45" s="55"/>
      <c r="BI45" s="589"/>
      <c r="BJ45" s="590"/>
      <c r="BK45" s="590"/>
      <c r="BL45" s="590"/>
      <c r="BQ45" s="55"/>
      <c r="BR45" s="72"/>
      <c r="BS45" s="74"/>
      <c r="BT45" s="74"/>
      <c r="BU45" s="74"/>
      <c r="BV45" s="74"/>
      <c r="BW45" s="317">
        <f t="shared" ref="BW45:BX45" si="72">countif($D45:$BQ46,"*" &amp; BW$2 &amp; "*")/2</f>
        <v>1</v>
      </c>
      <c r="BX45" s="317">
        <f t="shared" si="72"/>
        <v>1</v>
      </c>
      <c r="BY45" s="74"/>
      <c r="BZ45" s="82"/>
      <c r="CA45" s="82"/>
      <c r="CB45" s="82"/>
      <c r="CC45" s="82"/>
      <c r="CE45" s="17"/>
      <c r="CF45" s="17"/>
      <c r="CG45" s="17"/>
      <c r="CH45" s="17"/>
      <c r="CI45" s="17"/>
    </row>
    <row r="46">
      <c r="A46" s="96"/>
      <c r="B46" s="40">
        <v>42623.0</v>
      </c>
      <c r="C46" s="114" t="s">
        <v>963</v>
      </c>
      <c r="D46" s="61"/>
      <c r="E46" s="61"/>
      <c r="F46" s="61"/>
      <c r="G46" s="61"/>
      <c r="H46" s="61"/>
      <c r="I46" s="61"/>
      <c r="J46" s="46"/>
      <c r="K46" s="154" t="s">
        <v>129</v>
      </c>
      <c r="L46" s="56"/>
      <c r="M46" s="52"/>
      <c r="N46" s="52"/>
      <c r="O46" s="52"/>
      <c r="P46" s="89" t="s">
        <v>268</v>
      </c>
      <c r="Q46" s="46"/>
      <c r="R46" s="196"/>
      <c r="S46" s="196"/>
      <c r="T46" s="58"/>
      <c r="U46" s="58"/>
      <c r="V46" s="58"/>
      <c r="W46" s="59"/>
      <c r="X46" s="55"/>
      <c r="Y46" s="114" t="s">
        <v>495</v>
      </c>
      <c r="Z46" s="61"/>
      <c r="AA46" s="61"/>
      <c r="AB46" s="61"/>
      <c r="AC46" s="61"/>
      <c r="AD46" s="61"/>
      <c r="AE46" s="61"/>
      <c r="AF46" s="46"/>
      <c r="AG46" s="154" t="s">
        <v>132</v>
      </c>
      <c r="AH46" s="101" t="s">
        <v>965</v>
      </c>
      <c r="AI46" s="61"/>
      <c r="AJ46" s="61"/>
      <c r="AK46" s="61"/>
      <c r="AL46" s="61"/>
      <c r="AM46" s="61"/>
      <c r="AN46" s="61"/>
      <c r="AO46" s="46"/>
      <c r="AP46" s="105" t="s">
        <v>130</v>
      </c>
      <c r="AQ46" s="85"/>
      <c r="AR46" s="86"/>
      <c r="AS46" s="87"/>
      <c r="AT46" s="86"/>
      <c r="AU46" s="89" t="s">
        <v>289</v>
      </c>
      <c r="AV46" s="46"/>
      <c r="AY46" s="55"/>
      <c r="BH46" s="55"/>
      <c r="BI46" s="89" t="s">
        <v>596</v>
      </c>
      <c r="BJ46" s="46"/>
      <c r="BK46" s="89" t="s">
        <v>492</v>
      </c>
      <c r="BL46" s="46"/>
      <c r="BQ46" s="55"/>
      <c r="BR46" s="72">
        <f t="shared" ref="BR46:BT46" si="73">countif($K46:$BQ46,BR$2)</f>
        <v>1</v>
      </c>
      <c r="BS46" s="74">
        <f t="shared" si="73"/>
        <v>1</v>
      </c>
      <c r="BT46" s="74">
        <f t="shared" si="73"/>
        <v>1</v>
      </c>
      <c r="BU46" s="81">
        <f>countif($K46:$BQ47,"*MS (s)*")/2+countif($K46:$BQ47,"*AM2 (s)*")+countif($K46:$BQ47,"*BE2 (s)*")/2+countif($K46:$BQ47,"*LS2 (s)*")</f>
        <v>0</v>
      </c>
      <c r="BV46" s="81">
        <f>countif($K46:$BQ47,"*" &amp; BV$2 &amp; "*")</f>
        <v>0</v>
      </c>
      <c r="BW46" s="142"/>
      <c r="BX46" s="142"/>
      <c r="BY46" s="81">
        <f t="shared" ref="BY46:CC46" si="74">countif($K46:$BQ47,"*" &amp; BY$2 &amp; "*")</f>
        <v>11</v>
      </c>
      <c r="BZ46" s="81">
        <f t="shared" si="74"/>
        <v>1</v>
      </c>
      <c r="CA46" s="81">
        <f t="shared" si="74"/>
        <v>0</v>
      </c>
      <c r="CB46" s="81">
        <f t="shared" si="74"/>
        <v>1</v>
      </c>
      <c r="CC46" s="81">
        <f t="shared" si="74"/>
        <v>1</v>
      </c>
      <c r="CE46" s="17"/>
      <c r="CF46" s="17"/>
      <c r="CG46" s="17"/>
      <c r="CH46" s="17"/>
      <c r="CI46" s="17"/>
    </row>
    <row r="47">
      <c r="A47" s="96"/>
      <c r="B47" s="97">
        <v>42654.0</v>
      </c>
      <c r="C47" s="85"/>
      <c r="D47" s="87"/>
      <c r="E47" s="87"/>
      <c r="F47" s="87"/>
      <c r="G47" s="87"/>
      <c r="H47" s="87"/>
      <c r="I47" s="87"/>
      <c r="J47" s="86"/>
      <c r="K47" s="106"/>
      <c r="L47" s="56"/>
      <c r="M47" s="52"/>
      <c r="N47" s="52"/>
      <c r="O47" s="52"/>
      <c r="P47" s="85"/>
      <c r="Q47" s="86"/>
      <c r="R47" s="281"/>
      <c r="S47" s="283"/>
      <c r="T47" s="58"/>
      <c r="U47" s="58"/>
      <c r="V47" s="58"/>
      <c r="W47" s="59"/>
      <c r="X47" s="55"/>
      <c r="Y47" s="85"/>
      <c r="Z47" s="87"/>
      <c r="AA47" s="87"/>
      <c r="AB47" s="87"/>
      <c r="AC47" s="87"/>
      <c r="AD47" s="87"/>
      <c r="AE47" s="87"/>
      <c r="AF47" s="86"/>
      <c r="AG47" s="106"/>
      <c r="AH47" s="85"/>
      <c r="AI47" s="87"/>
      <c r="AJ47" s="87"/>
      <c r="AK47" s="87"/>
      <c r="AL47" s="87"/>
      <c r="AM47" s="87"/>
      <c r="AN47" s="87"/>
      <c r="AO47" s="86"/>
      <c r="AP47" s="106"/>
      <c r="AQ47" s="602"/>
      <c r="AR47" s="603"/>
      <c r="AS47" s="603"/>
      <c r="AT47" s="603"/>
      <c r="AU47" s="85"/>
      <c r="AV47" s="86"/>
      <c r="AY47" s="55"/>
      <c r="BH47" s="55"/>
      <c r="BI47" s="85"/>
      <c r="BJ47" s="86"/>
      <c r="BK47" s="85"/>
      <c r="BL47" s="86"/>
      <c r="BM47" s="89" t="s">
        <v>167</v>
      </c>
      <c r="BN47" s="46"/>
      <c r="BO47" s="176" t="s">
        <v>177</v>
      </c>
      <c r="BP47" s="46"/>
      <c r="BQ47" s="55"/>
      <c r="BR47" s="72">
        <f t="shared" ref="BR47:BT47" si="75">countif($K47:$BQ47,BR$2)</f>
        <v>0</v>
      </c>
      <c r="BS47" s="74">
        <f t="shared" si="75"/>
        <v>0</v>
      </c>
      <c r="BT47" s="74">
        <f t="shared" si="75"/>
        <v>0</v>
      </c>
      <c r="BU47" s="112"/>
      <c r="BV47" s="112"/>
      <c r="BW47" s="317">
        <f t="shared" ref="BW47:BX47" si="76">countif($D47:$BQ48,"*" &amp; BW$2 &amp; "*")/2</f>
        <v>1</v>
      </c>
      <c r="BX47" s="317">
        <f t="shared" si="76"/>
        <v>1</v>
      </c>
      <c r="BY47" s="112"/>
      <c r="BZ47" s="112"/>
      <c r="CA47" s="112"/>
      <c r="CB47" s="112"/>
      <c r="CC47" s="112"/>
      <c r="CE47" s="17"/>
      <c r="CF47" s="17"/>
      <c r="CG47" s="17"/>
      <c r="CH47" s="17"/>
      <c r="CI47" s="17"/>
    </row>
    <row r="48">
      <c r="A48" s="96"/>
      <c r="B48" s="97">
        <v>42686.0</v>
      </c>
      <c r="C48" s="166" t="s">
        <v>965</v>
      </c>
      <c r="J48" s="106"/>
      <c r="K48" s="154" t="s">
        <v>129</v>
      </c>
      <c r="L48" s="56"/>
      <c r="M48" s="146" t="s">
        <v>979</v>
      </c>
      <c r="N48" s="52"/>
      <c r="O48" s="52"/>
      <c r="P48" s="89" t="s">
        <v>368</v>
      </c>
      <c r="Q48" s="46"/>
      <c r="R48" s="89" t="s">
        <v>268</v>
      </c>
      <c r="S48" s="46"/>
      <c r="T48" s="58"/>
      <c r="U48" s="58"/>
      <c r="V48" s="58"/>
      <c r="W48" s="59"/>
      <c r="X48" s="55"/>
      <c r="Y48" s="166" t="s">
        <v>982</v>
      </c>
      <c r="AF48" s="106"/>
      <c r="AG48" s="154" t="s">
        <v>132</v>
      </c>
      <c r="AH48" s="166" t="s">
        <v>984</v>
      </c>
      <c r="AO48" s="106"/>
      <c r="AP48" s="105" t="s">
        <v>130</v>
      </c>
      <c r="AS48" s="99" t="s">
        <v>396</v>
      </c>
      <c r="AU48" s="203" t="s">
        <v>990</v>
      </c>
      <c r="AV48" s="46"/>
      <c r="AW48" s="89" t="s">
        <v>319</v>
      </c>
      <c r="AX48" s="46"/>
      <c r="AY48" s="55"/>
      <c r="BH48" s="55"/>
      <c r="BI48" s="89" t="s">
        <v>492</v>
      </c>
      <c r="BJ48" s="46"/>
      <c r="BK48" s="89" t="s">
        <v>596</v>
      </c>
      <c r="BL48" s="46"/>
      <c r="BM48" s="85"/>
      <c r="BN48" s="86"/>
      <c r="BO48" s="87"/>
      <c r="BP48" s="86"/>
      <c r="BQ48" s="55"/>
      <c r="BR48" s="72">
        <f t="shared" ref="BR48:BT48" si="77">countif($D48:$BQ48,BR$2)</f>
        <v>1</v>
      </c>
      <c r="BS48" s="74">
        <f t="shared" si="77"/>
        <v>1</v>
      </c>
      <c r="BT48" s="74">
        <f t="shared" si="77"/>
        <v>1</v>
      </c>
      <c r="BU48" s="81">
        <f>countif($D48:$BQ49,"*MS (s)*")/2+countif($D48:$BQ49,"*AM2 (s)*")+countif($D48:$BQ49,"*BE2 (s)*")/2+countif($D48:$BQ49,"*LS2 (s)*")</f>
        <v>0</v>
      </c>
      <c r="BV48" s="81">
        <f>countif($D48:$BQ49,"*" &amp; BV$2 &amp; "*")</f>
        <v>0</v>
      </c>
      <c r="BW48" s="142"/>
      <c r="BX48" s="142"/>
      <c r="BY48" s="81">
        <f t="shared" ref="BY48:CC48" si="78">countif($D48:$BQ49,"*" &amp; BY$2 &amp; "*")</f>
        <v>13</v>
      </c>
      <c r="BZ48" s="81">
        <f t="shared" si="78"/>
        <v>1</v>
      </c>
      <c r="CA48" s="81">
        <f t="shared" si="78"/>
        <v>1</v>
      </c>
      <c r="CB48" s="81">
        <f t="shared" si="78"/>
        <v>1</v>
      </c>
      <c r="CC48" s="81">
        <f t="shared" si="78"/>
        <v>1</v>
      </c>
      <c r="CE48" s="17"/>
      <c r="CF48" s="17"/>
      <c r="CG48" s="17"/>
      <c r="CH48" s="17"/>
      <c r="CI48" s="17"/>
    </row>
    <row r="49">
      <c r="A49" s="96"/>
      <c r="B49" s="97">
        <v>42717.0</v>
      </c>
      <c r="C49" s="85"/>
      <c r="D49" s="87"/>
      <c r="E49" s="87"/>
      <c r="F49" s="87"/>
      <c r="G49" s="87"/>
      <c r="H49" s="87"/>
      <c r="I49" s="87"/>
      <c r="J49" s="86"/>
      <c r="K49" s="106"/>
      <c r="L49" s="56"/>
      <c r="M49" s="112"/>
      <c r="N49" s="52"/>
      <c r="O49" s="52"/>
      <c r="P49" s="85"/>
      <c r="Q49" s="86"/>
      <c r="R49" s="85"/>
      <c r="S49" s="86"/>
      <c r="T49" s="58"/>
      <c r="U49" s="58"/>
      <c r="V49" s="58"/>
      <c r="W49" s="59"/>
      <c r="X49" s="55"/>
      <c r="Y49" s="85"/>
      <c r="Z49" s="87"/>
      <c r="AA49" s="87"/>
      <c r="AB49" s="87"/>
      <c r="AC49" s="87"/>
      <c r="AD49" s="87"/>
      <c r="AE49" s="87"/>
      <c r="AF49" s="86"/>
      <c r="AG49" s="106"/>
      <c r="AH49" s="85"/>
      <c r="AI49" s="87"/>
      <c r="AJ49" s="87"/>
      <c r="AK49" s="87"/>
      <c r="AL49" s="87"/>
      <c r="AM49" s="87"/>
      <c r="AN49" s="87"/>
      <c r="AO49" s="86"/>
      <c r="AP49" s="106"/>
      <c r="AS49" s="112"/>
      <c r="AU49" s="85"/>
      <c r="AV49" s="86"/>
      <c r="AW49" s="85"/>
      <c r="AX49" s="86"/>
      <c r="AY49" s="55"/>
      <c r="BH49" s="55"/>
      <c r="BI49" s="85"/>
      <c r="BJ49" s="86"/>
      <c r="BK49" s="85"/>
      <c r="BL49" s="86"/>
      <c r="BM49" s="590"/>
      <c r="BN49" s="590"/>
      <c r="BO49" s="590"/>
      <c r="BP49" s="590"/>
      <c r="BQ49" s="55"/>
      <c r="BR49" s="72">
        <f t="shared" ref="BR49:BT49" si="79">countif($D49:$BQ49,BR$2)</f>
        <v>0</v>
      </c>
      <c r="BS49" s="74">
        <f t="shared" si="79"/>
        <v>0</v>
      </c>
      <c r="BT49" s="74">
        <f t="shared" si="79"/>
        <v>0</v>
      </c>
      <c r="BU49" s="112"/>
      <c r="BV49" s="112"/>
      <c r="BW49" s="317">
        <f t="shared" ref="BW49:BX49" si="80">countif($D49:$BQ50,"*" &amp; BW$2 &amp; "*")/2</f>
        <v>0</v>
      </c>
      <c r="BX49" s="317">
        <f t="shared" si="80"/>
        <v>0</v>
      </c>
      <c r="BY49" s="112"/>
      <c r="BZ49" s="112"/>
      <c r="CA49" s="112"/>
      <c r="CB49" s="112"/>
      <c r="CC49" s="112"/>
      <c r="CE49" s="17"/>
      <c r="CF49" s="17"/>
      <c r="CG49" s="17"/>
      <c r="CH49" s="17"/>
      <c r="CI49" s="17"/>
    </row>
    <row r="50">
      <c r="A50" s="96"/>
      <c r="B50" s="151" t="s">
        <v>310</v>
      </c>
      <c r="C50" s="166" t="s">
        <v>1051</v>
      </c>
      <c r="J50" s="106"/>
      <c r="K50" s="154" t="s">
        <v>129</v>
      </c>
      <c r="L50" s="123" t="s">
        <v>368</v>
      </c>
      <c r="M50" s="46"/>
      <c r="N50" s="146" t="s">
        <v>492</v>
      </c>
      <c r="O50" s="52"/>
      <c r="P50" s="89" t="s">
        <v>363</v>
      </c>
      <c r="Q50" s="46"/>
      <c r="T50" s="58"/>
      <c r="U50" s="58"/>
      <c r="V50" s="58"/>
      <c r="W50" s="59"/>
      <c r="X50" s="55"/>
      <c r="Y50" s="337" t="s">
        <v>1056</v>
      </c>
      <c r="AF50" s="106"/>
      <c r="AG50" s="154" t="s">
        <v>132</v>
      </c>
      <c r="AH50" s="166" t="s">
        <v>1059</v>
      </c>
      <c r="AO50" s="106"/>
      <c r="AP50" s="105" t="s">
        <v>130</v>
      </c>
      <c r="AQ50" s="365" t="s">
        <v>533</v>
      </c>
      <c r="AR50" s="46"/>
      <c r="AS50" s="123" t="s">
        <v>1062</v>
      </c>
      <c r="AT50" s="46"/>
      <c r="AU50" s="603"/>
      <c r="AV50" s="603"/>
      <c r="AW50" s="203" t="s">
        <v>272</v>
      </c>
      <c r="AX50" s="46"/>
      <c r="AY50" s="55"/>
      <c r="BH50" s="55"/>
      <c r="BI50" s="647"/>
      <c r="BJ50" s="649"/>
      <c r="BK50" s="649"/>
      <c r="BL50" s="649"/>
      <c r="BM50" s="161" t="s">
        <v>368</v>
      </c>
      <c r="BN50" s="46"/>
      <c r="BO50" s="89" t="s">
        <v>596</v>
      </c>
      <c r="BP50" s="46"/>
      <c r="BQ50" s="55"/>
      <c r="BR50" s="72">
        <f t="shared" ref="BR50:BT50" si="81">countif($D50:$BQ50,BR$2)</f>
        <v>1</v>
      </c>
      <c r="BS50" s="74">
        <f t="shared" si="81"/>
        <v>1</v>
      </c>
      <c r="BT50" s="74">
        <f t="shared" si="81"/>
        <v>1</v>
      </c>
      <c r="BU50" s="81">
        <f>countif($D50:$BQ51,"*MS (s)*")/2+countif($D50:$BQ51,"*AM2 (s)*")+countif($D50:$BQ51,"*BE2 (s)*")/2+countif($D50:$BQ51,"*LS2 (s)*")</f>
        <v>0</v>
      </c>
      <c r="BV50" s="81">
        <f>countif($D50:$BQ51,"*" &amp; BV$2 &amp; "*")</f>
        <v>0</v>
      </c>
      <c r="BW50" s="142"/>
      <c r="BX50" s="142"/>
      <c r="BY50" s="81">
        <f t="shared" ref="BY50:CC50" si="82">countif($D50:$BQ51,"*" &amp; BY$2 &amp; "*")</f>
        <v>15</v>
      </c>
      <c r="BZ50" s="81">
        <f t="shared" si="82"/>
        <v>1</v>
      </c>
      <c r="CA50" s="81">
        <f t="shared" si="82"/>
        <v>1</v>
      </c>
      <c r="CB50" s="81">
        <f t="shared" si="82"/>
        <v>1</v>
      </c>
      <c r="CC50" s="81">
        <f t="shared" si="82"/>
        <v>1</v>
      </c>
      <c r="CE50" s="17"/>
      <c r="CF50" s="17"/>
      <c r="CG50" s="17"/>
      <c r="CH50" s="17"/>
      <c r="CI50" s="17"/>
    </row>
    <row r="51" ht="18.0" customHeight="1">
      <c r="A51" s="96"/>
      <c r="B51" s="151" t="s">
        <v>341</v>
      </c>
      <c r="C51" s="85"/>
      <c r="D51" s="87"/>
      <c r="E51" s="87"/>
      <c r="F51" s="87"/>
      <c r="G51" s="87"/>
      <c r="H51" s="87"/>
      <c r="I51" s="87"/>
      <c r="J51" s="86"/>
      <c r="K51" s="106"/>
      <c r="L51" s="85"/>
      <c r="M51" s="86"/>
      <c r="N51" s="112"/>
      <c r="O51" s="52"/>
      <c r="P51" s="85"/>
      <c r="Q51" s="86"/>
      <c r="T51" s="58"/>
      <c r="U51" s="58"/>
      <c r="V51" s="58"/>
      <c r="W51" s="59"/>
      <c r="X51" s="55"/>
      <c r="Y51" s="85"/>
      <c r="Z51" s="87"/>
      <c r="AA51" s="87"/>
      <c r="AB51" s="87"/>
      <c r="AC51" s="87"/>
      <c r="AD51" s="87"/>
      <c r="AE51" s="87"/>
      <c r="AF51" s="86"/>
      <c r="AG51" s="106"/>
      <c r="AH51" s="85"/>
      <c r="AI51" s="87"/>
      <c r="AJ51" s="87"/>
      <c r="AK51" s="87"/>
      <c r="AL51" s="87"/>
      <c r="AM51" s="87"/>
      <c r="AN51" s="87"/>
      <c r="AO51" s="86"/>
      <c r="AP51" s="106"/>
      <c r="AQ51" s="85"/>
      <c r="AR51" s="86"/>
      <c r="AS51" s="85"/>
      <c r="AT51" s="86"/>
      <c r="AU51" s="603"/>
      <c r="AV51" s="603"/>
      <c r="AW51" s="85"/>
      <c r="AX51" s="86"/>
      <c r="AY51" s="55"/>
      <c r="BH51" s="55"/>
      <c r="BI51" s="89" t="s">
        <v>167</v>
      </c>
      <c r="BJ51" s="46"/>
      <c r="BK51" s="176" t="s">
        <v>177</v>
      </c>
      <c r="BL51" s="46"/>
      <c r="BM51" s="85"/>
      <c r="BN51" s="86"/>
      <c r="BO51" s="85"/>
      <c r="BP51" s="86"/>
      <c r="BQ51" s="55"/>
      <c r="BR51" s="72">
        <f t="shared" ref="BR51:BT51" si="83">countif($D51:$BQ51,BR$2)</f>
        <v>0</v>
      </c>
      <c r="BS51" s="74">
        <f t="shared" si="83"/>
        <v>0</v>
      </c>
      <c r="BT51" s="74">
        <f t="shared" si="83"/>
        <v>0</v>
      </c>
      <c r="BU51" s="112"/>
      <c r="BV51" s="112"/>
      <c r="BW51" s="317">
        <f t="shared" ref="BW51:BX51" si="84">countif($D51:$BQ52,"*" &amp; BW$2 &amp; "*")/2</f>
        <v>1</v>
      </c>
      <c r="BX51" s="317">
        <f t="shared" si="84"/>
        <v>1</v>
      </c>
      <c r="BY51" s="112"/>
      <c r="BZ51" s="112"/>
      <c r="CA51" s="112"/>
      <c r="CB51" s="112"/>
      <c r="CC51" s="112"/>
      <c r="CE51" s="17"/>
      <c r="CF51" s="17"/>
      <c r="CG51" s="17"/>
      <c r="CH51" s="17"/>
      <c r="CI51" s="17"/>
    </row>
    <row r="52">
      <c r="A52" s="96"/>
      <c r="B52" s="489" t="s">
        <v>342</v>
      </c>
      <c r="C52" s="674"/>
      <c r="D52" s="674"/>
      <c r="E52" s="674"/>
      <c r="F52" s="674"/>
      <c r="G52" s="674"/>
      <c r="H52" s="674"/>
      <c r="I52" s="674"/>
      <c r="J52" s="674"/>
      <c r="K52" s="684"/>
      <c r="L52" s="684"/>
      <c r="M52" s="674"/>
      <c r="N52" s="89" t="s">
        <v>368</v>
      </c>
      <c r="O52" s="46"/>
      <c r="P52" s="146" t="s">
        <v>492</v>
      </c>
      <c r="R52" s="89" t="s">
        <v>291</v>
      </c>
      <c r="S52" s="46"/>
      <c r="T52" s="685"/>
      <c r="U52" s="685"/>
      <c r="V52" s="685"/>
      <c r="W52" s="686"/>
      <c r="X52" s="687"/>
      <c r="Y52" s="684"/>
      <c r="Z52" s="674"/>
      <c r="AA52" s="674"/>
      <c r="AB52" s="674"/>
      <c r="AC52" s="674"/>
      <c r="AD52" s="688"/>
      <c r="AE52" s="688"/>
      <c r="AF52" s="688"/>
      <c r="AG52" s="687"/>
      <c r="AH52" s="684"/>
      <c r="AI52" s="674"/>
      <c r="AJ52" s="674"/>
      <c r="AK52" s="674"/>
      <c r="AL52" s="674"/>
      <c r="AM52" s="674"/>
      <c r="AN52" s="674"/>
      <c r="AO52" s="690"/>
      <c r="AP52" s="687"/>
      <c r="AQ52" s="691" t="s">
        <v>1062</v>
      </c>
      <c r="AR52" s="46"/>
      <c r="AS52" s="674"/>
      <c r="AT52" s="674"/>
      <c r="AU52" s="365" t="s">
        <v>533</v>
      </c>
      <c r="AV52" s="46"/>
      <c r="AW52" s="99" t="s">
        <v>396</v>
      </c>
      <c r="AX52" s="286"/>
      <c r="AY52" s="687"/>
      <c r="AZ52" s="161" t="s">
        <v>327</v>
      </c>
      <c r="BA52" s="46"/>
      <c r="BB52" s="89" t="s">
        <v>268</v>
      </c>
      <c r="BC52" s="46"/>
      <c r="BD52" s="546" t="s">
        <v>1136</v>
      </c>
      <c r="BE52" s="46"/>
      <c r="BF52" s="93" t="s">
        <v>1139</v>
      </c>
      <c r="BG52" s="46"/>
      <c r="BH52" s="55"/>
      <c r="BI52" s="85"/>
      <c r="BJ52" s="86"/>
      <c r="BK52" s="87"/>
      <c r="BL52" s="86"/>
      <c r="BM52" s="89" t="s">
        <v>596</v>
      </c>
      <c r="BN52" s="46"/>
      <c r="BO52" s="89" t="s">
        <v>1144</v>
      </c>
      <c r="BP52" s="46"/>
      <c r="BQ52" s="55"/>
      <c r="BR52" s="72">
        <f t="shared" ref="BR52:BT52" si="85">countif($E52:$BQ52,BR$2)</f>
        <v>0</v>
      </c>
      <c r="BS52" s="74">
        <f t="shared" si="85"/>
        <v>0</v>
      </c>
      <c r="BT52" s="74">
        <f t="shared" si="85"/>
        <v>0</v>
      </c>
      <c r="BU52" s="81">
        <f>countif($E52:$BQ53,"*MS (s)*")/2+countif($E52:$BQ53,"*AM2 (s)*")+countif($E52:$BQ53,"*BE2 (s)*")/2+countif($E52:$BQ53,"*LS2 (s)*")</f>
        <v>0</v>
      </c>
      <c r="BV52" s="81">
        <f>countif($E52:$BQ53,"*" &amp; BV$2 &amp; "*")</f>
        <v>0</v>
      </c>
      <c r="BW52" s="142"/>
      <c r="BX52" s="142"/>
      <c r="BY52" s="81">
        <f t="shared" ref="BY52:CC52" si="86">countif($E52:$BQ53,"*" &amp; BY$2 &amp; "*")</f>
        <v>14</v>
      </c>
      <c r="BZ52" s="81">
        <f t="shared" si="86"/>
        <v>1</v>
      </c>
      <c r="CA52" s="81">
        <f t="shared" si="86"/>
        <v>2</v>
      </c>
      <c r="CB52" s="81">
        <f t="shared" si="86"/>
        <v>1</v>
      </c>
      <c r="CC52" s="81">
        <f t="shared" si="86"/>
        <v>1</v>
      </c>
      <c r="CE52" s="17"/>
      <c r="CF52" s="17"/>
      <c r="CG52" s="17"/>
      <c r="CH52" s="17"/>
      <c r="CI52" s="17"/>
    </row>
    <row r="53">
      <c r="A53" s="96"/>
      <c r="B53" s="489" t="s">
        <v>369</v>
      </c>
      <c r="C53" s="674"/>
      <c r="D53" s="674"/>
      <c r="E53" s="674"/>
      <c r="F53" s="674"/>
      <c r="G53" s="674"/>
      <c r="H53" s="674"/>
      <c r="I53" s="674"/>
      <c r="J53" s="674"/>
      <c r="K53" s="684"/>
      <c r="L53" s="684"/>
      <c r="M53" s="674"/>
      <c r="N53" s="85"/>
      <c r="O53" s="86"/>
      <c r="P53" s="112"/>
      <c r="R53" s="85"/>
      <c r="S53" s="86"/>
      <c r="T53" s="685"/>
      <c r="U53" s="685"/>
      <c r="V53" s="685"/>
      <c r="W53" s="686"/>
      <c r="X53" s="687"/>
      <c r="Y53" s="684"/>
      <c r="Z53" s="674"/>
      <c r="AA53" s="674"/>
      <c r="AB53" s="674"/>
      <c r="AC53" s="674"/>
      <c r="AD53" s="688"/>
      <c r="AE53" s="688"/>
      <c r="AF53" s="688"/>
      <c r="AG53" s="687"/>
      <c r="AH53" s="44" t="s">
        <v>167</v>
      </c>
      <c r="AI53" s="46"/>
      <c r="AJ53" s="48" t="s">
        <v>177</v>
      </c>
      <c r="AK53" s="46"/>
      <c r="AL53" s="674"/>
      <c r="AM53" s="674"/>
      <c r="AN53" s="674"/>
      <c r="AO53" s="690"/>
      <c r="AP53" s="687"/>
      <c r="AQ53" s="85"/>
      <c r="AR53" s="86"/>
      <c r="AS53" s="674"/>
      <c r="AT53" s="674"/>
      <c r="AU53" s="85"/>
      <c r="AV53" s="86"/>
      <c r="AW53" s="112"/>
      <c r="AX53" s="696"/>
      <c r="AY53" s="687"/>
      <c r="AZ53" s="85"/>
      <c r="BA53" s="86"/>
      <c r="BB53" s="85"/>
      <c r="BC53" s="86"/>
      <c r="BD53" s="85"/>
      <c r="BE53" s="86"/>
      <c r="BF53" s="85"/>
      <c r="BG53" s="86"/>
      <c r="BH53" s="55"/>
      <c r="BI53" s="684"/>
      <c r="BJ53" s="674"/>
      <c r="BK53" s="674"/>
      <c r="BL53" s="674"/>
      <c r="BM53" s="85"/>
      <c r="BN53" s="86"/>
      <c r="BO53" s="85"/>
      <c r="BP53" s="86"/>
      <c r="BQ53" s="55"/>
      <c r="BR53" s="72">
        <f t="shared" ref="BR53:BT53" si="87">countif($E53:$BQ53,BR$2)</f>
        <v>0</v>
      </c>
      <c r="BS53" s="74">
        <f t="shared" si="87"/>
        <v>0</v>
      </c>
      <c r="BT53" s="74">
        <f t="shared" si="87"/>
        <v>0</v>
      </c>
      <c r="BU53" s="112"/>
      <c r="BV53" s="112"/>
      <c r="BW53" s="317">
        <f t="shared" ref="BW53:BX53" si="88">countif($D53:$BQ54,"*" &amp; BW$2 &amp; "*")/2</f>
        <v>1</v>
      </c>
      <c r="BX53" s="317">
        <f t="shared" si="88"/>
        <v>1</v>
      </c>
      <c r="BY53" s="112"/>
      <c r="BZ53" s="112"/>
      <c r="CA53" s="112"/>
      <c r="CB53" s="112"/>
      <c r="CC53" s="112"/>
      <c r="CD53" s="36"/>
      <c r="CI53" s="17"/>
    </row>
    <row r="54">
      <c r="A54" s="96"/>
      <c r="B54" s="151" t="s">
        <v>375</v>
      </c>
      <c r="C54" s="52"/>
      <c r="D54" s="52"/>
      <c r="E54" s="52"/>
      <c r="F54" s="52"/>
      <c r="G54" s="52"/>
      <c r="H54" s="52"/>
      <c r="I54" s="52"/>
      <c r="J54" s="52"/>
      <c r="K54" s="585"/>
      <c r="L54" s="56"/>
      <c r="M54" s="52"/>
      <c r="N54" s="52"/>
      <c r="O54" s="146" t="s">
        <v>492</v>
      </c>
      <c r="Q54" s="52"/>
      <c r="R54" s="146" t="s">
        <v>1206</v>
      </c>
      <c r="S54" s="52"/>
      <c r="T54" s="58"/>
      <c r="U54" s="58"/>
      <c r="V54" s="58"/>
      <c r="W54" s="59"/>
      <c r="X54" s="55"/>
      <c r="Y54" s="56"/>
      <c r="Z54" s="52"/>
      <c r="AA54" s="52"/>
      <c r="AB54" s="52"/>
      <c r="AC54" s="52"/>
      <c r="AG54" s="55"/>
      <c r="AH54" s="85"/>
      <c r="AI54" s="86"/>
      <c r="AJ54" s="87"/>
      <c r="AK54" s="86"/>
      <c r="AL54" s="52"/>
      <c r="AM54" s="52"/>
      <c r="AN54" s="52"/>
      <c r="AO54" s="264"/>
      <c r="AP54" s="55"/>
      <c r="AQ54" s="602"/>
      <c r="AR54" s="603"/>
      <c r="AS54" s="603"/>
      <c r="AT54" s="603"/>
      <c r="AU54" s="603"/>
      <c r="AV54" s="603"/>
      <c r="AW54" s="603"/>
      <c r="AX54" s="89" t="s">
        <v>396</v>
      </c>
      <c r="AY54" s="55"/>
      <c r="AZ54" s="203" t="s">
        <v>322</v>
      </c>
      <c r="BA54" s="46"/>
      <c r="BB54" s="123" t="s">
        <v>316</v>
      </c>
      <c r="BC54" s="46"/>
      <c r="BD54" s="161" t="s">
        <v>330</v>
      </c>
      <c r="BE54" s="46"/>
      <c r="BF54" s="89" t="s">
        <v>319</v>
      </c>
      <c r="BG54" s="46"/>
      <c r="BH54" s="55"/>
      <c r="BI54" s="589"/>
      <c r="BJ54" s="590"/>
      <c r="BK54" s="590"/>
      <c r="BL54" s="590"/>
      <c r="BM54" s="590"/>
      <c r="BN54" s="590"/>
      <c r="BO54" s="590"/>
      <c r="BP54" s="590"/>
      <c r="BQ54" s="55"/>
      <c r="BR54" s="72">
        <f t="shared" ref="BR54:BT54" si="89">countif($D54:$BQ54,BR$2)</f>
        <v>0</v>
      </c>
      <c r="BS54" s="74">
        <f t="shared" si="89"/>
        <v>0</v>
      </c>
      <c r="BT54" s="74">
        <f t="shared" si="89"/>
        <v>0</v>
      </c>
      <c r="BU54" s="81">
        <f>countif($D54:$BQ55,"*MS (s)*")/2+countif($D54:$BQ55,"*AM2 (s)*")+countif($D54:$BQ55,"*BE2 (s)*")/2+countif($D54:$BQ55,"*LS2 (s)*")</f>
        <v>0</v>
      </c>
      <c r="BV54" s="81">
        <f>countif($D54:$BQ55,"*" &amp; BV$2 &amp; "*")</f>
        <v>0</v>
      </c>
      <c r="BW54" s="142"/>
      <c r="BX54" s="142"/>
      <c r="BY54" s="81">
        <f t="shared" ref="BY54:CC54" si="90">countif($D54:$BQ55,"*" &amp; BY$2 &amp; "*")</f>
        <v>7</v>
      </c>
      <c r="BZ54" s="81">
        <f t="shared" si="90"/>
        <v>1</v>
      </c>
      <c r="CA54" s="81">
        <f t="shared" si="90"/>
        <v>1</v>
      </c>
      <c r="CB54" s="81">
        <f t="shared" si="90"/>
        <v>1</v>
      </c>
      <c r="CC54" s="81">
        <f t="shared" si="90"/>
        <v>1</v>
      </c>
      <c r="CI54" s="17"/>
    </row>
    <row r="55">
      <c r="A55" s="96"/>
      <c r="B55" s="151" t="s">
        <v>392</v>
      </c>
      <c r="C55" s="52"/>
      <c r="D55" s="52"/>
      <c r="E55" s="52"/>
      <c r="F55" s="52"/>
      <c r="G55" s="52"/>
      <c r="H55" s="52"/>
      <c r="I55" s="52"/>
      <c r="J55" s="52"/>
      <c r="K55" s="585"/>
      <c r="L55" s="56"/>
      <c r="M55" s="52"/>
      <c r="N55" s="52"/>
      <c r="O55" s="112"/>
      <c r="Q55" s="52"/>
      <c r="R55" s="112"/>
      <c r="S55" s="52"/>
      <c r="T55" s="58"/>
      <c r="U55" s="58"/>
      <c r="V55" s="58"/>
      <c r="W55" s="59"/>
      <c r="X55" s="55"/>
      <c r="Y55" s="56"/>
      <c r="Z55" s="52"/>
      <c r="AA55" s="52"/>
      <c r="AB55" s="52"/>
      <c r="AC55" s="52"/>
      <c r="AG55" s="55"/>
      <c r="AH55" s="56"/>
      <c r="AI55" s="52"/>
      <c r="AJ55" s="52"/>
      <c r="AK55" s="52"/>
      <c r="AL55" s="52"/>
      <c r="AM55" s="52"/>
      <c r="AN55" s="52"/>
      <c r="AO55" s="264"/>
      <c r="AP55" s="55"/>
      <c r="AQ55" s="713"/>
      <c r="AR55" s="715"/>
      <c r="AS55" s="715"/>
      <c r="AT55" s="715"/>
      <c r="AU55" s="715"/>
      <c r="AV55" s="715"/>
      <c r="AW55" s="715"/>
      <c r="AX55" s="85"/>
      <c r="AY55" s="55"/>
      <c r="AZ55" s="85"/>
      <c r="BA55" s="86"/>
      <c r="BB55" s="85"/>
      <c r="BC55" s="86"/>
      <c r="BD55" s="85"/>
      <c r="BE55" s="86"/>
      <c r="BF55" s="85"/>
      <c r="BG55" s="86"/>
      <c r="BH55" s="55"/>
      <c r="BI55" s="589"/>
      <c r="BJ55" s="590"/>
      <c r="BK55" s="590"/>
      <c r="BL55" s="590"/>
      <c r="BM55" s="590"/>
      <c r="BN55" s="590"/>
      <c r="BO55" s="590"/>
      <c r="BP55" s="590"/>
      <c r="BQ55" s="55"/>
      <c r="BR55" s="72">
        <f t="shared" ref="BR55:BT55" si="91">countif($D55:$BQ55,BR$2)</f>
        <v>0</v>
      </c>
      <c r="BS55" s="74">
        <f t="shared" si="91"/>
        <v>0</v>
      </c>
      <c r="BT55" s="74">
        <f t="shared" si="91"/>
        <v>0</v>
      </c>
      <c r="BU55" s="112"/>
      <c r="BV55" s="112"/>
      <c r="BW55" s="317">
        <f t="shared" ref="BW55:BX55" si="92">countif($D55:$BQ56,"*" &amp; BW$2 &amp; "*")/2</f>
        <v>0</v>
      </c>
      <c r="BX55" s="317">
        <f t="shared" si="92"/>
        <v>0</v>
      </c>
      <c r="BY55" s="112"/>
      <c r="BZ55" s="112"/>
      <c r="CA55" s="112"/>
      <c r="CB55" s="112"/>
      <c r="CC55" s="112"/>
      <c r="CD55" s="36"/>
      <c r="CI55" s="17"/>
    </row>
    <row r="56">
      <c r="A56" s="96"/>
      <c r="B56" s="151" t="s">
        <v>398</v>
      </c>
      <c r="C56" s="277"/>
      <c r="D56" s="277"/>
      <c r="E56" s="277"/>
      <c r="F56" s="277"/>
      <c r="G56" s="277"/>
      <c r="H56" s="277"/>
      <c r="I56" s="277"/>
      <c r="J56" s="277"/>
      <c r="K56" s="278"/>
      <c r="L56" s="277"/>
      <c r="M56" s="277"/>
      <c r="N56" s="277"/>
      <c r="O56" s="277"/>
      <c r="P56" s="277"/>
      <c r="Q56" s="277"/>
      <c r="R56" s="277"/>
      <c r="S56" s="277"/>
      <c r="T56" s="277"/>
      <c r="U56" s="277"/>
      <c r="V56" s="277"/>
      <c r="W56" s="277"/>
      <c r="X56" s="278"/>
      <c r="Y56" s="277"/>
      <c r="Z56" s="277"/>
      <c r="AA56" s="277"/>
      <c r="AB56" s="277"/>
      <c r="AC56" s="277"/>
      <c r="AD56" s="277"/>
      <c r="AE56" s="277"/>
      <c r="AF56" s="277"/>
      <c r="AG56" s="278"/>
      <c r="AH56" s="277"/>
      <c r="AI56" s="277"/>
      <c r="AJ56" s="277"/>
      <c r="AK56" s="277"/>
      <c r="AL56" s="277"/>
      <c r="AM56" s="277"/>
      <c r="AN56" s="277"/>
      <c r="AO56" s="277"/>
      <c r="AP56" s="278"/>
      <c r="AQ56" s="277"/>
      <c r="AR56" s="277"/>
      <c r="AS56" s="277"/>
      <c r="AT56" s="277"/>
      <c r="AU56" s="277"/>
      <c r="AV56" s="277"/>
      <c r="AW56" s="277"/>
      <c r="AX56" s="277"/>
      <c r="AY56" s="278"/>
      <c r="AZ56" s="280"/>
      <c r="BA56" s="280"/>
      <c r="BB56" s="280"/>
      <c r="BC56" s="280"/>
      <c r="BD56" s="280"/>
      <c r="BE56" s="280"/>
      <c r="BF56" s="280"/>
      <c r="BG56" s="280"/>
      <c r="BH56" s="278"/>
      <c r="BI56" s="725"/>
      <c r="BJ56" s="725"/>
      <c r="BK56" s="725"/>
      <c r="BL56" s="725"/>
      <c r="BM56" s="725"/>
      <c r="BN56" s="725"/>
      <c r="BO56" s="725"/>
      <c r="BP56" s="725"/>
      <c r="BQ56" s="62"/>
      <c r="BR56" s="72">
        <f t="shared" ref="BR56:BT56" si="93">countif($D56:$BQ56,BR$2)</f>
        <v>0</v>
      </c>
      <c r="BS56" s="74">
        <f t="shared" si="93"/>
        <v>0</v>
      </c>
      <c r="BT56" s="74">
        <f t="shared" si="93"/>
        <v>0</v>
      </c>
      <c r="BU56" s="81">
        <f>countif($D56:$BQ57,"*MS (s)*")/2+countif($D56:$BQ57,"*AM2 (s)*")+countif($D56:$BQ57,"*BE2 (s)*")/2+countif($D56:$BQ57,"*LS2 (s)*")</f>
        <v>0</v>
      </c>
      <c r="BV56" s="81">
        <f>countif($D56:$BQ57,"*" &amp; BV$2 &amp; "*")</f>
        <v>0</v>
      </c>
      <c r="BW56" s="142"/>
      <c r="BX56" s="142"/>
      <c r="BY56" s="81">
        <f t="shared" ref="BY56:CC56" si="94">countif($D56:$BQ57,"*" &amp; BY$2 &amp; "*")</f>
        <v>0</v>
      </c>
      <c r="BZ56" s="81">
        <f t="shared" si="94"/>
        <v>0</v>
      </c>
      <c r="CA56" s="81">
        <f t="shared" si="94"/>
        <v>0</v>
      </c>
      <c r="CB56" s="81">
        <f t="shared" si="94"/>
        <v>0</v>
      </c>
      <c r="CC56" s="81">
        <f t="shared" si="94"/>
        <v>0</v>
      </c>
      <c r="CD56" s="36"/>
      <c r="CI56" s="17"/>
    </row>
    <row r="57">
      <c r="A57" s="96"/>
      <c r="B57" s="151" t="s">
        <v>408</v>
      </c>
      <c r="C57" s="277"/>
      <c r="D57" s="277"/>
      <c r="E57" s="277"/>
      <c r="F57" s="277"/>
      <c r="G57" s="277"/>
      <c r="H57" s="277"/>
      <c r="I57" s="290"/>
      <c r="J57" s="294"/>
      <c r="K57" s="292"/>
      <c r="L57" s="277"/>
      <c r="M57" s="289"/>
      <c r="N57" s="277"/>
      <c r="O57" s="290"/>
      <c r="P57" s="277"/>
      <c r="Q57" s="289"/>
      <c r="R57" s="277"/>
      <c r="S57" s="290"/>
      <c r="T57" s="277"/>
      <c r="U57" s="277"/>
      <c r="V57" s="277"/>
      <c r="W57" s="277"/>
      <c r="X57" s="292"/>
      <c r="Y57" s="277"/>
      <c r="Z57" s="289"/>
      <c r="AA57" s="289"/>
      <c r="AB57" s="277"/>
      <c r="AC57" s="277"/>
      <c r="AD57" s="290"/>
      <c r="AE57" s="290"/>
      <c r="AF57" s="290"/>
      <c r="AG57" s="292"/>
      <c r="AH57" s="277"/>
      <c r="AI57" s="289"/>
      <c r="AJ57" s="289"/>
      <c r="AK57" s="277"/>
      <c r="AL57" s="277"/>
      <c r="AM57" s="290"/>
      <c r="AN57" s="290"/>
      <c r="AO57" s="290"/>
      <c r="AP57" s="292"/>
      <c r="AQ57" s="293"/>
      <c r="AR57" s="293"/>
      <c r="AS57" s="293"/>
      <c r="AT57" s="293"/>
      <c r="AU57" s="293"/>
      <c r="AV57" s="293"/>
      <c r="AW57" s="293"/>
      <c r="AX57" s="294"/>
      <c r="AY57" s="292"/>
      <c r="AZ57" s="295"/>
      <c r="BA57" s="296"/>
      <c r="BB57" s="295"/>
      <c r="BC57" s="296"/>
      <c r="BD57" s="295"/>
      <c r="BE57" s="295"/>
      <c r="BF57" s="295"/>
      <c r="BG57" s="295"/>
      <c r="BH57" s="292"/>
      <c r="BI57" s="734"/>
      <c r="BJ57" s="734"/>
      <c r="BK57" s="734"/>
      <c r="BL57" s="734"/>
      <c r="BM57" s="734"/>
      <c r="BN57" s="734"/>
      <c r="BO57" s="734"/>
      <c r="BP57" s="734"/>
      <c r="BQ57" s="298"/>
      <c r="BR57" s="72">
        <f t="shared" ref="BR57:BT57" si="95">countif($D57:$BQ57,BR$2)</f>
        <v>0</v>
      </c>
      <c r="BS57" s="74">
        <f t="shared" si="95"/>
        <v>0</v>
      </c>
      <c r="BT57" s="74">
        <f t="shared" si="95"/>
        <v>0</v>
      </c>
      <c r="BU57" s="112"/>
      <c r="BV57" s="112"/>
      <c r="BW57" s="301"/>
      <c r="BX57" s="302"/>
      <c r="BY57" s="112"/>
      <c r="BZ57" s="112"/>
      <c r="CA57" s="112"/>
      <c r="CB57" s="112"/>
      <c r="CC57" s="112"/>
      <c r="CI57" s="17"/>
    </row>
    <row r="58" ht="1.5" customHeight="1">
      <c r="A58" s="6"/>
      <c r="B58" s="304"/>
      <c r="C58" s="247"/>
      <c r="D58" s="247"/>
      <c r="E58" s="248"/>
      <c r="F58" s="248"/>
      <c r="G58" s="248"/>
      <c r="H58" s="248"/>
      <c r="I58" s="248"/>
      <c r="J58" s="249"/>
      <c r="K58" s="305"/>
      <c r="L58" s="247"/>
      <c r="M58" s="248"/>
      <c r="N58" s="248"/>
      <c r="O58" s="248"/>
      <c r="P58" s="248"/>
      <c r="Q58" s="248"/>
      <c r="R58" s="248"/>
      <c r="S58" s="254"/>
      <c r="T58" s="248"/>
      <c r="U58" s="248"/>
      <c r="V58" s="248"/>
      <c r="W58" s="248"/>
      <c r="X58" s="305"/>
      <c r="Y58" s="247"/>
      <c r="Z58" s="248"/>
      <c r="AA58" s="248"/>
      <c r="AB58" s="248"/>
      <c r="AC58" s="248"/>
      <c r="AD58" s="248"/>
      <c r="AE58" s="248"/>
      <c r="AF58" s="248"/>
      <c r="AG58" s="305"/>
      <c r="AH58" s="247"/>
      <c r="AI58" s="248"/>
      <c r="AJ58" s="248"/>
      <c r="AK58" s="248"/>
      <c r="AL58" s="248"/>
      <c r="AM58" s="248"/>
      <c r="AN58" s="248"/>
      <c r="AO58" s="248"/>
      <c r="AP58" s="305"/>
      <c r="AQ58" s="247"/>
      <c r="AR58" s="248"/>
      <c r="AS58" s="248"/>
      <c r="AT58" s="248"/>
      <c r="AU58" s="248"/>
      <c r="AV58" s="248"/>
      <c r="AW58" s="248"/>
      <c r="AX58" s="248"/>
      <c r="AY58" s="305"/>
      <c r="AZ58" s="247"/>
      <c r="BA58" s="248"/>
      <c r="BB58" s="248"/>
      <c r="BC58" s="248"/>
      <c r="BD58" s="307"/>
      <c r="BE58" s="307"/>
      <c r="BF58" s="307"/>
      <c r="BG58" s="307"/>
      <c r="BH58" s="305"/>
      <c r="BI58" s="247"/>
      <c r="BJ58" s="248"/>
      <c r="BK58" s="248"/>
      <c r="BL58" s="248"/>
      <c r="BM58" s="248"/>
      <c r="BN58" s="248"/>
      <c r="BO58" s="249"/>
      <c r="BP58" s="249"/>
      <c r="BQ58" s="305"/>
      <c r="BR58" s="254"/>
      <c r="BS58" s="255"/>
      <c r="BT58" s="255"/>
      <c r="BU58" s="255"/>
      <c r="BV58" s="310"/>
      <c r="BW58" s="310"/>
      <c r="BX58" s="310"/>
      <c r="BY58" s="255"/>
      <c r="BZ58" s="739"/>
      <c r="CA58" s="739"/>
      <c r="CB58" s="739"/>
      <c r="CC58" s="739"/>
      <c r="CI58" s="17"/>
    </row>
    <row r="59">
      <c r="A59" s="41" t="s">
        <v>828</v>
      </c>
      <c r="B59" s="42">
        <v>42956.0</v>
      </c>
      <c r="C59" s="52"/>
      <c r="D59" s="70"/>
      <c r="E59" s="52"/>
      <c r="F59" s="70"/>
      <c r="G59" s="52"/>
      <c r="H59" s="70"/>
      <c r="I59" s="70"/>
      <c r="J59" s="70"/>
      <c r="K59" s="55"/>
      <c r="L59" s="52"/>
      <c r="M59" s="70"/>
      <c r="N59" s="52"/>
      <c r="O59" s="70"/>
      <c r="P59" s="52"/>
      <c r="Q59" s="70"/>
      <c r="R59" s="70"/>
      <c r="S59" s="740"/>
      <c r="T59" s="58"/>
      <c r="U59" s="58"/>
      <c r="V59" s="58"/>
      <c r="W59" s="59"/>
      <c r="X59" s="55"/>
      <c r="Y59" s="741"/>
      <c r="Z59" s="742"/>
      <c r="AA59" s="742"/>
      <c r="AB59" s="742"/>
      <c r="AC59" s="742"/>
      <c r="AD59" s="742"/>
      <c r="AE59" s="742"/>
      <c r="AF59" s="742"/>
      <c r="AG59" s="275"/>
      <c r="AH59" s="56"/>
      <c r="AI59" s="52"/>
      <c r="AJ59" s="52"/>
      <c r="AK59" s="52"/>
      <c r="AL59" s="52"/>
      <c r="AM59" s="52"/>
      <c r="AN59" s="52"/>
      <c r="AO59" s="52"/>
      <c r="AP59" s="275"/>
      <c r="AQ59" s="56"/>
      <c r="AR59" s="52"/>
      <c r="AS59" s="52"/>
      <c r="AT59" s="52"/>
      <c r="AU59" s="52"/>
      <c r="AV59" s="52"/>
      <c r="AW59" s="52"/>
      <c r="AX59" s="52"/>
      <c r="AY59" s="55"/>
      <c r="AZ59" s="52"/>
      <c r="BA59" s="70"/>
      <c r="BB59" s="52"/>
      <c r="BC59" s="70"/>
      <c r="BD59" s="52"/>
      <c r="BE59" s="52"/>
      <c r="BF59" s="52"/>
      <c r="BG59" s="52"/>
      <c r="BH59" s="55"/>
      <c r="BI59" s="743"/>
      <c r="BJ59" s="744"/>
      <c r="BK59" s="744"/>
      <c r="BL59" s="744"/>
      <c r="BM59" s="744"/>
      <c r="BN59" s="744"/>
      <c r="BO59" s="744"/>
      <c r="BP59" s="744"/>
      <c r="BQ59" s="55"/>
      <c r="BR59" s="72"/>
      <c r="BS59" s="74"/>
      <c r="BT59" s="74"/>
      <c r="BU59" s="74"/>
      <c r="BV59" s="74"/>
      <c r="BW59" s="317">
        <f t="shared" ref="BW59:BX59" si="96">countif($D59:$BQ60,"*" &amp; BW$2 &amp; "*")/2</f>
        <v>0</v>
      </c>
      <c r="BX59" s="317">
        <f t="shared" si="96"/>
        <v>0</v>
      </c>
      <c r="BY59" s="74"/>
      <c r="BZ59" s="74"/>
      <c r="CA59" s="74"/>
      <c r="CB59" s="74"/>
      <c r="CC59" s="74"/>
      <c r="CD59" s="746"/>
      <c r="CE59" s="17"/>
      <c r="CF59" s="17"/>
      <c r="CG59" s="17"/>
      <c r="CI59" s="17"/>
    </row>
    <row r="60">
      <c r="A60" s="96"/>
      <c r="B60" s="40">
        <v>42623.0</v>
      </c>
      <c r="C60" s="101" t="s">
        <v>1252</v>
      </c>
      <c r="D60" s="61"/>
      <c r="E60" s="61"/>
      <c r="F60" s="61"/>
      <c r="G60" s="61"/>
      <c r="H60" s="61"/>
      <c r="I60" s="61"/>
      <c r="J60" s="46"/>
      <c r="K60" s="192" t="s">
        <v>132</v>
      </c>
      <c r="L60" s="114" t="s">
        <v>1256</v>
      </c>
      <c r="M60" s="61"/>
      <c r="N60" s="61"/>
      <c r="O60" s="61"/>
      <c r="P60" s="61"/>
      <c r="Q60" s="61"/>
      <c r="R60" s="61"/>
      <c r="S60" s="46"/>
      <c r="T60" s="322"/>
      <c r="U60" s="322"/>
      <c r="V60" s="322"/>
      <c r="W60" s="324"/>
      <c r="X60" s="154" t="s">
        <v>129</v>
      </c>
      <c r="Y60" s="123" t="s">
        <v>1259</v>
      </c>
      <c r="Z60" s="46"/>
      <c r="AA60" s="123" t="s">
        <v>645</v>
      </c>
      <c r="AB60" s="46"/>
      <c r="AC60" s="123" t="s">
        <v>1260</v>
      </c>
      <c r="AD60" s="46"/>
      <c r="AE60" s="99" t="s">
        <v>332</v>
      </c>
      <c r="AF60" s="99" t="s">
        <v>333</v>
      </c>
      <c r="AG60" s="62"/>
      <c r="AJ60" s="161" t="s">
        <v>327</v>
      </c>
      <c r="AK60" s="46"/>
      <c r="AL60" s="123" t="s">
        <v>596</v>
      </c>
      <c r="AM60" s="46"/>
      <c r="AN60" s="52"/>
      <c r="AO60" s="52"/>
      <c r="AP60" s="275"/>
      <c r="AQ60" s="101" t="s">
        <v>1261</v>
      </c>
      <c r="AR60" s="61"/>
      <c r="AS60" s="61"/>
      <c r="AT60" s="61"/>
      <c r="AU60" s="61"/>
      <c r="AV60" s="61"/>
      <c r="AW60" s="61"/>
      <c r="AX60" s="46"/>
      <c r="AY60" s="191" t="s">
        <v>140</v>
      </c>
      <c r="AZ60" s="114" t="s">
        <v>1262</v>
      </c>
      <c r="BA60" s="61"/>
      <c r="BB60" s="61"/>
      <c r="BC60" s="61"/>
      <c r="BD60" s="61"/>
      <c r="BE60" s="61"/>
      <c r="BF60" s="61"/>
      <c r="BG60" s="46"/>
      <c r="BH60" s="191" t="s">
        <v>130</v>
      </c>
      <c r="BI60" s="743"/>
      <c r="BJ60" s="744"/>
      <c r="BK60" s="744"/>
      <c r="BL60" s="744"/>
      <c r="BO60" s="89" t="s">
        <v>492</v>
      </c>
      <c r="BP60" s="46"/>
      <c r="BQ60" s="55"/>
      <c r="BR60" s="72">
        <f t="shared" ref="BR60:BT60" si="97">countif($K60:$BQ60,BR$2)</f>
        <v>1</v>
      </c>
      <c r="BS60" s="74">
        <f t="shared" si="97"/>
        <v>1</v>
      </c>
      <c r="BT60" s="74">
        <f t="shared" si="97"/>
        <v>1</v>
      </c>
      <c r="BU60" s="81">
        <f>countif($K60:$BQ61,"*MS (s)*")/2+countif($K60:$BQ61,"*AM2 (s)*")+countif($K60:$BQ61,"*BE2 (s)*")/2+countif($K60:$BQ61,"*LS2 (s)*")</f>
        <v>0</v>
      </c>
      <c r="BV60" s="81">
        <f>countif($K60:$BQ61,"*" &amp; BV$2 &amp; "*")</f>
        <v>0</v>
      </c>
      <c r="BW60" s="142"/>
      <c r="BX60" s="142"/>
      <c r="BY60" s="81">
        <f t="shared" ref="BY60:CC60" si="98">countif($K60:$BQ61,"*" &amp; BY$2 &amp; "*")</f>
        <v>15</v>
      </c>
      <c r="BZ60" s="81">
        <f t="shared" si="98"/>
        <v>2</v>
      </c>
      <c r="CA60" s="81">
        <f t="shared" si="98"/>
        <v>1</v>
      </c>
      <c r="CB60" s="81">
        <f t="shared" si="98"/>
        <v>1</v>
      </c>
      <c r="CC60" s="81">
        <f t="shared" si="98"/>
        <v>0</v>
      </c>
      <c r="CD60" s="746" t="s">
        <v>827</v>
      </c>
      <c r="CE60" s="17"/>
      <c r="CF60" s="17"/>
      <c r="CG60" s="17"/>
      <c r="CI60" s="17"/>
    </row>
    <row r="61">
      <c r="A61" s="96"/>
      <c r="B61" s="97">
        <v>42654.0</v>
      </c>
      <c r="C61" s="85"/>
      <c r="D61" s="87"/>
      <c r="E61" s="87"/>
      <c r="F61" s="87"/>
      <c r="G61" s="87"/>
      <c r="H61" s="87"/>
      <c r="I61" s="87"/>
      <c r="J61" s="86"/>
      <c r="K61" s="106"/>
      <c r="L61" s="85"/>
      <c r="M61" s="87"/>
      <c r="N61" s="87"/>
      <c r="O61" s="87"/>
      <c r="P61" s="87"/>
      <c r="Q61" s="87"/>
      <c r="R61" s="87"/>
      <c r="S61" s="86"/>
      <c r="T61" s="332"/>
      <c r="U61" s="332"/>
      <c r="V61" s="332"/>
      <c r="W61" s="333"/>
      <c r="X61" s="106"/>
      <c r="Y61" s="85"/>
      <c r="Z61" s="86"/>
      <c r="AA61" s="85"/>
      <c r="AB61" s="86"/>
      <c r="AC61" s="85"/>
      <c r="AD61" s="86"/>
      <c r="AE61" s="112"/>
      <c r="AF61" s="112"/>
      <c r="AG61" s="62"/>
      <c r="AJ61" s="85"/>
      <c r="AK61" s="86"/>
      <c r="AL61" s="85"/>
      <c r="AM61" s="86"/>
      <c r="AN61" s="52"/>
      <c r="AO61" s="52"/>
      <c r="AP61" s="275"/>
      <c r="AQ61" s="85"/>
      <c r="AR61" s="87"/>
      <c r="AS61" s="87"/>
      <c r="AT61" s="87"/>
      <c r="AU61" s="87"/>
      <c r="AV61" s="87"/>
      <c r="AW61" s="87"/>
      <c r="AX61" s="86"/>
      <c r="AY61" s="106"/>
      <c r="AZ61" s="85"/>
      <c r="BA61" s="87"/>
      <c r="BB61" s="87"/>
      <c r="BC61" s="87"/>
      <c r="BD61" s="87"/>
      <c r="BE61" s="87"/>
      <c r="BF61" s="87"/>
      <c r="BG61" s="86"/>
      <c r="BH61" s="106"/>
      <c r="BI61" s="743"/>
      <c r="BJ61" s="744"/>
      <c r="BK61" s="744"/>
      <c r="BL61" s="744"/>
      <c r="BO61" s="85"/>
      <c r="BP61" s="86"/>
      <c r="BQ61" s="55"/>
      <c r="BR61" s="72">
        <f t="shared" ref="BR61:BT61" si="99">countif($K61:$BQ61,BR$2)</f>
        <v>0</v>
      </c>
      <c r="BS61" s="74">
        <f t="shared" si="99"/>
        <v>0</v>
      </c>
      <c r="BT61" s="74">
        <f t="shared" si="99"/>
        <v>0</v>
      </c>
      <c r="BU61" s="112"/>
      <c r="BV61" s="112"/>
      <c r="BW61" s="317">
        <f t="shared" ref="BW61:BX61" si="100">countif($D61:$BQ62,"*" &amp; BW$2 &amp; "*")/2</f>
        <v>0</v>
      </c>
      <c r="BX61" s="317">
        <f t="shared" si="100"/>
        <v>0</v>
      </c>
      <c r="BY61" s="112"/>
      <c r="BZ61" s="112"/>
      <c r="CA61" s="112"/>
      <c r="CB61" s="112"/>
      <c r="CC61" s="112"/>
      <c r="CD61" s="532"/>
      <c r="CE61" s="46"/>
      <c r="CF61" s="533"/>
      <c r="CG61" s="46"/>
      <c r="CI61" s="17"/>
    </row>
    <row r="62">
      <c r="A62" s="96"/>
      <c r="B62" s="97">
        <v>42686.0</v>
      </c>
      <c r="C62" s="101" t="s">
        <v>1285</v>
      </c>
      <c r="D62" s="61"/>
      <c r="E62" s="61"/>
      <c r="F62" s="61"/>
      <c r="G62" s="61"/>
      <c r="H62" s="61"/>
      <c r="I62" s="61"/>
      <c r="J62" s="46"/>
      <c r="K62" s="192" t="s">
        <v>132</v>
      </c>
      <c r="L62" s="114" t="s">
        <v>1286</v>
      </c>
      <c r="M62" s="61"/>
      <c r="N62" s="61"/>
      <c r="O62" s="61"/>
      <c r="P62" s="61"/>
      <c r="Q62" s="61"/>
      <c r="R62" s="61"/>
      <c r="S62" s="46"/>
      <c r="T62" s="332"/>
      <c r="U62" s="332"/>
      <c r="V62" s="332"/>
      <c r="W62" s="333"/>
      <c r="X62" s="154" t="s">
        <v>129</v>
      </c>
      <c r="Y62" s="123" t="s">
        <v>1288</v>
      </c>
      <c r="Z62" s="46"/>
      <c r="AA62" s="123" t="s">
        <v>1290</v>
      </c>
      <c r="AB62" s="46"/>
      <c r="AC62" s="99" t="s">
        <v>332</v>
      </c>
      <c r="AD62" s="99" t="s">
        <v>333</v>
      </c>
      <c r="AE62" s="161" t="s">
        <v>1292</v>
      </c>
      <c r="AF62" s="46"/>
      <c r="AG62" s="62"/>
      <c r="AH62" s="123" t="s">
        <v>1294</v>
      </c>
      <c r="AI62" s="46"/>
      <c r="AJ62" s="123" t="s">
        <v>1296</v>
      </c>
      <c r="AK62" s="46"/>
      <c r="AL62" s="161" t="s">
        <v>1298</v>
      </c>
      <c r="AM62" s="46"/>
      <c r="AN62" s="123" t="s">
        <v>596</v>
      </c>
      <c r="AO62" s="46"/>
      <c r="AP62" s="275"/>
      <c r="AQ62" s="337" t="s">
        <v>1301</v>
      </c>
      <c r="AX62" s="106"/>
      <c r="AY62" s="191" t="s">
        <v>140</v>
      </c>
      <c r="AZ62" s="166" t="s">
        <v>1305</v>
      </c>
      <c r="BG62" s="106"/>
      <c r="BH62" s="191" t="s">
        <v>130</v>
      </c>
      <c r="BI62" s="161" t="s">
        <v>327</v>
      </c>
      <c r="BJ62" s="46"/>
      <c r="BK62" s="744"/>
      <c r="BL62" s="744"/>
      <c r="BM62" s="89" t="s">
        <v>492</v>
      </c>
      <c r="BN62" s="46"/>
      <c r="BO62" s="161" t="s">
        <v>1311</v>
      </c>
      <c r="BP62" s="46"/>
      <c r="BQ62" s="55"/>
      <c r="BR62" s="72">
        <f t="shared" ref="BR62:BT62" si="101">countif($K62:$BQ62,BR$2)</f>
        <v>1</v>
      </c>
      <c r="BS62" s="74">
        <f t="shared" si="101"/>
        <v>1</v>
      </c>
      <c r="BT62" s="74">
        <f t="shared" si="101"/>
        <v>1</v>
      </c>
      <c r="BU62" s="81">
        <f>countif($K62:$BQ63,"*MS (s)*")/2+countif($K62:$BQ63,"*AM2 (s)*")+countif($K62:$BQ63,"*BE2 (s)*")/2+countif($K62:$BQ63,"*LS2 (s)*")</f>
        <v>0</v>
      </c>
      <c r="BV62" s="81">
        <f>countif($K62:$BQ63,"*" &amp; BV$2 &amp; "*")</f>
        <v>0</v>
      </c>
      <c r="BW62" s="142"/>
      <c r="BX62" s="142"/>
      <c r="BY62" s="81">
        <f t="shared" ref="BY62:CC62" si="102">countif($K62:$BQ63,"*" &amp; BY$2 &amp; "*")</f>
        <v>19</v>
      </c>
      <c r="BZ62" s="81">
        <f t="shared" si="102"/>
        <v>1</v>
      </c>
      <c r="CA62" s="81">
        <f t="shared" si="102"/>
        <v>2</v>
      </c>
      <c r="CB62" s="81">
        <f t="shared" si="102"/>
        <v>1</v>
      </c>
      <c r="CC62" s="81">
        <f t="shared" si="102"/>
        <v>2</v>
      </c>
      <c r="CD62" s="142"/>
      <c r="CE62" s="106"/>
      <c r="CF62" s="142"/>
      <c r="CG62" s="106"/>
      <c r="CI62" s="17"/>
    </row>
    <row r="63">
      <c r="A63" s="96"/>
      <c r="B63" s="97">
        <v>42717.0</v>
      </c>
      <c r="C63" s="85"/>
      <c r="D63" s="87"/>
      <c r="E63" s="87"/>
      <c r="F63" s="87"/>
      <c r="G63" s="87"/>
      <c r="H63" s="87"/>
      <c r="I63" s="87"/>
      <c r="J63" s="86"/>
      <c r="K63" s="106"/>
      <c r="L63" s="85"/>
      <c r="M63" s="87"/>
      <c r="N63" s="87"/>
      <c r="O63" s="87"/>
      <c r="P63" s="87"/>
      <c r="Q63" s="87"/>
      <c r="R63" s="87"/>
      <c r="S63" s="86"/>
      <c r="T63" s="332"/>
      <c r="U63" s="332"/>
      <c r="V63" s="332"/>
      <c r="W63" s="333"/>
      <c r="X63" s="106"/>
      <c r="Y63" s="85"/>
      <c r="Z63" s="86"/>
      <c r="AA63" s="85"/>
      <c r="AB63" s="86"/>
      <c r="AC63" s="112"/>
      <c r="AD63" s="112"/>
      <c r="AE63" s="85"/>
      <c r="AF63" s="86"/>
      <c r="AG63" s="62"/>
      <c r="AH63" s="85"/>
      <c r="AI63" s="86"/>
      <c r="AJ63" s="85"/>
      <c r="AK63" s="86"/>
      <c r="AL63" s="85"/>
      <c r="AM63" s="86"/>
      <c r="AN63" s="85"/>
      <c r="AO63" s="86"/>
      <c r="AP63" s="275"/>
      <c r="AQ63" s="85"/>
      <c r="AR63" s="87"/>
      <c r="AS63" s="87"/>
      <c r="AT63" s="87"/>
      <c r="AU63" s="87"/>
      <c r="AV63" s="87"/>
      <c r="AW63" s="87"/>
      <c r="AX63" s="86"/>
      <c r="AY63" s="106"/>
      <c r="AZ63" s="85"/>
      <c r="BA63" s="87"/>
      <c r="BB63" s="87"/>
      <c r="BC63" s="87"/>
      <c r="BD63" s="87"/>
      <c r="BE63" s="87"/>
      <c r="BF63" s="87"/>
      <c r="BG63" s="86"/>
      <c r="BH63" s="106"/>
      <c r="BI63" s="85"/>
      <c r="BJ63" s="86"/>
      <c r="BK63" s="744"/>
      <c r="BL63" s="744"/>
      <c r="BM63" s="85"/>
      <c r="BN63" s="86"/>
      <c r="BO63" s="85"/>
      <c r="BP63" s="86"/>
      <c r="BQ63" s="55"/>
      <c r="BR63" s="72">
        <f t="shared" ref="BR63:BT63" si="103">countif($K63:$BQ63,BR$2)</f>
        <v>0</v>
      </c>
      <c r="BS63" s="74">
        <f t="shared" si="103"/>
        <v>0</v>
      </c>
      <c r="BT63" s="74">
        <f t="shared" si="103"/>
        <v>0</v>
      </c>
      <c r="BU63" s="112"/>
      <c r="BV63" s="112"/>
      <c r="BW63" s="317">
        <f t="shared" ref="BW63:BX63" si="104">countif($D63:$BQ64,"*" &amp; BW$2 &amp; "*")/2</f>
        <v>0</v>
      </c>
      <c r="BX63" s="317">
        <f t="shared" si="104"/>
        <v>0</v>
      </c>
      <c r="BY63" s="112"/>
      <c r="BZ63" s="112"/>
      <c r="CA63" s="112"/>
      <c r="CB63" s="112"/>
      <c r="CC63" s="112"/>
      <c r="CD63" s="85"/>
      <c r="CE63" s="86"/>
      <c r="CF63" s="85"/>
      <c r="CG63" s="86"/>
      <c r="CI63" s="17"/>
    </row>
    <row r="64">
      <c r="A64" s="96"/>
      <c r="B64" s="151" t="s">
        <v>310</v>
      </c>
      <c r="C64" s="166" t="s">
        <v>1315</v>
      </c>
      <c r="J64" s="106"/>
      <c r="K64" s="192" t="s">
        <v>132</v>
      </c>
      <c r="L64" s="166" t="s">
        <v>1317</v>
      </c>
      <c r="S64" s="106"/>
      <c r="T64" s="332"/>
      <c r="U64" s="332"/>
      <c r="V64" s="332"/>
      <c r="W64" s="333"/>
      <c r="X64" s="154" t="s">
        <v>129</v>
      </c>
      <c r="Y64" s="161" t="s">
        <v>327</v>
      </c>
      <c r="Z64" s="46"/>
      <c r="AA64" s="742"/>
      <c r="AB64" s="742"/>
      <c r="AC64" s="123" t="s">
        <v>1319</v>
      </c>
      <c r="AD64" s="46"/>
      <c r="AE64" s="161" t="s">
        <v>1320</v>
      </c>
      <c r="AF64" s="46"/>
      <c r="AG64" s="62"/>
      <c r="AH64" s="161" t="s">
        <v>368</v>
      </c>
      <c r="AI64" s="46"/>
      <c r="AJ64" s="766"/>
      <c r="AK64" s="767"/>
      <c r="AL64" s="123" t="s">
        <v>1322</v>
      </c>
      <c r="AM64" s="46"/>
      <c r="AN64" s="123" t="s">
        <v>322</v>
      </c>
      <c r="AO64" s="46"/>
      <c r="AP64" s="275"/>
      <c r="AQ64" s="89" t="s">
        <v>1323</v>
      </c>
      <c r="AR64" s="46"/>
      <c r="AY64" s="771"/>
      <c r="AZ64" s="166" t="s">
        <v>1325</v>
      </c>
      <c r="BG64" s="106"/>
      <c r="BH64" s="191" t="s">
        <v>130</v>
      </c>
      <c r="BI64" s="89" t="s">
        <v>330</v>
      </c>
      <c r="BJ64" s="46"/>
      <c r="BK64" s="744"/>
      <c r="BL64" s="744"/>
      <c r="BM64" s="123" t="s">
        <v>1327</v>
      </c>
      <c r="BN64" s="46"/>
      <c r="BO64" s="123" t="s">
        <v>1329</v>
      </c>
      <c r="BP64" s="46"/>
      <c r="BQ64" s="55"/>
      <c r="BR64" s="72">
        <f t="shared" ref="BR64:BT64" si="105">countif($D64:$BQ64,BR$2)</f>
        <v>1</v>
      </c>
      <c r="BS64" s="74">
        <f t="shared" si="105"/>
        <v>1</v>
      </c>
      <c r="BT64" s="74">
        <f t="shared" si="105"/>
        <v>1</v>
      </c>
      <c r="BU64" s="81">
        <f>countif($D64:$BQ65,"*MS (s)*")/2+countif($D64:$BQ65,"*AM2 (s)*")+countif($D64:$BQ65,"*BE2 (s)*")/2+countif($D64:$BQ65,"*LS2 (s)*")</f>
        <v>0</v>
      </c>
      <c r="BV64" s="81">
        <f>countif($D64:$BQ65,"*" &amp; BV$2 &amp; "*")</f>
        <v>0</v>
      </c>
      <c r="BW64" s="142"/>
      <c r="BX64" s="142"/>
      <c r="BY64" s="81">
        <f t="shared" ref="BY64:CC64" si="106">countif($D64:$BQ65,"*" &amp; BY$2 &amp; "*")</f>
        <v>15</v>
      </c>
      <c r="BZ64" s="81">
        <f t="shared" si="106"/>
        <v>2</v>
      </c>
      <c r="CA64" s="81">
        <f t="shared" si="106"/>
        <v>1</v>
      </c>
      <c r="CB64" s="81">
        <f t="shared" si="106"/>
        <v>1</v>
      </c>
      <c r="CC64" s="81">
        <f t="shared" si="106"/>
        <v>1</v>
      </c>
      <c r="CD64" s="557" t="s">
        <v>927</v>
      </c>
      <c r="CE64" s="46"/>
      <c r="CF64" s="533" t="s">
        <v>930</v>
      </c>
      <c r="CG64" s="46"/>
      <c r="CI64" s="17"/>
    </row>
    <row r="65">
      <c r="A65" s="96"/>
      <c r="B65" s="151" t="s">
        <v>341</v>
      </c>
      <c r="C65" s="85"/>
      <c r="D65" s="87"/>
      <c r="E65" s="87"/>
      <c r="F65" s="87"/>
      <c r="G65" s="87"/>
      <c r="H65" s="87"/>
      <c r="I65" s="87"/>
      <c r="J65" s="86"/>
      <c r="K65" s="106"/>
      <c r="L65" s="85"/>
      <c r="M65" s="87"/>
      <c r="N65" s="87"/>
      <c r="O65" s="87"/>
      <c r="P65" s="87"/>
      <c r="Q65" s="87"/>
      <c r="R65" s="87"/>
      <c r="S65" s="86"/>
      <c r="T65" s="332"/>
      <c r="U65" s="332"/>
      <c r="V65" s="332"/>
      <c r="W65" s="333"/>
      <c r="X65" s="106"/>
      <c r="Y65" s="85"/>
      <c r="Z65" s="86"/>
      <c r="AA65" s="742"/>
      <c r="AB65" s="742"/>
      <c r="AC65" s="85"/>
      <c r="AD65" s="86"/>
      <c r="AE65" s="85"/>
      <c r="AF65" s="86"/>
      <c r="AG65" s="62"/>
      <c r="AH65" s="85"/>
      <c r="AI65" s="86"/>
      <c r="AJ65" s="788"/>
      <c r="AK65" s="789"/>
      <c r="AL65" s="85"/>
      <c r="AM65" s="86"/>
      <c r="AN65" s="85"/>
      <c r="AO65" s="86"/>
      <c r="AP65" s="275"/>
      <c r="AQ65" s="85"/>
      <c r="AR65" s="86"/>
      <c r="AY65" s="771"/>
      <c r="AZ65" s="85"/>
      <c r="BA65" s="87"/>
      <c r="BB65" s="87"/>
      <c r="BC65" s="87"/>
      <c r="BD65" s="87"/>
      <c r="BE65" s="87"/>
      <c r="BF65" s="87"/>
      <c r="BG65" s="86"/>
      <c r="BH65" s="106"/>
      <c r="BI65" s="85"/>
      <c r="BJ65" s="86"/>
      <c r="BK65" s="744"/>
      <c r="BL65" s="744"/>
      <c r="BM65" s="85"/>
      <c r="BN65" s="86"/>
      <c r="BO65" s="85"/>
      <c r="BP65" s="86"/>
      <c r="BQ65" s="55"/>
      <c r="BR65" s="72">
        <f t="shared" ref="BR65:BT65" si="107">countif($D65:$BQ65,BR$2)</f>
        <v>0</v>
      </c>
      <c r="BS65" s="74">
        <f t="shared" si="107"/>
        <v>0</v>
      </c>
      <c r="BT65" s="74">
        <f t="shared" si="107"/>
        <v>0</v>
      </c>
      <c r="BU65" s="112"/>
      <c r="BV65" s="112"/>
      <c r="BW65" s="317">
        <f t="shared" ref="BW65:BX65" si="108">countif($D65:$BQ66,"*" &amp; BW$2 &amp; "*")/2</f>
        <v>0</v>
      </c>
      <c r="BX65" s="317">
        <f t="shared" si="108"/>
        <v>0</v>
      </c>
      <c r="BY65" s="112"/>
      <c r="BZ65" s="112"/>
      <c r="CA65" s="112"/>
      <c r="CB65" s="112"/>
      <c r="CC65" s="112"/>
      <c r="CD65" s="142"/>
      <c r="CE65" s="106"/>
      <c r="CF65" s="142"/>
      <c r="CG65" s="106"/>
      <c r="CI65" s="17"/>
    </row>
    <row r="66">
      <c r="A66" s="96"/>
      <c r="B66" s="151" t="s">
        <v>342</v>
      </c>
      <c r="K66" s="55"/>
      <c r="N66" s="442"/>
      <c r="O66" s="442"/>
      <c r="P66" s="442"/>
      <c r="Q66" s="442"/>
      <c r="R66" s="442"/>
      <c r="S66" s="148"/>
      <c r="T66" s="58"/>
      <c r="U66" s="58"/>
      <c r="V66" s="58"/>
      <c r="W66" s="59"/>
      <c r="X66" s="55"/>
      <c r="Y66" s="99" t="s">
        <v>332</v>
      </c>
      <c r="Z66" s="99" t="s">
        <v>333</v>
      </c>
      <c r="AA66" s="742"/>
      <c r="AB66" s="742"/>
      <c r="AE66" s="791"/>
      <c r="AF66" s="791"/>
      <c r="AG66" s="62"/>
      <c r="AH66" s="161" t="s">
        <v>1144</v>
      </c>
      <c r="AI66" s="46"/>
      <c r="AJ66" s="52"/>
      <c r="AK66" s="52"/>
      <c r="AL66" s="123" t="s">
        <v>1358</v>
      </c>
      <c r="AM66" s="46"/>
      <c r="AN66" s="52"/>
      <c r="AO66" s="52"/>
      <c r="AP66" s="585"/>
      <c r="AQ66" s="142"/>
      <c r="AR66" s="52"/>
      <c r="AY66" s="55"/>
      <c r="BB66" s="92"/>
      <c r="BC66" s="92"/>
      <c r="BD66" s="17"/>
      <c r="BE66" s="17"/>
      <c r="BF66" s="17"/>
      <c r="BG66" s="17"/>
      <c r="BH66" s="55"/>
      <c r="BI66" s="123" t="s">
        <v>1359</v>
      </c>
      <c r="BJ66" s="46"/>
      <c r="BK66" s="123" t="s">
        <v>1360</v>
      </c>
      <c r="BL66" s="46"/>
      <c r="BM66" s="89" t="s">
        <v>534</v>
      </c>
      <c r="BN66" s="46"/>
      <c r="BO66" s="744"/>
      <c r="BP66" s="744"/>
      <c r="BQ66" s="55"/>
      <c r="BR66" s="72">
        <f t="shared" ref="BR66:BT66" si="109">countif($K66:$BQ66,BR$2)</f>
        <v>0</v>
      </c>
      <c r="BS66" s="74">
        <f t="shared" si="109"/>
        <v>0</v>
      </c>
      <c r="BT66" s="74">
        <f t="shared" si="109"/>
        <v>0</v>
      </c>
      <c r="BU66" s="81">
        <f>countif($K66:$BQ67,"*MS (s)*")/2+countif($K66:$BQ67,"*AM2 (s)*")+countif($K66:$BQ67,"*BE2 (s)*")/2+countif($K66:$BQ67,"*LS2 (s)*")</f>
        <v>0</v>
      </c>
      <c r="BV66" s="81">
        <f>countif($K66:$BQ67,"*" &amp; BV$2 &amp; "*")</f>
        <v>0</v>
      </c>
      <c r="BW66" s="142"/>
      <c r="BX66" s="142"/>
      <c r="BY66" s="81">
        <f t="shared" ref="BY66:CC66" si="110">countif($K66:$BQ67,"*" &amp; BY$2 &amp; "*")</f>
        <v>7</v>
      </c>
      <c r="BZ66" s="81">
        <f t="shared" si="110"/>
        <v>1</v>
      </c>
      <c r="CA66" s="81">
        <f t="shared" si="110"/>
        <v>1</v>
      </c>
      <c r="CB66" s="81">
        <f t="shared" si="110"/>
        <v>1</v>
      </c>
      <c r="CC66" s="81">
        <f t="shared" si="110"/>
        <v>1</v>
      </c>
      <c r="CD66" s="142"/>
      <c r="CE66" s="106"/>
      <c r="CF66" s="142"/>
      <c r="CG66" s="106"/>
      <c r="CI66" s="17"/>
    </row>
    <row r="67">
      <c r="A67" s="96"/>
      <c r="B67" s="151" t="s">
        <v>369</v>
      </c>
      <c r="K67" s="55"/>
      <c r="N67" s="50"/>
      <c r="O67" s="50"/>
      <c r="P67" s="50"/>
      <c r="Q67" s="50"/>
      <c r="R67" s="50"/>
      <c r="S67" s="214"/>
      <c r="T67" s="58"/>
      <c r="U67" s="58"/>
      <c r="V67" s="58"/>
      <c r="W67" s="59"/>
      <c r="X67" s="55"/>
      <c r="Y67" s="112"/>
      <c r="Z67" s="112"/>
      <c r="AA67" s="742"/>
      <c r="AB67" s="742"/>
      <c r="AE67" s="791"/>
      <c r="AF67" s="791"/>
      <c r="AG67" s="62"/>
      <c r="AH67" s="85"/>
      <c r="AI67" s="86"/>
      <c r="AJ67" s="52"/>
      <c r="AK67" s="52"/>
      <c r="AL67" s="85"/>
      <c r="AM67" s="86"/>
      <c r="AN67" s="52"/>
      <c r="AO67" s="52"/>
      <c r="AP67" s="585"/>
      <c r="AQ67" s="142"/>
      <c r="AR67" s="52"/>
      <c r="AY67" s="55"/>
      <c r="AZ67" s="52"/>
      <c r="BA67" s="70"/>
      <c r="BB67" s="92"/>
      <c r="BC67" s="92"/>
      <c r="BD67" s="17"/>
      <c r="BE67" s="795"/>
      <c r="BF67" s="795"/>
      <c r="BG67" s="795"/>
      <c r="BH67" s="55"/>
      <c r="BI67" s="85"/>
      <c r="BJ67" s="86"/>
      <c r="BK67" s="85"/>
      <c r="BL67" s="86"/>
      <c r="BM67" s="85"/>
      <c r="BN67" s="86"/>
      <c r="BO67" s="744"/>
      <c r="BP67" s="744"/>
      <c r="BQ67" s="55"/>
      <c r="BR67" s="72">
        <f t="shared" ref="BR67:BT67" si="111">countif($K67:$BQ67,BR$2)</f>
        <v>0</v>
      </c>
      <c r="BS67" s="74">
        <f t="shared" si="111"/>
        <v>0</v>
      </c>
      <c r="BT67" s="74">
        <f t="shared" si="111"/>
        <v>0</v>
      </c>
      <c r="BU67" s="112"/>
      <c r="BV67" s="112"/>
      <c r="BW67" s="317">
        <f t="shared" ref="BW67:BX67" si="112">countif($D67:$BQ68,"*" &amp; BW$2 &amp; "*")/2</f>
        <v>0</v>
      </c>
      <c r="BX67" s="317">
        <f t="shared" si="112"/>
        <v>0</v>
      </c>
      <c r="BY67" s="112"/>
      <c r="BZ67" s="112"/>
      <c r="CA67" s="112"/>
      <c r="CB67" s="112"/>
      <c r="CC67" s="112"/>
      <c r="CD67" s="85"/>
      <c r="CE67" s="86"/>
      <c r="CF67" s="85"/>
      <c r="CG67" s="86"/>
      <c r="CI67" s="17"/>
    </row>
    <row r="68">
      <c r="A68" s="96"/>
      <c r="B68" s="151" t="s">
        <v>375</v>
      </c>
      <c r="K68" s="55"/>
      <c r="L68" s="244"/>
      <c r="M68" s="50"/>
      <c r="N68" s="50"/>
      <c r="O68" s="50"/>
      <c r="P68" s="50"/>
      <c r="Q68" s="50"/>
      <c r="R68" s="50"/>
      <c r="S68" s="214"/>
      <c r="T68" s="58"/>
      <c r="U68" s="58"/>
      <c r="V68" s="58"/>
      <c r="W68" s="59"/>
      <c r="X68" s="55"/>
      <c r="Y68" s="741"/>
      <c r="Z68" s="742"/>
      <c r="AA68" s="742"/>
      <c r="AB68" s="742"/>
      <c r="AC68" s="742"/>
      <c r="AD68" s="742"/>
      <c r="AE68" s="742"/>
      <c r="AF68" s="742"/>
      <c r="AG68" s="585"/>
      <c r="AH68" s="56"/>
      <c r="AI68" s="52"/>
      <c r="AJ68" s="52"/>
      <c r="AK68" s="52"/>
      <c r="AL68" s="52"/>
      <c r="AM68" s="52"/>
      <c r="AN68" s="52"/>
      <c r="AO68" s="52"/>
      <c r="AP68" s="585"/>
      <c r="AQ68" s="142"/>
      <c r="AR68" s="52"/>
      <c r="AY68" s="55"/>
      <c r="BB68" s="92"/>
      <c r="BC68" s="92"/>
      <c r="BD68" s="17"/>
      <c r="BE68" s="17"/>
      <c r="BF68" s="17"/>
      <c r="BG68" s="17"/>
      <c r="BH68" s="55"/>
      <c r="BI68" s="743"/>
      <c r="BJ68" s="744"/>
      <c r="BK68" s="89" t="s">
        <v>522</v>
      </c>
      <c r="BL68" s="46"/>
      <c r="BM68" s="744"/>
      <c r="BN68" s="744"/>
      <c r="BO68" s="744"/>
      <c r="BP68" s="744"/>
      <c r="BQ68" s="55"/>
      <c r="BR68" s="72">
        <f t="shared" ref="BR68:BT68" si="113">countif($D68:$BQ68,BR$2)</f>
        <v>0</v>
      </c>
      <c r="BS68" s="74">
        <f t="shared" si="113"/>
        <v>0</v>
      </c>
      <c r="BT68" s="74">
        <f t="shared" si="113"/>
        <v>0</v>
      </c>
      <c r="BU68" s="81">
        <f>countif($D68:$BQ69,"*MS (s)*")/2+countif($D68:$BQ69,"*AM2 (s)*")+countif($D68:$BQ69,"*BE2 (s)*")/2+countif($D68:$BQ69,"*LS2 (s)*")</f>
        <v>0</v>
      </c>
      <c r="BV68" s="81">
        <f>countif($D68:$BQ69,"*" &amp; BV$2 &amp; "*")</f>
        <v>0</v>
      </c>
      <c r="BW68" s="142"/>
      <c r="BX68" s="142"/>
      <c r="BY68" s="81">
        <f t="shared" ref="BY68:CC68" si="114">countif($D68:$BQ69,"*" &amp; BY$2 &amp; "*")</f>
        <v>1</v>
      </c>
      <c r="BZ68" s="81">
        <f t="shared" si="114"/>
        <v>0</v>
      </c>
      <c r="CA68" s="81">
        <f t="shared" si="114"/>
        <v>1</v>
      </c>
      <c r="CB68" s="81">
        <f t="shared" si="114"/>
        <v>0</v>
      </c>
      <c r="CC68" s="81">
        <f t="shared" si="114"/>
        <v>0</v>
      </c>
      <c r="CD68" s="587" t="s">
        <v>959</v>
      </c>
      <c r="CE68" s="46"/>
      <c r="CF68" s="533" t="s">
        <v>960</v>
      </c>
      <c r="CG68" s="46"/>
      <c r="CI68" s="17"/>
    </row>
    <row r="69">
      <c r="A69" s="96"/>
      <c r="B69" s="151" t="s">
        <v>392</v>
      </c>
      <c r="K69" s="55"/>
      <c r="L69" s="137"/>
      <c r="M69" s="138"/>
      <c r="N69" s="138"/>
      <c r="O69" s="138"/>
      <c r="P69" s="138"/>
      <c r="Q69" s="138"/>
      <c r="R69" s="138"/>
      <c r="S69" s="139"/>
      <c r="T69" s="58"/>
      <c r="U69" s="58"/>
      <c r="V69" s="58"/>
      <c r="W69" s="59"/>
      <c r="X69" s="55"/>
      <c r="Y69" s="741"/>
      <c r="Z69" s="742"/>
      <c r="AA69" s="742"/>
      <c r="AB69" s="742"/>
      <c r="AE69" s="742"/>
      <c r="AF69" s="742"/>
      <c r="AG69" s="55"/>
      <c r="AH69" s="56"/>
      <c r="AI69" s="52"/>
      <c r="AJ69" s="52"/>
      <c r="AK69" s="52"/>
      <c r="AL69" s="52"/>
      <c r="AM69" s="52"/>
      <c r="AN69" s="52"/>
      <c r="AO69" s="52"/>
      <c r="AP69" s="55"/>
      <c r="AQ69" s="56"/>
      <c r="AR69" s="52"/>
      <c r="AS69" s="52"/>
      <c r="AT69" s="52"/>
      <c r="AU69" s="52"/>
      <c r="AV69" s="52"/>
      <c r="AW69" s="52"/>
      <c r="AX69" s="52"/>
      <c r="AY69" s="55"/>
      <c r="AZ69" s="52"/>
      <c r="BA69" s="70"/>
      <c r="BB69" s="92"/>
      <c r="BC69" s="92"/>
      <c r="BD69" s="17"/>
      <c r="BE69" s="17"/>
      <c r="BF69" s="17"/>
      <c r="BG69" s="17"/>
      <c r="BH69" s="55"/>
      <c r="BI69" s="743"/>
      <c r="BJ69" s="744"/>
      <c r="BK69" s="85"/>
      <c r="BL69" s="86"/>
      <c r="BM69" s="744"/>
      <c r="BN69" s="744"/>
      <c r="BO69" s="744"/>
      <c r="BP69" s="744"/>
      <c r="BQ69" s="55"/>
      <c r="BR69" s="72">
        <f t="shared" ref="BR69:BT69" si="115">countif($D69:$BQ69,BR$2)</f>
        <v>0</v>
      </c>
      <c r="BS69" s="74">
        <f t="shared" si="115"/>
        <v>0</v>
      </c>
      <c r="BT69" s="74">
        <f t="shared" si="115"/>
        <v>0</v>
      </c>
      <c r="BU69" s="112"/>
      <c r="BV69" s="112"/>
      <c r="BW69" s="317">
        <f t="shared" ref="BW69:BX69" si="116">countif($D69:$BQ70,"*" &amp; BW$2 &amp; "*")/2</f>
        <v>0</v>
      </c>
      <c r="BX69" s="317">
        <f t="shared" si="116"/>
        <v>0</v>
      </c>
      <c r="BY69" s="112"/>
      <c r="BZ69" s="112"/>
      <c r="CA69" s="112"/>
      <c r="CB69" s="112"/>
      <c r="CC69" s="112"/>
      <c r="CD69" s="142"/>
      <c r="CE69" s="106"/>
      <c r="CF69" s="142"/>
      <c r="CG69" s="106"/>
      <c r="CI69" s="17"/>
    </row>
    <row r="70">
      <c r="A70" s="96"/>
      <c r="B70" s="151" t="s">
        <v>398</v>
      </c>
      <c r="C70" s="277"/>
      <c r="D70" s="277"/>
      <c r="E70" s="277"/>
      <c r="F70" s="277"/>
      <c r="G70" s="277"/>
      <c r="H70" s="277"/>
      <c r="I70" s="277"/>
      <c r="J70" s="277"/>
      <c r="K70" s="278"/>
      <c r="L70" s="277"/>
      <c r="M70" s="277"/>
      <c r="N70" s="277"/>
      <c r="O70" s="277"/>
      <c r="P70" s="277"/>
      <c r="Q70" s="277"/>
      <c r="R70" s="277"/>
      <c r="S70" s="277"/>
      <c r="T70" s="277"/>
      <c r="U70" s="277"/>
      <c r="V70" s="277"/>
      <c r="W70" s="277"/>
      <c r="X70" s="278"/>
      <c r="Y70" s="277"/>
      <c r="Z70" s="277"/>
      <c r="AA70" s="277"/>
      <c r="AB70" s="277"/>
      <c r="AC70" s="277"/>
      <c r="AD70" s="277"/>
      <c r="AE70" s="277"/>
      <c r="AF70" s="277"/>
      <c r="AG70" s="278"/>
      <c r="AH70" s="277"/>
      <c r="AI70" s="277"/>
      <c r="AJ70" s="277"/>
      <c r="AK70" s="277"/>
      <c r="AL70" s="277"/>
      <c r="AM70" s="277"/>
      <c r="AN70" s="277"/>
      <c r="AO70" s="277"/>
      <c r="AP70" s="278"/>
      <c r="AQ70" s="277"/>
      <c r="AR70" s="277"/>
      <c r="AS70" s="277"/>
      <c r="AT70" s="277"/>
      <c r="AU70" s="277"/>
      <c r="AV70" s="277"/>
      <c r="AW70" s="277"/>
      <c r="AX70" s="277"/>
      <c r="AY70" s="278"/>
      <c r="AZ70" s="280"/>
      <c r="BA70" s="280"/>
      <c r="BB70" s="280"/>
      <c r="BC70" s="280"/>
      <c r="BD70" s="280"/>
      <c r="BE70" s="280"/>
      <c r="BF70" s="280"/>
      <c r="BG70" s="280"/>
      <c r="BH70" s="278"/>
      <c r="BI70" s="280"/>
      <c r="BJ70" s="280"/>
      <c r="BK70" s="280"/>
      <c r="BL70" s="280"/>
      <c r="BM70" s="280"/>
      <c r="BN70" s="280"/>
      <c r="BO70" s="280"/>
      <c r="BP70" s="280"/>
      <c r="BQ70" s="62"/>
      <c r="BR70" s="72">
        <f t="shared" ref="BR70:BT70" si="117">countif($D70:$BQ70,BR$2)</f>
        <v>0</v>
      </c>
      <c r="BS70" s="74">
        <f t="shared" si="117"/>
        <v>0</v>
      </c>
      <c r="BT70" s="74">
        <f t="shared" si="117"/>
        <v>0</v>
      </c>
      <c r="BU70" s="81">
        <f>countif($D70:$BQ71,"*MS (s)*")/2+countif($D70:$BQ71,"*AM2 (s)*")+countif($D70:$BQ71,"*BE2 (s)*")/2+countif($D70:$BQ71,"*LS2 (s)*")</f>
        <v>0</v>
      </c>
      <c r="BV70" s="81">
        <f>countif($D70:$BQ71,"*" &amp; BV$2 &amp; "*")</f>
        <v>0</v>
      </c>
      <c r="BW70" s="142"/>
      <c r="BX70" s="142"/>
      <c r="BY70" s="81">
        <f t="shared" ref="BY70:CC70" si="118">countif($D70:$BQ71,"*" &amp; BY$2 &amp; "*")</f>
        <v>0</v>
      </c>
      <c r="BZ70" s="81">
        <f t="shared" si="118"/>
        <v>0</v>
      </c>
      <c r="CA70" s="81">
        <f t="shared" si="118"/>
        <v>0</v>
      </c>
      <c r="CB70" s="81">
        <f t="shared" si="118"/>
        <v>0</v>
      </c>
      <c r="CC70" s="81">
        <f t="shared" si="118"/>
        <v>0</v>
      </c>
      <c r="CD70" s="142"/>
      <c r="CE70" s="106"/>
      <c r="CF70" s="142"/>
      <c r="CG70" s="106"/>
      <c r="CI70" s="17"/>
    </row>
    <row r="71">
      <c r="A71" s="112"/>
      <c r="B71" s="151" t="s">
        <v>408</v>
      </c>
      <c r="C71" s="293"/>
      <c r="D71" s="293"/>
      <c r="E71" s="291"/>
      <c r="F71" s="291"/>
      <c r="G71" s="293"/>
      <c r="H71" s="293"/>
      <c r="I71" s="294"/>
      <c r="J71" s="294"/>
      <c r="K71" s="292"/>
      <c r="L71" s="293"/>
      <c r="M71" s="291"/>
      <c r="N71" s="293"/>
      <c r="O71" s="294"/>
      <c r="P71" s="293"/>
      <c r="Q71" s="291"/>
      <c r="R71" s="293"/>
      <c r="S71" s="294"/>
      <c r="T71" s="293"/>
      <c r="U71" s="293"/>
      <c r="V71" s="293"/>
      <c r="W71" s="293"/>
      <c r="X71" s="805"/>
      <c r="Y71" s="293"/>
      <c r="Z71" s="293"/>
      <c r="AA71" s="293"/>
      <c r="AB71" s="293"/>
      <c r="AC71" s="293"/>
      <c r="AD71" s="294"/>
      <c r="AE71" s="294"/>
      <c r="AF71" s="294"/>
      <c r="AG71" s="292"/>
      <c r="AH71" s="293"/>
      <c r="AI71" s="293"/>
      <c r="AJ71" s="293"/>
      <c r="AK71" s="293"/>
      <c r="AL71" s="293"/>
      <c r="AM71" s="294"/>
      <c r="AN71" s="294"/>
      <c r="AO71" s="294"/>
      <c r="AP71" s="292"/>
      <c r="AQ71" s="293"/>
      <c r="AR71" s="291"/>
      <c r="AS71" s="291"/>
      <c r="AT71" s="293"/>
      <c r="AU71" s="293"/>
      <c r="AV71" s="293"/>
      <c r="AW71" s="293"/>
      <c r="AX71" s="294"/>
      <c r="AY71" s="292"/>
      <c r="AZ71" s="295"/>
      <c r="BA71" s="296"/>
      <c r="BB71" s="295"/>
      <c r="BC71" s="296"/>
      <c r="BD71" s="295"/>
      <c r="BE71" s="295"/>
      <c r="BF71" s="295"/>
      <c r="BG71" s="295"/>
      <c r="BH71" s="292"/>
      <c r="BI71" s="295"/>
      <c r="BJ71" s="296"/>
      <c r="BK71" s="295"/>
      <c r="BL71" s="296"/>
      <c r="BM71" s="296"/>
      <c r="BN71" s="296"/>
      <c r="BO71" s="296"/>
      <c r="BP71" s="296"/>
      <c r="BQ71" s="298"/>
      <c r="BR71" s="72">
        <f t="shared" ref="BR71:BT71" si="119">countif($D71:$BQ71,BR$2)</f>
        <v>0</v>
      </c>
      <c r="BS71" s="74">
        <f t="shared" si="119"/>
        <v>0</v>
      </c>
      <c r="BT71" s="74">
        <f t="shared" si="119"/>
        <v>0</v>
      </c>
      <c r="BU71" s="112"/>
      <c r="BV71" s="112"/>
      <c r="BW71" s="301"/>
      <c r="BX71" s="302"/>
      <c r="BY71" s="112"/>
      <c r="BZ71" s="112"/>
      <c r="CA71" s="112"/>
      <c r="CB71" s="112"/>
      <c r="CC71" s="112"/>
      <c r="CD71" s="85"/>
      <c r="CE71" s="86"/>
      <c r="CF71" s="85"/>
      <c r="CG71" s="86"/>
      <c r="CI71" s="17"/>
    </row>
    <row r="72">
      <c r="A72" s="807"/>
      <c r="B72" s="808"/>
      <c r="C72" s="92"/>
      <c r="D72" s="92"/>
      <c r="E72" s="92"/>
      <c r="F72" s="92"/>
      <c r="G72" s="92"/>
      <c r="H72" s="92"/>
      <c r="I72" s="92"/>
      <c r="J72" s="92"/>
      <c r="K72" s="813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813"/>
      <c r="AB72" s="92"/>
      <c r="AC72" s="92"/>
      <c r="AD72" s="92"/>
      <c r="AE72" s="92"/>
      <c r="AF72" s="92"/>
      <c r="AG72" s="813"/>
      <c r="AH72" s="92"/>
      <c r="AI72" s="92"/>
      <c r="AJ72" s="92"/>
      <c r="AK72" s="92"/>
      <c r="AL72" s="92"/>
      <c r="AP72" s="813"/>
      <c r="AQ72" s="92"/>
      <c r="AR72" s="92"/>
      <c r="AS72" s="92"/>
      <c r="AT72" s="92"/>
      <c r="AU72" s="92"/>
      <c r="AV72" s="92"/>
      <c r="AW72" s="92"/>
      <c r="AX72" s="92"/>
      <c r="AY72" s="813"/>
      <c r="AZ72" s="17"/>
      <c r="BA72" s="17"/>
      <c r="BB72" s="17"/>
      <c r="BC72" s="17"/>
      <c r="BD72" s="17"/>
      <c r="BE72" s="17"/>
      <c r="BF72" s="17"/>
      <c r="BG72" s="17"/>
      <c r="BH72" s="813"/>
      <c r="BI72" s="92"/>
      <c r="BJ72" s="92"/>
      <c r="BK72" s="92"/>
      <c r="BL72" s="92"/>
      <c r="BM72" s="92"/>
      <c r="BN72" s="92"/>
      <c r="BO72" s="92"/>
      <c r="BP72" s="92"/>
      <c r="BQ72" s="813"/>
      <c r="BR72" s="92"/>
      <c r="BS72" s="92"/>
      <c r="BT72" s="92"/>
      <c r="BU72" s="92"/>
      <c r="BV72" s="818"/>
      <c r="BW72" s="818"/>
      <c r="BX72" s="818"/>
      <c r="BY72" s="92"/>
      <c r="CI72" s="17"/>
    </row>
    <row r="73" ht="13.5" customHeight="1">
      <c r="A73" s="819" t="s">
        <v>1401</v>
      </c>
      <c r="B73" s="808"/>
      <c r="C73" s="92">
        <f t="shared" ref="C73:C79" si="120">countif(C$3:I$71,"*" &amp; $A73 &amp; "*")</f>
        <v>2</v>
      </c>
      <c r="E73" s="92"/>
      <c r="F73" s="92"/>
      <c r="G73" s="92"/>
      <c r="H73" s="92"/>
      <c r="I73" s="92"/>
      <c r="J73" s="92"/>
      <c r="K73" s="813"/>
      <c r="L73" s="92">
        <f t="shared" ref="L73:L79" si="121">countif(L$4:W$71,"*" &amp; $A73 &amp; "*")</f>
        <v>2</v>
      </c>
      <c r="M73" s="92"/>
      <c r="N73" s="92"/>
      <c r="P73" s="92"/>
      <c r="Q73" s="92"/>
      <c r="R73" s="92"/>
      <c r="S73" s="92"/>
      <c r="T73" s="92"/>
      <c r="U73" s="92"/>
      <c r="V73" s="92"/>
      <c r="W73" s="92"/>
      <c r="X73" s="813"/>
      <c r="Y73" s="92">
        <f>countif(Y$6:AF$71,"*" &amp; $A73 &amp; "*")</f>
        <v>2</v>
      </c>
      <c r="AB73" s="92"/>
      <c r="AC73" s="92"/>
      <c r="AD73" s="92"/>
      <c r="AE73" s="92"/>
      <c r="AF73" s="92"/>
      <c r="AG73" s="813"/>
      <c r="AH73" s="92">
        <f t="shared" ref="AH73:AH79" si="122">countif(AH$4:AO$71,"*" &amp; $A73 &amp; "*")</f>
        <v>2</v>
      </c>
      <c r="AI73" s="92"/>
      <c r="AJ73" s="92"/>
      <c r="AP73" s="813"/>
      <c r="AQ73" s="92">
        <f t="shared" ref="AQ73:AQ79" si="123">countif(AQ$4:AX$71,"*" &amp; $A73 &amp; "*")</f>
        <v>2</v>
      </c>
      <c r="AR73" s="92"/>
      <c r="AS73" s="92"/>
      <c r="AT73" s="92"/>
      <c r="AU73" s="92"/>
      <c r="AV73" s="92"/>
      <c r="AW73" s="92"/>
      <c r="AX73" s="92"/>
      <c r="AY73" s="813"/>
      <c r="AZ73" s="92">
        <f t="shared" ref="AZ73:AZ79" si="124">countif(AY$4:BG$71,"*" &amp; $A73 &amp; "*")</f>
        <v>2</v>
      </c>
      <c r="BA73" s="92"/>
      <c r="BB73" s="92"/>
      <c r="BC73" s="92"/>
      <c r="BD73" s="17"/>
      <c r="BE73" s="17"/>
      <c r="BF73" s="17"/>
      <c r="BG73" s="17"/>
      <c r="BH73" s="813"/>
      <c r="BI73" s="92">
        <f t="shared" ref="BI73:BI74" si="125">countif(BI$4:BR$71,"*" &amp; $A73 &amp; "*")</f>
        <v>1</v>
      </c>
      <c r="BK73" s="92"/>
      <c r="BL73" s="92"/>
      <c r="BO73" s="92"/>
      <c r="BP73" s="92"/>
      <c r="BQ73" s="813"/>
      <c r="BR73" s="92"/>
      <c r="BS73" s="92"/>
      <c r="BT73" s="92"/>
      <c r="BU73" s="92"/>
      <c r="BV73" s="818"/>
      <c r="BW73" s="818"/>
      <c r="CE73" s="17"/>
      <c r="CF73" s="17"/>
      <c r="CG73" s="17"/>
    </row>
    <row r="74">
      <c r="A74" s="819" t="s">
        <v>1404</v>
      </c>
      <c r="B74" s="808"/>
      <c r="C74" s="92">
        <f t="shared" si="120"/>
        <v>2</v>
      </c>
      <c r="E74" s="92"/>
      <c r="F74" s="92"/>
      <c r="G74" s="92"/>
      <c r="H74" s="92"/>
      <c r="I74" s="824"/>
      <c r="J74" s="824"/>
      <c r="K74" s="813"/>
      <c r="L74" s="92">
        <f t="shared" si="121"/>
        <v>2</v>
      </c>
      <c r="M74" s="92"/>
      <c r="N74" s="92"/>
      <c r="P74" s="824"/>
      <c r="Q74" s="824"/>
      <c r="R74" s="824"/>
      <c r="S74" s="824"/>
      <c r="T74" s="824"/>
      <c r="U74" s="824"/>
      <c r="V74" s="824"/>
      <c r="W74" s="824"/>
      <c r="X74" s="813"/>
      <c r="Y74" s="92">
        <f>countif(Y$3:AF$71,"*" &amp; $A74 &amp; "*")</f>
        <v>2</v>
      </c>
      <c r="Z74" s="92"/>
      <c r="AA74" s="92"/>
      <c r="AB74" s="92"/>
      <c r="AC74" s="92"/>
      <c r="AD74" s="92"/>
      <c r="AE74" s="92"/>
      <c r="AF74" s="92"/>
      <c r="AG74" s="813"/>
      <c r="AH74" s="92">
        <f t="shared" si="122"/>
        <v>2</v>
      </c>
      <c r="AI74" s="92"/>
      <c r="AJ74" s="92"/>
      <c r="AK74" s="92"/>
      <c r="AL74" s="92"/>
      <c r="AM74" s="92"/>
      <c r="AN74" s="92"/>
      <c r="AO74" s="92"/>
      <c r="AP74" s="813"/>
      <c r="AQ74" s="92">
        <f t="shared" si="123"/>
        <v>2</v>
      </c>
      <c r="AR74" s="92"/>
      <c r="AS74" s="92"/>
      <c r="AT74" s="92"/>
      <c r="AU74" s="92"/>
      <c r="AV74" s="92"/>
      <c r="AW74" s="92"/>
      <c r="AX74" s="92"/>
      <c r="AY74" s="813"/>
      <c r="AZ74" s="826">
        <f t="shared" si="124"/>
        <v>1</v>
      </c>
      <c r="BA74" s="92"/>
      <c r="BB74" s="92"/>
      <c r="BC74" s="92"/>
      <c r="BD74" s="17"/>
      <c r="BE74" s="17"/>
      <c r="BF74" s="17"/>
      <c r="BG74" s="17"/>
      <c r="BH74" s="813"/>
      <c r="BI74" s="92">
        <f t="shared" si="125"/>
        <v>1</v>
      </c>
      <c r="BK74" s="92"/>
      <c r="BL74" s="92"/>
      <c r="BO74" s="92"/>
      <c r="BP74" s="92"/>
      <c r="BQ74" s="813"/>
      <c r="BR74" s="92"/>
      <c r="BS74" s="92"/>
      <c r="BT74" s="92"/>
      <c r="BU74" s="92"/>
      <c r="BV74" s="818"/>
      <c r="BW74" s="818"/>
      <c r="BY74" s="36"/>
    </row>
    <row r="75">
      <c r="A75" s="827" t="s">
        <v>1407</v>
      </c>
      <c r="B75" s="808"/>
      <c r="C75" s="92">
        <f t="shared" si="120"/>
        <v>0</v>
      </c>
      <c r="E75" s="92"/>
      <c r="F75" s="92"/>
      <c r="G75" s="92"/>
      <c r="H75" s="92"/>
      <c r="I75" s="824"/>
      <c r="J75" s="824"/>
      <c r="K75" s="813"/>
      <c r="L75" s="92">
        <f t="shared" si="121"/>
        <v>2</v>
      </c>
      <c r="M75" s="92"/>
      <c r="N75" s="92"/>
      <c r="P75" s="824"/>
      <c r="Q75" s="824"/>
      <c r="R75" s="824"/>
      <c r="S75" s="824"/>
      <c r="T75" s="824"/>
      <c r="U75" s="824"/>
      <c r="V75" s="824"/>
      <c r="W75" s="824"/>
      <c r="X75" s="813"/>
      <c r="Y75" s="92">
        <f t="shared" ref="Y75:Y79" si="126">countif(Y$6:AF$71,"*" &amp; $A75 &amp; "*")</f>
        <v>2</v>
      </c>
      <c r="Z75" s="92"/>
      <c r="AA75" s="92"/>
      <c r="AB75" s="92"/>
      <c r="AC75" s="92"/>
      <c r="AD75" s="92"/>
      <c r="AE75" s="92"/>
      <c r="AF75" s="92"/>
      <c r="AG75" s="813"/>
      <c r="AH75" s="92">
        <f t="shared" si="122"/>
        <v>2</v>
      </c>
      <c r="AI75" s="92"/>
      <c r="AJ75" s="92"/>
      <c r="AK75" s="92"/>
      <c r="AL75" s="92"/>
      <c r="AM75" s="92"/>
      <c r="AN75" s="92"/>
      <c r="AO75" s="92"/>
      <c r="AP75" s="813"/>
      <c r="AQ75" s="92">
        <f t="shared" si="123"/>
        <v>2</v>
      </c>
      <c r="AR75" s="92"/>
      <c r="AS75" s="92"/>
      <c r="AT75" s="92"/>
      <c r="AU75" s="92"/>
      <c r="AV75" s="92"/>
      <c r="AW75" s="92"/>
      <c r="AX75" s="92"/>
      <c r="AY75" s="813"/>
      <c r="AZ75" s="92">
        <f t="shared" si="124"/>
        <v>1</v>
      </c>
      <c r="BA75" s="92"/>
      <c r="BB75" s="92"/>
      <c r="BC75" s="92"/>
      <c r="BD75" s="17"/>
      <c r="BE75" s="17"/>
      <c r="BF75" s="17"/>
      <c r="BG75" s="17"/>
      <c r="BH75" s="813"/>
      <c r="BI75" s="92">
        <f>countif(BI$3:BR$71,"*" &amp; $A75 &amp; "*")</f>
        <v>1</v>
      </c>
      <c r="BK75" s="92"/>
      <c r="BL75" s="92"/>
      <c r="BO75" s="92"/>
      <c r="BP75" s="92"/>
      <c r="BQ75" s="813"/>
      <c r="BR75" s="92"/>
      <c r="BS75" s="92"/>
      <c r="BT75" s="92"/>
      <c r="BU75" s="92"/>
      <c r="BV75" s="818"/>
      <c r="BW75" s="818"/>
    </row>
    <row r="76">
      <c r="A76" s="819" t="s">
        <v>1409</v>
      </c>
      <c r="B76" s="808"/>
      <c r="C76" s="826">
        <f t="shared" si="120"/>
        <v>2</v>
      </c>
      <c r="E76" s="92"/>
      <c r="F76" s="92"/>
      <c r="G76" s="92"/>
      <c r="H76" s="92"/>
      <c r="I76" s="824"/>
      <c r="J76" s="824"/>
      <c r="K76" s="813"/>
      <c r="L76" s="92">
        <f t="shared" si="121"/>
        <v>0</v>
      </c>
      <c r="M76" s="92"/>
      <c r="N76" s="92"/>
      <c r="P76" s="824"/>
      <c r="Q76" s="824"/>
      <c r="R76" s="824"/>
      <c r="S76" s="824"/>
      <c r="T76" s="824"/>
      <c r="U76" s="824"/>
      <c r="V76" s="824"/>
      <c r="W76" s="824"/>
      <c r="X76" s="813"/>
      <c r="Y76" s="92">
        <f t="shared" si="126"/>
        <v>0</v>
      </c>
      <c r="Z76" s="92"/>
      <c r="AA76" s="92"/>
      <c r="AB76" s="92"/>
      <c r="AC76" s="92"/>
      <c r="AD76" s="92"/>
      <c r="AE76" s="92"/>
      <c r="AF76" s="92"/>
      <c r="AG76" s="813"/>
      <c r="AH76" s="92">
        <f t="shared" si="122"/>
        <v>0</v>
      </c>
      <c r="AI76" s="92"/>
      <c r="AJ76" s="92"/>
      <c r="AK76" s="92"/>
      <c r="AL76" s="92"/>
      <c r="AM76" s="92"/>
      <c r="AN76" s="92"/>
      <c r="AO76" s="92"/>
      <c r="AP76" s="813"/>
      <c r="AQ76" s="92">
        <f t="shared" si="123"/>
        <v>0</v>
      </c>
      <c r="AR76" s="92"/>
      <c r="AS76" s="92"/>
      <c r="AT76" s="92"/>
      <c r="AU76" s="92"/>
      <c r="AV76" s="92"/>
      <c r="AW76" s="92"/>
      <c r="AX76" s="92"/>
      <c r="AY76" s="813"/>
      <c r="AZ76" s="92">
        <f t="shared" si="124"/>
        <v>0</v>
      </c>
      <c r="BA76" s="92"/>
      <c r="BB76" s="92"/>
      <c r="BC76" s="92"/>
      <c r="BD76" s="17"/>
      <c r="BE76" s="17"/>
      <c r="BF76" s="17"/>
      <c r="BG76" s="17"/>
      <c r="BH76" s="813"/>
      <c r="BI76" s="92">
        <f t="shared" ref="BI76:BI78" si="127">countif(BI$4:BR$71,"*" &amp; $A76 &amp; "*")</f>
        <v>0</v>
      </c>
      <c r="BK76" s="92"/>
      <c r="BL76" s="92"/>
      <c r="BM76" s="92"/>
      <c r="BN76" s="92"/>
      <c r="BO76" s="92"/>
      <c r="BP76" s="92"/>
      <c r="BQ76" s="813"/>
      <c r="BR76" s="92"/>
      <c r="BS76" s="92"/>
      <c r="BT76" s="92"/>
      <c r="BU76" s="92"/>
      <c r="BV76" s="818"/>
      <c r="BW76" s="818"/>
      <c r="BY76" s="36"/>
      <c r="BZ76" s="36"/>
    </row>
    <row r="77">
      <c r="A77" s="819" t="s">
        <v>1411</v>
      </c>
      <c r="B77" s="808"/>
      <c r="C77" s="826">
        <f t="shared" si="120"/>
        <v>2</v>
      </c>
      <c r="E77" s="92"/>
      <c r="F77" s="92"/>
      <c r="G77" s="92"/>
      <c r="H77" s="92"/>
      <c r="I77" s="824"/>
      <c r="J77" s="824"/>
      <c r="K77" s="813"/>
      <c r="L77" s="92">
        <f t="shared" si="121"/>
        <v>2</v>
      </c>
      <c r="M77" s="92"/>
      <c r="N77" s="92"/>
      <c r="P77" s="824"/>
      <c r="Q77" s="824"/>
      <c r="R77" s="824"/>
      <c r="S77" s="824"/>
      <c r="T77" s="824"/>
      <c r="U77" s="824"/>
      <c r="V77" s="824"/>
      <c r="W77" s="824"/>
      <c r="X77" s="813"/>
      <c r="Y77" s="92">
        <f t="shared" si="126"/>
        <v>2</v>
      </c>
      <c r="Z77" s="92"/>
      <c r="AA77" s="92"/>
      <c r="AB77" s="92"/>
      <c r="AC77" s="92"/>
      <c r="AD77" s="92"/>
      <c r="AE77" s="92"/>
      <c r="AF77" s="92"/>
      <c r="AG77" s="813"/>
      <c r="AH77" s="826">
        <f t="shared" si="122"/>
        <v>2</v>
      </c>
      <c r="AI77" s="92"/>
      <c r="AJ77" s="92"/>
      <c r="AK77" s="92"/>
      <c r="AL77" s="92"/>
      <c r="AM77" s="92"/>
      <c r="AN77" s="92"/>
      <c r="AO77" s="92"/>
      <c r="AP77" s="813"/>
      <c r="AQ77" s="826">
        <f t="shared" si="123"/>
        <v>2</v>
      </c>
      <c r="AR77" s="92"/>
      <c r="AS77" s="92"/>
      <c r="AT77" s="92"/>
      <c r="AU77" s="92"/>
      <c r="AV77" s="92"/>
      <c r="AW77" s="92"/>
      <c r="AX77" s="92"/>
      <c r="AY77" s="813"/>
      <c r="AZ77" s="826">
        <f t="shared" si="124"/>
        <v>2</v>
      </c>
      <c r="BA77" s="92"/>
      <c r="BB77" s="92"/>
      <c r="BC77" s="92"/>
      <c r="BD77" s="17"/>
      <c r="BE77" s="17"/>
      <c r="BF77" s="17"/>
      <c r="BG77" s="17"/>
      <c r="BH77" s="813"/>
      <c r="BI77" s="826">
        <f t="shared" si="127"/>
        <v>0</v>
      </c>
      <c r="BK77" s="92"/>
      <c r="BL77" s="92"/>
      <c r="BM77" s="92"/>
      <c r="BN77" s="92"/>
      <c r="BO77" s="92"/>
      <c r="BP77" s="92"/>
      <c r="BQ77" s="813"/>
      <c r="BR77" s="92"/>
      <c r="BS77" s="92"/>
      <c r="BT77" s="92"/>
      <c r="BU77" s="92"/>
      <c r="BV77" s="818"/>
      <c r="BW77" s="818"/>
      <c r="BY77" s="36"/>
      <c r="BZ77" s="36"/>
    </row>
    <row r="78">
      <c r="A78" s="819" t="s">
        <v>1415</v>
      </c>
      <c r="B78" s="808"/>
      <c r="C78" s="92">
        <f t="shared" si="120"/>
        <v>1</v>
      </c>
      <c r="E78" s="92"/>
      <c r="F78" s="92"/>
      <c r="G78" s="92"/>
      <c r="H78" s="92"/>
      <c r="I78" s="824"/>
      <c r="J78" s="824"/>
      <c r="K78" s="813"/>
      <c r="L78" s="92">
        <f t="shared" si="121"/>
        <v>1</v>
      </c>
      <c r="M78" s="92"/>
      <c r="N78" s="92"/>
      <c r="P78" s="824"/>
      <c r="Q78" s="824"/>
      <c r="R78" s="824"/>
      <c r="S78" s="824"/>
      <c r="T78" s="824"/>
      <c r="U78" s="824"/>
      <c r="V78" s="824"/>
      <c r="W78" s="824"/>
      <c r="X78" s="813"/>
      <c r="Y78" s="92">
        <f t="shared" si="126"/>
        <v>1</v>
      </c>
      <c r="Z78" s="92"/>
      <c r="AA78" s="92"/>
      <c r="AB78" s="92"/>
      <c r="AC78" s="92"/>
      <c r="AD78" s="92"/>
      <c r="AE78" s="92"/>
      <c r="AF78" s="92"/>
      <c r="AG78" s="813"/>
      <c r="AH78" s="92">
        <f t="shared" si="122"/>
        <v>1</v>
      </c>
      <c r="AI78" s="92"/>
      <c r="AJ78" s="92"/>
      <c r="AK78" s="92"/>
      <c r="AL78" s="92"/>
      <c r="AM78" s="92"/>
      <c r="AN78" s="92"/>
      <c r="AO78" s="92"/>
      <c r="AP78" s="813"/>
      <c r="AQ78" s="92">
        <f t="shared" si="123"/>
        <v>1</v>
      </c>
      <c r="AR78" s="92"/>
      <c r="AS78" s="92"/>
      <c r="AT78" s="92"/>
      <c r="AU78" s="92"/>
      <c r="AV78" s="92"/>
      <c r="AW78" s="92"/>
      <c r="AX78" s="92"/>
      <c r="AY78" s="813"/>
      <c r="AZ78" s="92">
        <f t="shared" si="124"/>
        <v>1</v>
      </c>
      <c r="BA78" s="92"/>
      <c r="BB78" s="92"/>
      <c r="BC78" s="92"/>
      <c r="BD78" s="17"/>
      <c r="BE78" s="17"/>
      <c r="BF78" s="17"/>
      <c r="BG78" s="17"/>
      <c r="BH78" s="813"/>
      <c r="BI78" s="92">
        <f t="shared" si="127"/>
        <v>1</v>
      </c>
      <c r="BK78" s="92"/>
      <c r="BL78" s="92"/>
      <c r="BM78" s="92"/>
      <c r="BN78" s="92"/>
      <c r="BO78" s="92"/>
      <c r="BP78" s="92"/>
      <c r="BQ78" s="813"/>
      <c r="BR78" s="92"/>
      <c r="BS78" s="92"/>
      <c r="BT78" s="92"/>
      <c r="BU78" s="92"/>
      <c r="BV78" s="818"/>
      <c r="BW78" s="818"/>
      <c r="BY78" s="36"/>
      <c r="BZ78" s="36"/>
    </row>
    <row r="79">
      <c r="A79" s="827" t="s">
        <v>1417</v>
      </c>
      <c r="B79" s="808"/>
      <c r="C79" s="92">
        <f t="shared" si="120"/>
        <v>1</v>
      </c>
      <c r="E79" s="92"/>
      <c r="F79" s="92"/>
      <c r="G79" s="92"/>
      <c r="H79" s="92"/>
      <c r="I79" s="824"/>
      <c r="J79" s="824"/>
      <c r="K79" s="813"/>
      <c r="L79" s="92">
        <f t="shared" si="121"/>
        <v>1</v>
      </c>
      <c r="M79" s="92"/>
      <c r="N79" s="92"/>
      <c r="P79" s="824"/>
      <c r="Q79" s="824"/>
      <c r="R79" s="824"/>
      <c r="S79" s="824"/>
      <c r="T79" s="824"/>
      <c r="U79" s="824"/>
      <c r="V79" s="824"/>
      <c r="W79" s="824"/>
      <c r="X79" s="813"/>
      <c r="Y79" s="92">
        <f t="shared" si="126"/>
        <v>1</v>
      </c>
      <c r="Z79" s="92"/>
      <c r="AA79" s="92"/>
      <c r="AB79" s="92"/>
      <c r="AC79" s="92"/>
      <c r="AD79" s="92"/>
      <c r="AE79" s="92"/>
      <c r="AF79" s="92"/>
      <c r="AG79" s="813"/>
      <c r="AH79" s="92">
        <f t="shared" si="122"/>
        <v>1</v>
      </c>
      <c r="AI79" s="92"/>
      <c r="AJ79" s="92"/>
      <c r="AK79" s="92"/>
      <c r="AL79" s="92"/>
      <c r="AM79" s="92"/>
      <c r="AN79" s="92"/>
      <c r="AO79" s="92"/>
      <c r="AP79" s="813"/>
      <c r="AQ79" s="92">
        <f t="shared" si="123"/>
        <v>1</v>
      </c>
      <c r="AR79" s="92"/>
      <c r="AS79" s="92"/>
      <c r="AT79" s="92"/>
      <c r="AU79" s="92"/>
      <c r="AV79" s="92"/>
      <c r="AW79" s="92"/>
      <c r="AX79" s="92"/>
      <c r="AY79" s="813"/>
      <c r="AZ79" s="92">
        <f t="shared" si="124"/>
        <v>1</v>
      </c>
      <c r="BA79" s="92"/>
      <c r="BB79" s="92"/>
      <c r="BC79" s="92"/>
      <c r="BD79" s="17"/>
      <c r="BE79" s="17"/>
      <c r="BF79" s="17"/>
      <c r="BG79" s="17"/>
      <c r="BH79" s="813"/>
      <c r="BI79" s="92">
        <f>countif(BI$3:BP$71,"*" &amp; $A79 &amp; "*")</f>
        <v>0</v>
      </c>
      <c r="BK79" s="92"/>
      <c r="BL79" s="92"/>
      <c r="BM79" s="92"/>
      <c r="BN79" s="92"/>
      <c r="BO79" s="92"/>
      <c r="BP79" s="92"/>
      <c r="BQ79" s="813"/>
      <c r="BR79" s="92"/>
      <c r="BS79" s="92"/>
      <c r="BT79" s="92"/>
      <c r="BU79" s="92"/>
      <c r="BV79" s="818"/>
      <c r="BW79" s="818"/>
      <c r="BY79" s="36"/>
      <c r="BZ79" s="36"/>
    </row>
    <row r="80">
      <c r="A80" s="829"/>
      <c r="B80" s="808"/>
      <c r="C80" s="92"/>
      <c r="D80" s="92"/>
      <c r="E80" s="92"/>
      <c r="F80" s="92"/>
      <c r="G80" s="92"/>
      <c r="H80" s="92"/>
      <c r="I80" s="824"/>
      <c r="J80" s="824"/>
      <c r="K80" s="813"/>
      <c r="L80" s="92"/>
      <c r="M80" s="92"/>
      <c r="N80" s="92"/>
      <c r="O80" s="92"/>
      <c r="P80" s="824"/>
      <c r="Q80" s="824"/>
      <c r="R80" s="824"/>
      <c r="S80" s="824"/>
      <c r="T80" s="824"/>
      <c r="U80" s="824"/>
      <c r="V80" s="824"/>
      <c r="W80" s="824"/>
      <c r="X80" s="813"/>
      <c r="Y80" s="92"/>
      <c r="Z80" s="92"/>
      <c r="AA80" s="92"/>
      <c r="AB80" s="92"/>
      <c r="AC80" s="92"/>
      <c r="AD80" s="92"/>
      <c r="AE80" s="92"/>
      <c r="AF80" s="92"/>
      <c r="AG80" s="813"/>
      <c r="AH80" s="92"/>
      <c r="AI80" s="92"/>
      <c r="AJ80" s="92"/>
      <c r="AK80" s="92"/>
      <c r="AL80" s="92"/>
      <c r="AM80" s="92"/>
      <c r="AN80" s="92"/>
      <c r="AO80" s="92"/>
      <c r="AP80" s="813"/>
      <c r="AQ80" s="92"/>
      <c r="AR80" s="92"/>
      <c r="AS80" s="92"/>
      <c r="AT80" s="92"/>
      <c r="AU80" s="92"/>
      <c r="AV80" s="92"/>
      <c r="AW80" s="92"/>
      <c r="AX80" s="92"/>
      <c r="AY80" s="813"/>
      <c r="AZ80" s="92"/>
      <c r="BA80" s="92"/>
      <c r="BB80" s="92"/>
      <c r="BC80" s="92"/>
      <c r="BD80" s="17"/>
      <c r="BE80" s="17"/>
      <c r="BF80" s="17"/>
      <c r="BG80" s="17"/>
      <c r="BH80" s="813"/>
      <c r="BI80" s="92"/>
      <c r="BJ80" s="92"/>
      <c r="BK80" s="92"/>
      <c r="BL80" s="92"/>
      <c r="BM80" s="92"/>
      <c r="BN80" s="92"/>
      <c r="BO80" s="92"/>
      <c r="BP80" s="92"/>
      <c r="BQ80" s="813"/>
      <c r="BR80" s="92"/>
      <c r="BS80" s="92"/>
      <c r="BT80" s="92"/>
      <c r="BU80" s="92"/>
      <c r="BV80" s="818"/>
      <c r="BW80" s="818"/>
      <c r="BY80" s="36"/>
      <c r="BZ80" s="36"/>
    </row>
    <row r="81">
      <c r="A81" s="819" t="s">
        <v>144</v>
      </c>
      <c r="B81" s="808"/>
      <c r="C81" s="830">
        <f>countif(C$5:C$71,"*" &amp; $A81 &amp; "*")</f>
        <v>1</v>
      </c>
      <c r="D81" s="830">
        <f t="shared" ref="D81:D83" si="129">countif(C$5:D$71,"*" &amp; $A81 &amp; "*")</f>
        <v>1</v>
      </c>
      <c r="E81" s="830">
        <f t="shared" ref="E81:E83" si="130">countif(E$5:E$71,"*" &amp; $A81 &amp; "*")</f>
        <v>1</v>
      </c>
      <c r="F81" s="830">
        <f t="shared" ref="F81:F83" si="131">countif(E$5:F$71,"*" &amp; $A81 &amp; "*")</f>
        <v>1</v>
      </c>
      <c r="G81" s="830">
        <f t="shared" ref="G81:G83" si="132">countif(G$3:G$71,"*" &amp; $A81 &amp; "*")</f>
        <v>1</v>
      </c>
      <c r="H81" s="830">
        <f t="shared" ref="H81:H83" si="133">countif(G$3:H$71,"*" &amp; $A81 &amp; "*")</f>
        <v>1</v>
      </c>
      <c r="I81" s="830">
        <f t="shared" ref="I81:I83" si="134">countif(I$3:I$71,"*" &amp; $A81 &amp; "*")</f>
        <v>1</v>
      </c>
      <c r="J81" s="830">
        <f t="shared" ref="J81:J83" si="135">countif(I$3:J$71,"*" &amp; $A81 &amp; "*")</f>
        <v>1</v>
      </c>
      <c r="K81" s="831"/>
      <c r="L81" s="830">
        <f>countif(L$3:L$71,"*" &amp; $A81 &amp; "*")</f>
        <v>1</v>
      </c>
      <c r="M81" s="830">
        <f>countif(L$3:M$71,"*" &amp; $A81 &amp; "*")</f>
        <v>1</v>
      </c>
      <c r="N81" s="830">
        <f>countif(N$3:N$71,"*" &amp; $A81 &amp; "*")</f>
        <v>1</v>
      </c>
      <c r="O81" s="830">
        <f>countif(N$3:O$71,"*" &amp; $A81 &amp; "*")</f>
        <v>1</v>
      </c>
      <c r="P81" s="830">
        <f>countif(P$3:P$71,"*" &amp; $A81 &amp; "*")</f>
        <v>1</v>
      </c>
      <c r="Q81" s="830">
        <f>countif(P$3:Q$71,"*" &amp; $A81 &amp; "*")</f>
        <v>1</v>
      </c>
      <c r="R81" s="830">
        <f>countif(R$3:R$71,"*" &amp; $A81 &amp; "*")</f>
        <v>1</v>
      </c>
      <c r="S81" s="830">
        <f>countif(R$3:S$71,"*" &amp; $A81 &amp; "*")</f>
        <v>1</v>
      </c>
      <c r="T81" s="832">
        <f t="shared" ref="T81:W81" si="128">countif(T$4:T$71,"*" &amp; $A81 &amp; "*")</f>
        <v>0</v>
      </c>
      <c r="U81" s="832">
        <f t="shared" si="128"/>
        <v>0</v>
      </c>
      <c r="V81" s="832">
        <f t="shared" si="128"/>
        <v>0</v>
      </c>
      <c r="W81" s="832">
        <f t="shared" si="128"/>
        <v>0</v>
      </c>
      <c r="X81" s="831"/>
      <c r="Y81" s="830">
        <f t="shared" ref="Y81:Y84" si="138">countif(Y$3:Y$71,"*" &amp; $A81 &amp; "*")</f>
        <v>1</v>
      </c>
      <c r="Z81" s="830">
        <f t="shared" ref="Z81:Z84" si="139">countif(Y$3:Z$71,"*" &amp; $A81 &amp; "*")</f>
        <v>1</v>
      </c>
      <c r="AA81" s="830">
        <f>countif(AA$3:AA$71,"*" &amp; $A81 &amp; "*")</f>
        <v>1</v>
      </c>
      <c r="AB81" s="830">
        <f>countif(AA$3:AB$71,"*" &amp; $A81 &amp; "*")</f>
        <v>1</v>
      </c>
      <c r="AC81" s="830">
        <f t="shared" ref="AC81:AC84" si="140">countif(AC$3:AC$71,"*" &amp; $A81 &amp; "*")</f>
        <v>1</v>
      </c>
      <c r="AD81" s="830">
        <f t="shared" ref="AD81:AD84" si="141">countif(AC$3:AD$71,"*" &amp; $A81 &amp; "*")</f>
        <v>1</v>
      </c>
      <c r="AE81" s="830">
        <f t="shared" ref="AE81:AE84" si="142">countif(AE$3:AE$71,"*" &amp; $A81 &amp; "*")</f>
        <v>1</v>
      </c>
      <c r="AF81" s="830">
        <f t="shared" ref="AF81:AF84" si="143">countif(AE$3:AF$71,"*" &amp; $A81 &amp; "*")</f>
        <v>1</v>
      </c>
      <c r="AG81" s="831"/>
      <c r="AH81" s="830">
        <f t="shared" ref="AH81:AH84" si="144">countif(AH$5:AH$71,"*" &amp; $A81 &amp; "*")</f>
        <v>1</v>
      </c>
      <c r="AI81" s="830">
        <f t="shared" ref="AI81:AI84" si="145">countif(AH$5:AI$71,"*" &amp; $A81 &amp; "*")</f>
        <v>1</v>
      </c>
      <c r="AJ81" s="830">
        <f>countif(AJ$5:AJ$71,"*" &amp; $A81 &amp; "*")</f>
        <v>1</v>
      </c>
      <c r="AK81" s="830">
        <f>countif(AJ$5:AK$71,"*" &amp; $A81 &amp; "*")</f>
        <v>1</v>
      </c>
      <c r="AL81" s="830">
        <f>countif(AL$3:AL$71,"*" &amp; $A81 &amp; "*")</f>
        <v>1</v>
      </c>
      <c r="AM81" s="830">
        <f>countif(AL$3:AM$71,"*" &amp; $A81 &amp; "*")</f>
        <v>1</v>
      </c>
      <c r="AN81" s="830">
        <f>countif(AN$3:AN$71,"*" &amp; $A81 &amp; "*")</f>
        <v>1</v>
      </c>
      <c r="AO81" s="830">
        <f t="shared" ref="AO81:AO84" si="146">countif(AN$3:AO$71,"*" &amp; $A81 &amp; "*")</f>
        <v>1</v>
      </c>
      <c r="AP81" s="831"/>
      <c r="AQ81" s="830">
        <f>countif(AQ$3:AQ$71,"*" &amp; $A81 &amp; "*")</f>
        <v>1</v>
      </c>
      <c r="AR81" s="830">
        <f>countif(AQ$3:AR$71,"*" &amp; $A81 &amp; "*")</f>
        <v>1</v>
      </c>
      <c r="AS81" s="830">
        <f>countif(AS$3:AS$71,"*" &amp; $A81 &amp; "*")</f>
        <v>1</v>
      </c>
      <c r="AT81" s="830">
        <f>countif(AS$3:AT$71,"*" &amp; $A81 &amp; "*")</f>
        <v>1</v>
      </c>
      <c r="AU81" s="830">
        <f>countif(AU$3:AU$71,"*" &amp; $A81 &amp; "*")</f>
        <v>1</v>
      </c>
      <c r="AV81" s="830">
        <f>countif(AU$3:AV$71,"*" &amp; $A81 &amp; "*")</f>
        <v>1</v>
      </c>
      <c r="AW81" s="830">
        <f>countif(AW$3:AW$71,"*" &amp; $A81 &amp; "*")</f>
        <v>1</v>
      </c>
      <c r="AX81" s="830">
        <f>countif(AW$3:AX$71,"*" &amp; $A81 &amp; "*")</f>
        <v>1</v>
      </c>
      <c r="AY81" s="831"/>
      <c r="AZ81" s="830">
        <f>countif(AZ$3:AZ$71,"*" &amp; $A81 &amp; "*")</f>
        <v>1</v>
      </c>
      <c r="BA81" s="830">
        <f>countif(AZ$3:BA$71,"*" &amp; $A81 &amp; "*")</f>
        <v>1</v>
      </c>
      <c r="BB81" s="830">
        <f>countif(BB$3:BB$71,"*" &amp; $A81 &amp; "*")</f>
        <v>1</v>
      </c>
      <c r="BC81" s="830">
        <f>countif(BB$3:BC$71,"*" &amp; $A81 &amp; "*")</f>
        <v>1</v>
      </c>
      <c r="BD81" s="830">
        <f>countif(BD$3:BD$71,"*" &amp; $A81 &amp; "*")</f>
        <v>1</v>
      </c>
      <c r="BE81" s="830">
        <f>countif(BD$3:BE$71,"*" &amp; $A81 &amp; "*")</f>
        <v>1</v>
      </c>
      <c r="BF81" s="830">
        <f>countif(BF$3:BF$71,"*" &amp; $A81 &amp; "*")</f>
        <v>1</v>
      </c>
      <c r="BG81" s="830">
        <f>countif(BF$3:BG$71,"*" &amp; $A81 &amp; "*")</f>
        <v>1</v>
      </c>
      <c r="BH81" s="831"/>
      <c r="BI81" s="830">
        <f>countif(BI$3:BI$71,"*" &amp; $A81 &amp; "*")</f>
        <v>1</v>
      </c>
      <c r="BJ81" s="830">
        <f>countif(BI$3:BJ$71,"*" &amp; $A81 &amp; "*")</f>
        <v>1</v>
      </c>
      <c r="BK81" s="830">
        <f>countif(BK$3:BK$71,"*" &amp; $A81 &amp; "*")</f>
        <v>1</v>
      </c>
      <c r="BL81" s="830">
        <f>countif(BK$3:BL$71,"*" &amp; $A81 &amp; "*")</f>
        <v>1</v>
      </c>
      <c r="BM81" s="830">
        <f>countif(BM$3:BM$71,"*" &amp; $A81 &amp; "*")</f>
        <v>1</v>
      </c>
      <c r="BN81" s="830">
        <f>countif(BM$3:BN$71,"*" &amp; $A81 &amp; "*")</f>
        <v>1</v>
      </c>
      <c r="BO81" s="830">
        <f t="shared" ref="BO81:BO84" si="148">countif(BO$3:BO$71,"*" &amp; $A81 &amp; "*")</f>
        <v>1</v>
      </c>
      <c r="BP81" s="830">
        <f t="shared" ref="BP81:BP84" si="149">countif(BO$3:BP$71,"*" &amp; $A81 &amp; "*")</f>
        <v>1</v>
      </c>
      <c r="BQ81" s="813"/>
      <c r="BR81" s="92"/>
      <c r="BS81" s="92"/>
      <c r="BT81" s="92"/>
      <c r="BU81" s="92"/>
      <c r="BV81" s="818"/>
      <c r="BW81" s="818"/>
      <c r="BY81" s="36"/>
      <c r="BZ81" s="36"/>
    </row>
    <row r="82">
      <c r="A82" s="819" t="s">
        <v>1537</v>
      </c>
      <c r="B82" s="808"/>
      <c r="C82" s="875">
        <f t="shared" ref="C82:C83" si="150">countif(B$3:C$71,"*" &amp; $A82 &amp; "*")</f>
        <v>1</v>
      </c>
      <c r="D82" s="875">
        <f t="shared" si="129"/>
        <v>1</v>
      </c>
      <c r="E82" s="875">
        <f t="shared" si="130"/>
        <v>1</v>
      </c>
      <c r="F82" s="875">
        <f t="shared" si="131"/>
        <v>1</v>
      </c>
      <c r="G82" s="875">
        <f t="shared" si="132"/>
        <v>1</v>
      </c>
      <c r="H82" s="875">
        <f t="shared" si="133"/>
        <v>1</v>
      </c>
      <c r="I82" s="875">
        <f t="shared" si="134"/>
        <v>1</v>
      </c>
      <c r="J82" s="875">
        <f t="shared" si="135"/>
        <v>1</v>
      </c>
      <c r="K82" s="831"/>
      <c r="L82" s="875">
        <f t="shared" ref="L82:S82" si="136">countif(K$3:L$71,"*" &amp; $A82 &amp; "*")</f>
        <v>1</v>
      </c>
      <c r="M82" s="875">
        <f t="shared" si="136"/>
        <v>1</v>
      </c>
      <c r="N82" s="875">
        <f t="shared" si="136"/>
        <v>1</v>
      </c>
      <c r="O82" s="875">
        <f t="shared" si="136"/>
        <v>1</v>
      </c>
      <c r="P82" s="875">
        <f t="shared" si="136"/>
        <v>1</v>
      </c>
      <c r="Q82" s="875">
        <f t="shared" si="136"/>
        <v>1</v>
      </c>
      <c r="R82" s="875">
        <f t="shared" si="136"/>
        <v>1</v>
      </c>
      <c r="S82" s="875">
        <f t="shared" si="136"/>
        <v>1</v>
      </c>
      <c r="T82" s="832">
        <f t="shared" ref="T82:W82" si="137">countif(T$4:T$71,"*" &amp; $A82 &amp; "*")</f>
        <v>0</v>
      </c>
      <c r="U82" s="832">
        <f t="shared" si="137"/>
        <v>0</v>
      </c>
      <c r="V82" s="832">
        <f t="shared" si="137"/>
        <v>0</v>
      </c>
      <c r="W82" s="832">
        <f t="shared" si="137"/>
        <v>0</v>
      </c>
      <c r="X82" s="831"/>
      <c r="Y82" s="881">
        <f t="shared" si="138"/>
        <v>1</v>
      </c>
      <c r="Z82" s="881">
        <f t="shared" si="139"/>
        <v>1</v>
      </c>
      <c r="AA82" s="881">
        <f t="shared" ref="AA82:AA84" si="153">countif(AA$3:AA$69,"*" &amp; $A82 &amp; "*")</f>
        <v>1</v>
      </c>
      <c r="AB82" s="881">
        <f t="shared" ref="AB82:AB84" si="154">countif(AA$3:AB$69,"*" &amp; $A82 &amp; "*")</f>
        <v>1</v>
      </c>
      <c r="AC82" s="881">
        <f t="shared" si="140"/>
        <v>1</v>
      </c>
      <c r="AD82" s="881">
        <f t="shared" si="141"/>
        <v>1</v>
      </c>
      <c r="AE82" s="881">
        <f t="shared" si="142"/>
        <v>1</v>
      </c>
      <c r="AF82" s="881">
        <f t="shared" si="143"/>
        <v>1</v>
      </c>
      <c r="AG82" s="831"/>
      <c r="AH82" s="875">
        <f t="shared" si="144"/>
        <v>1</v>
      </c>
      <c r="AI82" s="875">
        <f t="shared" si="145"/>
        <v>1</v>
      </c>
      <c r="AJ82" s="875">
        <f t="shared" ref="AJ82:AJ84" si="155">countif(AJ$5:AJ$70,"*" &amp; $A82 &amp; "*")</f>
        <v>1</v>
      </c>
      <c r="AK82" s="875">
        <f t="shared" ref="AK82:AK84" si="156">countif(AJ$5:AK$70,"*" &amp; $A82 &amp; "*")</f>
        <v>1</v>
      </c>
      <c r="AL82" s="875">
        <f t="shared" ref="AL82:AL84" si="157">countif(AL$3:AL$70,"*" &amp; $A82 &amp; "*")</f>
        <v>1</v>
      </c>
      <c r="AM82" s="875">
        <f t="shared" ref="AM82:AM84" si="158">countif(AL$3:AM$70,"*" &amp; $A82 &amp; "*")</f>
        <v>1</v>
      </c>
      <c r="AN82" s="875">
        <f t="shared" ref="AN82:AN84" si="159">countif(AN$3:AN$70,"*" &amp; $A82 &amp; "*")</f>
        <v>1</v>
      </c>
      <c r="AO82" s="875">
        <f t="shared" si="146"/>
        <v>1</v>
      </c>
      <c r="AP82" s="831"/>
      <c r="AQ82" s="875">
        <f t="shared" ref="AQ82:AQ83" si="160">countif(AQ$8:AQ$71,"*" &amp; $A82 &amp; "*")</f>
        <v>1</v>
      </c>
      <c r="AR82" s="875">
        <f>countif(AQ$8:AR$71,"*" &amp; $A82 &amp; "*")</f>
        <v>1</v>
      </c>
      <c r="AS82" s="875">
        <f t="shared" ref="AS82:AS83" si="161">countif(AS$4:AS$71,"*" &amp; $A82 &amp; "*")</f>
        <v>1</v>
      </c>
      <c r="AT82" s="875">
        <f>countif(AS$4:AT$71,"*" &amp; $A82 &amp; "*")</f>
        <v>1</v>
      </c>
      <c r="AU82" s="875">
        <f t="shared" ref="AU82:AU84" si="162">countif(AU$5:AU$71,"*" &amp; $A82 &amp; "*")</f>
        <v>1</v>
      </c>
      <c r="AV82" s="875">
        <f t="shared" ref="AV82:AV84" si="163">countif(AU$5:AV$71,"*" &amp; $A82 &amp; "*")</f>
        <v>1</v>
      </c>
      <c r="AW82" s="875">
        <f t="shared" ref="AW82:AW84" si="164">countif(AW$5:AW$71,"*" &amp; $A82 &amp; "*")</f>
        <v>1</v>
      </c>
      <c r="AX82" s="875">
        <f t="shared" ref="AX82:AX84" si="165">countif(AW$5:AX$71,"*" &amp; $A82 &amp; "*")</f>
        <v>1</v>
      </c>
      <c r="AY82" s="831"/>
      <c r="AZ82" s="830">
        <f t="shared" ref="AZ82:AZ84" si="166">countif(AZ$6:AZ$71,"*" &amp; $A82 &amp; "*")</f>
        <v>1</v>
      </c>
      <c r="BA82" s="875">
        <f t="shared" ref="BA82:BA84" si="167">countif(AZ$6:BA$71,"*" &amp; $A82 &amp; "*")</f>
        <v>1</v>
      </c>
      <c r="BB82" s="875">
        <f t="shared" ref="BB82:BG82" si="147">countif(BA$4:BB$71,"*" &amp; $A82 &amp; "*")</f>
        <v>1</v>
      </c>
      <c r="BC82" s="875">
        <f t="shared" si="147"/>
        <v>1</v>
      </c>
      <c r="BD82" s="875">
        <f t="shared" si="147"/>
        <v>1</v>
      </c>
      <c r="BE82" s="875">
        <f t="shared" si="147"/>
        <v>1</v>
      </c>
      <c r="BF82" s="875">
        <f t="shared" si="147"/>
        <v>1</v>
      </c>
      <c r="BG82" s="875">
        <f t="shared" si="147"/>
        <v>1</v>
      </c>
      <c r="BH82" s="831"/>
      <c r="BI82" s="875">
        <f t="shared" ref="BI82:BI84" si="169">countif(BI$4:BI$71,"*" &amp; $A82 &amp; "*")</f>
        <v>1</v>
      </c>
      <c r="BJ82" s="875">
        <f t="shared" ref="BJ82:BJ84" si="170">countif(BI$4:BJ$71,"*" &amp; $A82 &amp; "*")</f>
        <v>1</v>
      </c>
      <c r="BK82" s="875">
        <f t="shared" ref="BK82:BK84" si="171">countif(BK$4:BK$71,"*" &amp; $A82 &amp; "*")</f>
        <v>1</v>
      </c>
      <c r="BL82" s="875">
        <f t="shared" ref="BL82:BL84" si="172">countif(BK$4:BL$71,"*" &amp; $A82 &amp; "*")</f>
        <v>1</v>
      </c>
      <c r="BM82" s="875">
        <f t="shared" ref="BM82:BM84" si="173">countif(BM$4:BM$71,"*" &amp; $A82 &amp; "*")</f>
        <v>1</v>
      </c>
      <c r="BN82" s="875">
        <f t="shared" ref="BN82:BN84" si="174">countif(BM$4:BN$71,"*" &amp; $A82 &amp; "*")</f>
        <v>1</v>
      </c>
      <c r="BO82" s="830">
        <f t="shared" si="148"/>
        <v>1</v>
      </c>
      <c r="BP82" s="830">
        <f t="shared" si="149"/>
        <v>1</v>
      </c>
      <c r="BQ82" s="813"/>
      <c r="BR82" s="92"/>
      <c r="BS82" s="92"/>
      <c r="BT82" s="92"/>
      <c r="BU82" s="92"/>
      <c r="BV82" s="818"/>
      <c r="BW82" s="818"/>
      <c r="BY82" s="36"/>
      <c r="BZ82" s="36"/>
    </row>
    <row r="83">
      <c r="A83" s="819" t="s">
        <v>1581</v>
      </c>
      <c r="B83" s="808"/>
      <c r="C83" s="875">
        <f t="shared" si="150"/>
        <v>1</v>
      </c>
      <c r="D83" s="875">
        <f t="shared" si="129"/>
        <v>1</v>
      </c>
      <c r="E83" s="875">
        <f t="shared" si="130"/>
        <v>1</v>
      </c>
      <c r="F83" s="875">
        <f t="shared" si="131"/>
        <v>1</v>
      </c>
      <c r="G83" s="875">
        <f t="shared" si="132"/>
        <v>1</v>
      </c>
      <c r="H83" s="875">
        <f t="shared" si="133"/>
        <v>1</v>
      </c>
      <c r="I83" s="875">
        <f t="shared" si="134"/>
        <v>1</v>
      </c>
      <c r="J83" s="875">
        <f t="shared" si="135"/>
        <v>1</v>
      </c>
      <c r="K83" s="831"/>
      <c r="L83" s="875">
        <f t="shared" ref="L83:S83" si="151">countif(K$3:L$71,"*" &amp; $A83 &amp; "*")</f>
        <v>1</v>
      </c>
      <c r="M83" s="875">
        <f t="shared" si="151"/>
        <v>1</v>
      </c>
      <c r="N83" s="875">
        <f t="shared" si="151"/>
        <v>1</v>
      </c>
      <c r="O83" s="875">
        <f t="shared" si="151"/>
        <v>1</v>
      </c>
      <c r="P83" s="875">
        <f t="shared" si="151"/>
        <v>1</v>
      </c>
      <c r="Q83" s="875">
        <f t="shared" si="151"/>
        <v>1</v>
      </c>
      <c r="R83" s="875">
        <f t="shared" si="151"/>
        <v>1</v>
      </c>
      <c r="S83" s="875">
        <f t="shared" si="151"/>
        <v>1</v>
      </c>
      <c r="T83" s="832">
        <f t="shared" ref="T83:W83" si="152">countif(T$4:T$71,"*" &amp; $A83 &amp; "*")</f>
        <v>0</v>
      </c>
      <c r="U83" s="832">
        <f t="shared" si="152"/>
        <v>0</v>
      </c>
      <c r="V83" s="832">
        <f t="shared" si="152"/>
        <v>0</v>
      </c>
      <c r="W83" s="832">
        <f t="shared" si="152"/>
        <v>0</v>
      </c>
      <c r="X83" s="831"/>
      <c r="Y83" s="875">
        <f t="shared" si="138"/>
        <v>1</v>
      </c>
      <c r="Z83" s="875">
        <f t="shared" si="139"/>
        <v>1</v>
      </c>
      <c r="AA83" s="875">
        <f t="shared" si="153"/>
        <v>1</v>
      </c>
      <c r="AB83" s="875">
        <f t="shared" si="154"/>
        <v>1</v>
      </c>
      <c r="AC83" s="875">
        <f t="shared" si="140"/>
        <v>1</v>
      </c>
      <c r="AD83" s="875">
        <f t="shared" si="141"/>
        <v>1</v>
      </c>
      <c r="AE83" s="875">
        <f t="shared" si="142"/>
        <v>1</v>
      </c>
      <c r="AF83" s="875">
        <f t="shared" si="143"/>
        <v>1</v>
      </c>
      <c r="AG83" s="831"/>
      <c r="AH83" s="875">
        <f t="shared" si="144"/>
        <v>1</v>
      </c>
      <c r="AI83" s="875">
        <f t="shared" si="145"/>
        <v>1</v>
      </c>
      <c r="AJ83" s="875">
        <f t="shared" si="155"/>
        <v>1</v>
      </c>
      <c r="AK83" s="875">
        <f t="shared" si="156"/>
        <v>1</v>
      </c>
      <c r="AL83" s="875">
        <f t="shared" si="157"/>
        <v>1</v>
      </c>
      <c r="AM83" s="875">
        <f t="shared" si="158"/>
        <v>1</v>
      </c>
      <c r="AN83" s="875">
        <f t="shared" si="159"/>
        <v>1</v>
      </c>
      <c r="AO83" s="875">
        <f t="shared" si="146"/>
        <v>1</v>
      </c>
      <c r="AP83" s="831"/>
      <c r="AQ83" s="875">
        <f t="shared" si="160"/>
        <v>1</v>
      </c>
      <c r="AR83" s="875">
        <f t="shared" ref="AR83:AR84" si="177">countif(AQ$3:AR$71,"*" &amp; $A83 &amp; "*")</f>
        <v>1</v>
      </c>
      <c r="AS83" s="875">
        <f t="shared" si="161"/>
        <v>1</v>
      </c>
      <c r="AT83" s="875">
        <f t="shared" ref="AT83:AT84" si="178">countif(AS$3:AT$71,"*" &amp; $A83 &amp; "*")</f>
        <v>1</v>
      </c>
      <c r="AU83" s="875">
        <f t="shared" si="162"/>
        <v>1</v>
      </c>
      <c r="AV83" s="875">
        <f t="shared" si="163"/>
        <v>1</v>
      </c>
      <c r="AW83" s="875">
        <f t="shared" si="164"/>
        <v>1</v>
      </c>
      <c r="AX83" s="875">
        <f t="shared" si="165"/>
        <v>1</v>
      </c>
      <c r="AY83" s="831"/>
      <c r="AZ83" s="830">
        <f t="shared" si="166"/>
        <v>1</v>
      </c>
      <c r="BA83" s="875">
        <f t="shared" si="167"/>
        <v>1</v>
      </c>
      <c r="BB83" s="875">
        <f t="shared" ref="BB83:BG83" si="168">countif(BA$4:BB$71,"*" &amp; $A83 &amp; "*")</f>
        <v>1</v>
      </c>
      <c r="BC83" s="875">
        <f t="shared" si="168"/>
        <v>1</v>
      </c>
      <c r="BD83" s="875">
        <f t="shared" si="168"/>
        <v>1</v>
      </c>
      <c r="BE83" s="875">
        <f t="shared" si="168"/>
        <v>1</v>
      </c>
      <c r="BF83" s="875">
        <f t="shared" si="168"/>
        <v>1</v>
      </c>
      <c r="BG83" s="875">
        <f t="shared" si="168"/>
        <v>1</v>
      </c>
      <c r="BH83" s="831"/>
      <c r="BI83" s="875">
        <f t="shared" si="169"/>
        <v>1</v>
      </c>
      <c r="BJ83" s="875">
        <f t="shared" si="170"/>
        <v>1</v>
      </c>
      <c r="BK83" s="875">
        <f t="shared" si="171"/>
        <v>1</v>
      </c>
      <c r="BL83" s="875">
        <f t="shared" si="172"/>
        <v>1</v>
      </c>
      <c r="BM83" s="875">
        <f t="shared" si="173"/>
        <v>1</v>
      </c>
      <c r="BN83" s="875">
        <f t="shared" si="174"/>
        <v>1</v>
      </c>
      <c r="BO83" s="830">
        <f t="shared" si="148"/>
        <v>1</v>
      </c>
      <c r="BP83" s="830">
        <f t="shared" si="149"/>
        <v>1</v>
      </c>
      <c r="BQ83" s="813"/>
      <c r="BR83" s="92"/>
      <c r="BS83" s="92"/>
      <c r="BT83" s="92"/>
      <c r="BU83" s="92"/>
      <c r="BV83" s="818"/>
      <c r="BW83" s="818"/>
      <c r="BY83" s="36"/>
      <c r="BZ83" s="36"/>
    </row>
    <row r="84">
      <c r="A84" s="819" t="s">
        <v>1601</v>
      </c>
      <c r="B84" s="808"/>
      <c r="C84" s="875"/>
      <c r="D84" s="875"/>
      <c r="E84" s="875"/>
      <c r="F84" s="875"/>
      <c r="G84" s="875"/>
      <c r="H84" s="875"/>
      <c r="I84" s="875"/>
      <c r="J84" s="875"/>
      <c r="K84" s="831"/>
      <c r="L84" s="875">
        <f t="shared" ref="L84:S84" si="175">countif(K$3:L$71,"*" &amp; $A84 &amp; "*")</f>
        <v>1</v>
      </c>
      <c r="M84" s="875">
        <f t="shared" si="175"/>
        <v>1</v>
      </c>
      <c r="N84" s="875">
        <f t="shared" si="175"/>
        <v>1</v>
      </c>
      <c r="O84" s="875">
        <f t="shared" si="175"/>
        <v>1</v>
      </c>
      <c r="P84" s="875">
        <f t="shared" si="175"/>
        <v>1</v>
      </c>
      <c r="Q84" s="875">
        <f t="shared" si="175"/>
        <v>1</v>
      </c>
      <c r="R84" s="875">
        <f t="shared" si="175"/>
        <v>1</v>
      </c>
      <c r="S84" s="875">
        <f t="shared" si="175"/>
        <v>1</v>
      </c>
      <c r="T84" s="832">
        <f t="shared" ref="T84:W84" si="176">countif(T$4:T$71,"*" &amp; $A84 &amp; "*")</f>
        <v>0</v>
      </c>
      <c r="U84" s="832">
        <f t="shared" si="176"/>
        <v>0</v>
      </c>
      <c r="V84" s="832">
        <f t="shared" si="176"/>
        <v>0</v>
      </c>
      <c r="W84" s="832">
        <f t="shared" si="176"/>
        <v>0</v>
      </c>
      <c r="X84" s="831"/>
      <c r="Y84" s="875">
        <f t="shared" si="138"/>
        <v>1</v>
      </c>
      <c r="Z84" s="875">
        <f t="shared" si="139"/>
        <v>1</v>
      </c>
      <c r="AA84" s="875">
        <f t="shared" si="153"/>
        <v>1</v>
      </c>
      <c r="AB84" s="875">
        <f t="shared" si="154"/>
        <v>1</v>
      </c>
      <c r="AC84" s="875">
        <f t="shared" si="140"/>
        <v>1</v>
      </c>
      <c r="AD84" s="875">
        <f t="shared" si="141"/>
        <v>1</v>
      </c>
      <c r="AE84" s="875">
        <f t="shared" si="142"/>
        <v>1</v>
      </c>
      <c r="AF84" s="875">
        <f t="shared" si="143"/>
        <v>1</v>
      </c>
      <c r="AG84" s="831"/>
      <c r="AH84" s="875">
        <f t="shared" si="144"/>
        <v>1</v>
      </c>
      <c r="AI84" s="875">
        <f t="shared" si="145"/>
        <v>1</v>
      </c>
      <c r="AJ84" s="875">
        <f t="shared" si="155"/>
        <v>1</v>
      </c>
      <c r="AK84" s="875">
        <f t="shared" si="156"/>
        <v>1</v>
      </c>
      <c r="AL84" s="875">
        <f t="shared" si="157"/>
        <v>1</v>
      </c>
      <c r="AM84" s="875">
        <f t="shared" si="158"/>
        <v>1</v>
      </c>
      <c r="AN84" s="875">
        <f t="shared" si="159"/>
        <v>1</v>
      </c>
      <c r="AO84" s="875">
        <f t="shared" si="146"/>
        <v>1</v>
      </c>
      <c r="AP84" s="831"/>
      <c r="AQ84" s="875">
        <f>countif(AQ$3:AQ$71,"*" &amp; $A84 &amp; "*")</f>
        <v>1</v>
      </c>
      <c r="AR84" s="875">
        <f t="shared" si="177"/>
        <v>1</v>
      </c>
      <c r="AS84" s="875">
        <f>countif(AS$3:AS$71,"*" &amp; $A84 &amp; "*")</f>
        <v>1</v>
      </c>
      <c r="AT84" s="875">
        <f t="shared" si="178"/>
        <v>1</v>
      </c>
      <c r="AU84" s="875">
        <f t="shared" si="162"/>
        <v>1</v>
      </c>
      <c r="AV84" s="875">
        <f t="shared" si="163"/>
        <v>1</v>
      </c>
      <c r="AW84" s="875">
        <f t="shared" si="164"/>
        <v>1</v>
      </c>
      <c r="AX84" s="875">
        <f t="shared" si="165"/>
        <v>1</v>
      </c>
      <c r="AY84" s="831"/>
      <c r="AZ84" s="830">
        <f t="shared" si="166"/>
        <v>1</v>
      </c>
      <c r="BA84" s="875">
        <f t="shared" si="167"/>
        <v>1</v>
      </c>
      <c r="BB84" s="875">
        <f t="shared" ref="BB84:BE84" si="179">countif(BA$4:BB$71,"*" &amp; $A84 &amp; "*")</f>
        <v>1</v>
      </c>
      <c r="BC84" s="875">
        <f t="shared" si="179"/>
        <v>1</v>
      </c>
      <c r="BD84" s="875">
        <f t="shared" si="179"/>
        <v>1</v>
      </c>
      <c r="BE84" s="875">
        <f t="shared" si="179"/>
        <v>1</v>
      </c>
      <c r="BF84" s="830">
        <f>countif(BF$3:BF$71,"*" &amp; $A84 &amp; "*")</f>
        <v>1</v>
      </c>
      <c r="BG84" s="830">
        <f>countif(BF$3:BG$71,"*" &amp; $A84 &amp; "*")</f>
        <v>1</v>
      </c>
      <c r="BH84" s="831"/>
      <c r="BI84" s="875">
        <f t="shared" si="169"/>
        <v>1</v>
      </c>
      <c r="BJ84" s="875">
        <f t="shared" si="170"/>
        <v>1</v>
      </c>
      <c r="BK84" s="875">
        <f t="shared" si="171"/>
        <v>1</v>
      </c>
      <c r="BL84" s="875">
        <f t="shared" si="172"/>
        <v>1</v>
      </c>
      <c r="BM84" s="875">
        <f t="shared" si="173"/>
        <v>1</v>
      </c>
      <c r="BN84" s="875">
        <f t="shared" si="174"/>
        <v>1</v>
      </c>
      <c r="BO84" s="830">
        <f t="shared" si="148"/>
        <v>1</v>
      </c>
      <c r="BP84" s="830">
        <f t="shared" si="149"/>
        <v>1</v>
      </c>
      <c r="BQ84" s="813"/>
      <c r="BR84" s="92"/>
      <c r="BS84" s="92"/>
      <c r="BT84" s="92"/>
      <c r="BU84" s="92"/>
      <c r="BV84" s="818"/>
      <c r="BW84" s="818"/>
      <c r="BY84" s="36"/>
      <c r="BZ84" s="36"/>
    </row>
    <row r="85">
      <c r="A85" s="819" t="s">
        <v>1626</v>
      </c>
      <c r="B85" s="808"/>
      <c r="C85" s="875">
        <f t="shared" ref="C85:C89" si="180">countif(B$3:C$71,"*" &amp; $A85 &amp; "*")</f>
        <v>1</v>
      </c>
      <c r="D85" s="875">
        <f t="shared" ref="D85:D89" si="181">countif(C$5:D$71,"*" &amp; $A85 &amp; "*")</f>
        <v>1</v>
      </c>
      <c r="E85" s="875">
        <f>countif(E$5:E$71,"*" &amp; $A85 &amp; "*")</f>
        <v>1</v>
      </c>
      <c r="F85" s="875">
        <f t="shared" ref="F85:F89" si="182">countif(E$5:F$71,"*" &amp; $A85 &amp; "*")</f>
        <v>1</v>
      </c>
      <c r="G85" s="875">
        <f>countif(G$3:G$71,"*" &amp; $A85 &amp; "*")</f>
        <v>1</v>
      </c>
      <c r="H85" s="875">
        <f>countif(G$3:H$71,"*" &amp; $A85 &amp; "*")</f>
        <v>1</v>
      </c>
      <c r="I85" s="875">
        <f>countif(I$3:I$71,"*" &amp; $A85 &amp; "*")</f>
        <v>1</v>
      </c>
      <c r="J85" s="875">
        <f>countif(I$3:J$71,"*" &amp; $A85 &amp; "*")</f>
        <v>1</v>
      </c>
      <c r="K85" s="831"/>
      <c r="L85" s="875"/>
      <c r="M85" s="875"/>
      <c r="N85" s="875"/>
      <c r="O85" s="875"/>
      <c r="P85" s="875"/>
      <c r="Q85" s="875"/>
      <c r="R85" s="875"/>
      <c r="S85" s="875"/>
      <c r="T85" s="832"/>
      <c r="U85" s="832"/>
      <c r="V85" s="832"/>
      <c r="W85" s="832"/>
      <c r="X85" s="831"/>
      <c r="Y85" s="875"/>
      <c r="Z85" s="875"/>
      <c r="AA85" s="875"/>
      <c r="AB85" s="875"/>
      <c r="AC85" s="875"/>
      <c r="AD85" s="875"/>
      <c r="AE85" s="875"/>
      <c r="AF85" s="875"/>
      <c r="AG85" s="831"/>
      <c r="AH85" s="875"/>
      <c r="AI85" s="875"/>
      <c r="AJ85" s="875"/>
      <c r="AK85" s="875"/>
      <c r="AL85" s="875"/>
      <c r="AM85" s="875"/>
      <c r="AN85" s="875"/>
      <c r="AO85" s="875"/>
      <c r="AP85" s="831"/>
      <c r="AQ85" s="875"/>
      <c r="AR85" s="875"/>
      <c r="AS85" s="875"/>
      <c r="AT85" s="875"/>
      <c r="AU85" s="875"/>
      <c r="AV85" s="875"/>
      <c r="AW85" s="875"/>
      <c r="AX85" s="875"/>
      <c r="AY85" s="831"/>
      <c r="AZ85" s="875"/>
      <c r="BA85" s="875"/>
      <c r="BB85" s="875"/>
      <c r="BC85" s="875"/>
      <c r="BD85" s="875"/>
      <c r="BE85" s="875"/>
      <c r="BF85" s="875"/>
      <c r="BG85" s="875"/>
      <c r="BH85" s="831"/>
      <c r="BI85" s="875"/>
      <c r="BJ85" s="875"/>
      <c r="BK85" s="875"/>
      <c r="BL85" s="875"/>
      <c r="BM85" s="875"/>
      <c r="BN85" s="875"/>
      <c r="BO85" s="875"/>
      <c r="BP85" s="875"/>
      <c r="BQ85" s="813"/>
      <c r="BR85" s="92"/>
      <c r="BS85" s="92"/>
      <c r="BT85" s="92"/>
      <c r="BU85" s="92"/>
      <c r="BV85" s="818"/>
      <c r="BW85" s="818"/>
      <c r="BY85" s="36"/>
      <c r="BZ85" s="36"/>
    </row>
    <row r="86">
      <c r="A86" s="819" t="s">
        <v>139</v>
      </c>
      <c r="B86" s="808"/>
      <c r="C86" s="875">
        <f t="shared" si="180"/>
        <v>1</v>
      </c>
      <c r="D86" s="875">
        <f t="shared" si="181"/>
        <v>0</v>
      </c>
      <c r="E86" s="875">
        <f t="shared" ref="E86:E88" si="185">countif(D$3:E$71,"*" &amp; $A86 &amp; "*")</f>
        <v>1</v>
      </c>
      <c r="F86" s="875">
        <f t="shared" si="182"/>
        <v>0</v>
      </c>
      <c r="G86" s="875">
        <f>countif(F$3:G$71,"*" &amp; $A86 &amp; "*")</f>
        <v>1</v>
      </c>
      <c r="H86" s="875">
        <f>countif(G$5:H$71,"*" &amp; $A86 &amp; "*")</f>
        <v>1</v>
      </c>
      <c r="I86" s="875">
        <f>countif(H$3:I$71,"*" &amp; $A86 &amp; "*")</f>
        <v>1</v>
      </c>
      <c r="J86" s="875">
        <f>countif(I$5:J$71,"*" &amp; $A86 &amp; "*")</f>
        <v>1</v>
      </c>
      <c r="K86" s="831"/>
      <c r="L86" s="875">
        <f>countif(L$3:M$71,"*" &amp; $A86 &amp; "*")</f>
        <v>1</v>
      </c>
      <c r="M86" s="875">
        <f>countif(L$3:M$71,"*" &amp; $A86 &amp; "*")</f>
        <v>1</v>
      </c>
      <c r="N86" s="875">
        <f>countif(N$3:O$71,"*" &amp; $A86 &amp; "*")</f>
        <v>1</v>
      </c>
      <c r="O86" s="875">
        <f t="shared" ref="O86:S86" si="183">countif(N$3:O$71,"*" &amp; $A86 &amp; "*")</f>
        <v>1</v>
      </c>
      <c r="P86" s="875">
        <f t="shared" si="183"/>
        <v>1</v>
      </c>
      <c r="Q86" s="875">
        <f t="shared" si="183"/>
        <v>1</v>
      </c>
      <c r="R86" s="875">
        <f t="shared" si="183"/>
        <v>1</v>
      </c>
      <c r="S86" s="875">
        <f t="shared" si="183"/>
        <v>1</v>
      </c>
      <c r="T86" s="832">
        <f t="shared" ref="T86:W86" si="184">countif(T$4:T$71,"*" &amp; $A86 &amp; "*")</f>
        <v>0</v>
      </c>
      <c r="U86" s="832">
        <f t="shared" si="184"/>
        <v>0</v>
      </c>
      <c r="V86" s="832">
        <f t="shared" si="184"/>
        <v>0</v>
      </c>
      <c r="W86" s="832">
        <f t="shared" si="184"/>
        <v>0</v>
      </c>
      <c r="X86" s="831"/>
      <c r="Y86" s="875">
        <f t="shared" ref="Y86:Y89" si="188">countif(Y$3:Y$71,"*" &amp; $A86 &amp; "*")</f>
        <v>1</v>
      </c>
      <c r="Z86" s="875">
        <f>countif(Y$3:Z$71,"*" &amp; $A86 &amp; "*")</f>
        <v>1</v>
      </c>
      <c r="AA86" s="875">
        <f t="shared" ref="AA86:AA89" si="189">countif(AA$3:AA$69,"*" &amp; $A86 &amp; "*")</f>
        <v>1</v>
      </c>
      <c r="AB86" s="875">
        <f>countif(AA$3:AB$69,"*" &amp; $A86 &amp; "*")</f>
        <v>1</v>
      </c>
      <c r="AC86" s="875">
        <f t="shared" ref="AC86:AC89" si="190">countif(AC$3:AC$71,"*" &amp; $A86 &amp; "*")</f>
        <v>1</v>
      </c>
      <c r="AD86" s="875">
        <f>countif(AC$3:AD$71,"*" &amp; $A86 &amp; "*")</f>
        <v>1</v>
      </c>
      <c r="AE86" s="875">
        <f>countif(AE$3:AE$71,"*" &amp; $A86 &amp; "*")</f>
        <v>1</v>
      </c>
      <c r="AF86" s="875">
        <f>countif(AE$3:AF$71,"*" &amp; $A86 &amp; "*")</f>
        <v>1</v>
      </c>
      <c r="AG86" s="831"/>
      <c r="AH86" s="875">
        <f t="shared" ref="AH86:AH89" si="192">countif(AH$5:AH$71,"*" &amp; $A86 &amp; "*")</f>
        <v>1</v>
      </c>
      <c r="AI86" s="875">
        <f t="shared" ref="AI86:AI89" si="193">countif(AH$5:AI$71,"*" &amp; $A86 &amp; "*")</f>
        <v>1</v>
      </c>
      <c r="AJ86" s="875">
        <f>countif(AJ$5:AJ$71,"*" &amp; $A86 &amp; "*")</f>
        <v>1</v>
      </c>
      <c r="AK86" s="875">
        <f>countif(AJ$5:AK$71,"*" &amp; $A86 &amp; "*")</f>
        <v>1</v>
      </c>
      <c r="AL86" s="875">
        <f t="shared" ref="AL86:AL87" si="194">countif(AL$3:AL$70,"*" &amp; $A86 &amp; "*")</f>
        <v>1</v>
      </c>
      <c r="AM86" s="875">
        <f t="shared" ref="AM86:AM89" si="195">countif(AL$3:AM$70,"*" &amp; $A86 &amp; "*")</f>
        <v>1</v>
      </c>
      <c r="AN86" s="875">
        <f t="shared" ref="AN86:AN87" si="196">countif(AN$3:AN$70,"*" &amp; $A86 &amp; "*")</f>
        <v>1</v>
      </c>
      <c r="AO86" s="875">
        <f t="shared" ref="AO86:AO89" si="197">countif(AN$3:AO$71,"*" &amp; $A86 &amp; "*")</f>
        <v>1</v>
      </c>
      <c r="AP86" s="831"/>
      <c r="AQ86" s="875">
        <f t="shared" ref="AQ86:AQ88" si="198">countif(AQ$8:AQ$71,"*" &amp; $A86 &amp; "*")</f>
        <v>1</v>
      </c>
      <c r="AR86" s="875">
        <f t="shared" ref="AR86:AR88" si="199">countif(AQ$8:AR$71,"*" &amp; $A86 &amp; "*")</f>
        <v>1</v>
      </c>
      <c r="AS86" s="875">
        <f t="shared" ref="AS86:AS88" si="200">countif(AS$4:AS$71,"*" &amp; $A86 &amp; "*")</f>
        <v>1</v>
      </c>
      <c r="AT86" s="875">
        <f t="shared" ref="AT86:AT89" si="201">countif(AS$4:AT$71,"*" &amp; $A86 &amp; "*")</f>
        <v>1</v>
      </c>
      <c r="AU86" s="875">
        <f>countif(AU$3:AU$71,"*" &amp; $A86 &amp; "*")</f>
        <v>1</v>
      </c>
      <c r="AV86" s="875">
        <f>countif(AU$3:AV$71,"*" &amp; $A86 &amp; "*")</f>
        <v>1</v>
      </c>
      <c r="AW86" s="875">
        <f>countif(AW$3:AW$71,"*" &amp; $A86 &amp; "*")</f>
        <v>1</v>
      </c>
      <c r="AX86" s="875">
        <f>countif(AW$3:AX$71,"*" &amp; $A86 &amp; "*")</f>
        <v>1</v>
      </c>
      <c r="AY86" s="831"/>
      <c r="AZ86" s="875">
        <f>countif(AZ$4:AZ$71,"*" &amp; $A86 &amp; "*")</f>
        <v>1</v>
      </c>
      <c r="BA86" s="875">
        <f>countif(AZ$4:BA$71,"*" &amp; $A86 &amp; "*")</f>
        <v>1</v>
      </c>
      <c r="BB86" s="875">
        <f t="shared" ref="BB86:BB89" si="202">countif(BB$4:BB$71,"*" &amp; $A86 &amp; "*")</f>
        <v>1</v>
      </c>
      <c r="BC86" s="875">
        <f t="shared" ref="BC86:BC89" si="203">countif(BB$4:BC$71,"*" &amp; $A86 &amp; "*")</f>
        <v>1</v>
      </c>
      <c r="BD86" s="875">
        <f t="shared" ref="BD86:BD89" si="204">countif(BD$4:BD$71,"*" &amp; $A86 &amp; "*")</f>
        <v>1</v>
      </c>
      <c r="BE86" s="875">
        <f t="shared" ref="BE86:BE89" si="205">countif(BD$4:BE$71,"*" &amp; $A86 &amp; "*")</f>
        <v>1</v>
      </c>
      <c r="BF86" s="875">
        <f t="shared" ref="BF86:BF89" si="206">countif(BF$4:BF$71,"*" &amp; $A86 &amp; "*")</f>
        <v>1</v>
      </c>
      <c r="BG86" s="875">
        <f t="shared" ref="BG86:BG89" si="207">countif(BF$4:BG$71,"*" &amp; $A86 &amp; "*")</f>
        <v>1</v>
      </c>
      <c r="BH86" s="831"/>
      <c r="BI86" s="875">
        <f t="shared" ref="BI86:BI89" si="208">countif(BI$4:BI$71,"*" &amp; $A86 &amp; "*")</f>
        <v>1</v>
      </c>
      <c r="BJ86" s="875">
        <f t="shared" ref="BJ86:BJ89" si="209">countif(BI$4:BJ$71,"*" &amp; $A86 &amp; "*")</f>
        <v>1</v>
      </c>
      <c r="BK86" s="875">
        <f t="shared" ref="BK86:BK89" si="210">countif(BK$4:BK$71,"*" &amp; $A86 &amp; "*")</f>
        <v>1</v>
      </c>
      <c r="BL86" s="875">
        <f t="shared" ref="BL86:BL89" si="211">countif(BK$4:BL$71,"*" &amp; $A86 &amp; "*")</f>
        <v>1</v>
      </c>
      <c r="BM86" s="875">
        <f t="shared" ref="BM86:BM89" si="212">countif(BM$4:BM$71,"*" &amp; $A86 &amp; "*")</f>
        <v>1</v>
      </c>
      <c r="BN86" s="875">
        <f t="shared" ref="BN86:BN89" si="213">countif(BM$4:BN$71,"*" &amp; $A86 &amp; "*")</f>
        <v>1</v>
      </c>
      <c r="BO86" s="875">
        <f t="shared" ref="BO86:BO89" si="214">countif(BO$4:BO$71,"*" &amp; $A86 &amp; "*")</f>
        <v>1</v>
      </c>
      <c r="BP86" s="875">
        <f t="shared" ref="BP86:BP89" si="215">countif(BO$4:BP$71,"*" &amp; $A86 &amp; "*")</f>
        <v>1</v>
      </c>
      <c r="BQ86" s="813"/>
      <c r="BR86" s="92"/>
      <c r="BS86" s="92"/>
      <c r="BT86" s="92"/>
      <c r="BU86" s="92"/>
      <c r="BV86" s="818"/>
      <c r="BW86" s="818"/>
      <c r="BY86" s="36"/>
      <c r="BZ86" s="36"/>
    </row>
    <row r="87">
      <c r="A87" s="819" t="s">
        <v>1638</v>
      </c>
      <c r="B87" s="808"/>
      <c r="C87" s="936">
        <f t="shared" si="180"/>
        <v>1</v>
      </c>
      <c r="D87" s="936">
        <f t="shared" si="181"/>
        <v>1</v>
      </c>
      <c r="E87" s="875">
        <f t="shared" si="185"/>
        <v>1</v>
      </c>
      <c r="F87" s="875">
        <f t="shared" si="182"/>
        <v>1</v>
      </c>
      <c r="G87" s="875">
        <f>countif(G$3:G$71,"*" &amp; $A87 &amp; "*")</f>
        <v>1</v>
      </c>
      <c r="H87" s="936">
        <f>countif(G$3:H$71,"*" &amp; $A87 &amp; "*")</f>
        <v>1</v>
      </c>
      <c r="I87" s="875">
        <f>countif(I$3:I$71,"*" &amp; $A87 &amp; "*")</f>
        <v>1</v>
      </c>
      <c r="J87" s="936">
        <f>countif(I$3:J$71,"*" &amp; $A87 &amp; "*")</f>
        <v>1</v>
      </c>
      <c r="K87" s="831"/>
      <c r="L87" s="875">
        <f t="shared" ref="L87:S87" si="186">countif(L$3:L$71,"*" &amp; $A87 &amp; "*")</f>
        <v>1</v>
      </c>
      <c r="M87" s="875">
        <f t="shared" si="186"/>
        <v>1</v>
      </c>
      <c r="N87" s="875">
        <f t="shared" si="186"/>
        <v>1</v>
      </c>
      <c r="O87" s="875">
        <f t="shared" si="186"/>
        <v>1</v>
      </c>
      <c r="P87" s="875">
        <f t="shared" si="186"/>
        <v>1</v>
      </c>
      <c r="Q87" s="875">
        <f t="shared" si="186"/>
        <v>1</v>
      </c>
      <c r="R87" s="875">
        <f t="shared" si="186"/>
        <v>1</v>
      </c>
      <c r="S87" s="875">
        <f t="shared" si="186"/>
        <v>1</v>
      </c>
      <c r="T87" s="832">
        <f t="shared" ref="T87:W87" si="187">countif(T$4:T$71,"*" &amp; $A87 &amp; "*")</f>
        <v>0</v>
      </c>
      <c r="U87" s="832">
        <f t="shared" si="187"/>
        <v>0</v>
      </c>
      <c r="V87" s="832">
        <f t="shared" si="187"/>
        <v>0</v>
      </c>
      <c r="W87" s="832">
        <f t="shared" si="187"/>
        <v>0</v>
      </c>
      <c r="X87" s="831"/>
      <c r="Y87" s="875">
        <f t="shared" si="188"/>
        <v>1</v>
      </c>
      <c r="Z87" s="875">
        <f>countif(Z$3:Z$71,"*" &amp; $A87 &amp; "*")</f>
        <v>1</v>
      </c>
      <c r="AA87" s="875">
        <f t="shared" si="189"/>
        <v>1</v>
      </c>
      <c r="AB87" s="875">
        <f>countif(AB$3:AB$69,"*" &amp; $A87 &amp; "*")</f>
        <v>1</v>
      </c>
      <c r="AC87" s="875">
        <f t="shared" si="190"/>
        <v>1</v>
      </c>
      <c r="AD87" s="875">
        <f t="shared" ref="AD87:AF87" si="191">countif(AD$3:AD$71,"*" &amp; $A87 &amp; "*")</f>
        <v>1</v>
      </c>
      <c r="AE87" s="875">
        <f t="shared" si="191"/>
        <v>1</v>
      </c>
      <c r="AF87" s="875">
        <f t="shared" si="191"/>
        <v>1</v>
      </c>
      <c r="AG87" s="831"/>
      <c r="AH87" s="875">
        <f t="shared" si="192"/>
        <v>1</v>
      </c>
      <c r="AI87" s="936">
        <f t="shared" si="193"/>
        <v>1</v>
      </c>
      <c r="AJ87" s="875">
        <f>countif(AJ$5:AJ$70,"*" &amp; $A87 &amp; "*")</f>
        <v>1</v>
      </c>
      <c r="AK87" s="936">
        <f>countif(AJ$5:AK$70,"*" &amp; $A87 &amp; "*")</f>
        <v>1</v>
      </c>
      <c r="AL87" s="875">
        <f t="shared" si="194"/>
        <v>1</v>
      </c>
      <c r="AM87" s="936">
        <f t="shared" si="195"/>
        <v>1</v>
      </c>
      <c r="AN87" s="875">
        <f t="shared" si="196"/>
        <v>1</v>
      </c>
      <c r="AO87" s="936">
        <f t="shared" si="197"/>
        <v>1</v>
      </c>
      <c r="AP87" s="831"/>
      <c r="AQ87" s="875">
        <f t="shared" si="198"/>
        <v>1</v>
      </c>
      <c r="AR87" s="936">
        <f t="shared" si="199"/>
        <v>1</v>
      </c>
      <c r="AS87" s="875">
        <f t="shared" si="200"/>
        <v>1</v>
      </c>
      <c r="AT87" s="936">
        <f t="shared" si="201"/>
        <v>2</v>
      </c>
      <c r="AU87" s="875">
        <f>countif(AU$5:AU$71,"*" &amp; $A87 &amp; "*")</f>
        <v>1</v>
      </c>
      <c r="AV87" s="936">
        <f>countif(AU$5:AV$71,"*" &amp; $A87 &amp; "*")</f>
        <v>1</v>
      </c>
      <c r="AW87" s="875">
        <f>countif(AW$5:AW$71,"*" &amp; $A87 &amp; "*")</f>
        <v>1</v>
      </c>
      <c r="AX87" s="936">
        <f>countif(AW$5:AX$71,"*" &amp; $A87 &amp; "*")</f>
        <v>2</v>
      </c>
      <c r="AY87" s="831"/>
      <c r="AZ87" s="830">
        <f>countif(AZ$3:AZ$71,"*" &amp; $A87 &amp; "*")</f>
        <v>1</v>
      </c>
      <c r="BA87" s="830">
        <f>countif(AZ$3:BA$71,"*" &amp; $A87 &amp; "*")</f>
        <v>2</v>
      </c>
      <c r="BB87" s="875">
        <f t="shared" si="202"/>
        <v>1</v>
      </c>
      <c r="BC87" s="875">
        <f t="shared" si="203"/>
        <v>2</v>
      </c>
      <c r="BD87" s="875">
        <f t="shared" si="204"/>
        <v>1</v>
      </c>
      <c r="BE87" s="875">
        <f t="shared" si="205"/>
        <v>2</v>
      </c>
      <c r="BF87" s="875">
        <f t="shared" si="206"/>
        <v>1</v>
      </c>
      <c r="BG87" s="875">
        <f t="shared" si="207"/>
        <v>2</v>
      </c>
      <c r="BH87" s="831"/>
      <c r="BI87" s="875">
        <f t="shared" si="208"/>
        <v>1</v>
      </c>
      <c r="BJ87" s="875">
        <f t="shared" si="209"/>
        <v>1</v>
      </c>
      <c r="BK87" s="875">
        <f t="shared" si="210"/>
        <v>1</v>
      </c>
      <c r="BL87" s="875">
        <f t="shared" si="211"/>
        <v>1</v>
      </c>
      <c r="BM87" s="875">
        <f t="shared" si="212"/>
        <v>1</v>
      </c>
      <c r="BN87" s="875">
        <f t="shared" si="213"/>
        <v>1</v>
      </c>
      <c r="BO87" s="875">
        <f t="shared" si="214"/>
        <v>1</v>
      </c>
      <c r="BP87" s="875">
        <f t="shared" si="215"/>
        <v>1</v>
      </c>
      <c r="BQ87" s="813"/>
      <c r="BR87" s="92"/>
      <c r="BS87" s="92"/>
      <c r="BT87" s="92"/>
      <c r="BU87" s="92"/>
      <c r="BV87" s="818"/>
      <c r="BW87" s="818"/>
      <c r="BY87" s="36"/>
      <c r="BZ87" s="36"/>
    </row>
    <row r="88">
      <c r="A88" s="819" t="s">
        <v>149</v>
      </c>
      <c r="B88" s="808"/>
      <c r="C88" s="875">
        <f t="shared" si="180"/>
        <v>1</v>
      </c>
      <c r="D88" s="875">
        <f t="shared" si="181"/>
        <v>0</v>
      </c>
      <c r="E88" s="875">
        <f t="shared" si="185"/>
        <v>1</v>
      </c>
      <c r="F88" s="875">
        <f t="shared" si="182"/>
        <v>0</v>
      </c>
      <c r="G88" s="875">
        <f>countif(F$3:G$71,"*" &amp; $A88 &amp; "*")</f>
        <v>1</v>
      </c>
      <c r="H88" s="875">
        <f>countif(G$5:H$71,"*" &amp; $A88 &amp; "*")</f>
        <v>1</v>
      </c>
      <c r="I88" s="875">
        <f>countif(H$3:I$71,"*" &amp; $A88 &amp; "*")</f>
        <v>1</v>
      </c>
      <c r="J88" s="875">
        <f>countif(I$5:J$71,"*" &amp; $A88 &amp; "*")</f>
        <v>1</v>
      </c>
      <c r="K88" s="831"/>
      <c r="L88" s="875">
        <f t="shared" ref="L88:S88" si="216">countif(K$3:L$71,"*" &amp; $A88 &amp; "*")</f>
        <v>1</v>
      </c>
      <c r="M88" s="875">
        <f t="shared" si="216"/>
        <v>1</v>
      </c>
      <c r="N88" s="875">
        <f t="shared" si="216"/>
        <v>1</v>
      </c>
      <c r="O88" s="875">
        <f t="shared" si="216"/>
        <v>1</v>
      </c>
      <c r="P88" s="875">
        <f t="shared" si="216"/>
        <v>1</v>
      </c>
      <c r="Q88" s="875">
        <f t="shared" si="216"/>
        <v>1</v>
      </c>
      <c r="R88" s="875">
        <f t="shared" si="216"/>
        <v>1</v>
      </c>
      <c r="S88" s="875">
        <f t="shared" si="216"/>
        <v>1</v>
      </c>
      <c r="T88" s="832">
        <f t="shared" ref="T88:W88" si="217">countif(T$4:T$71,"*" &amp; $A88 &amp; "*")</f>
        <v>0</v>
      </c>
      <c r="U88" s="832">
        <f t="shared" si="217"/>
        <v>0</v>
      </c>
      <c r="V88" s="832">
        <f t="shared" si="217"/>
        <v>0</v>
      </c>
      <c r="W88" s="832">
        <f t="shared" si="217"/>
        <v>0</v>
      </c>
      <c r="X88" s="831"/>
      <c r="Y88" s="875">
        <f t="shared" si="188"/>
        <v>1</v>
      </c>
      <c r="Z88" s="875">
        <f t="shared" ref="Z88:Z89" si="220">countif(Y$3:Z$71,"*" &amp; $A88 &amp; "*")</f>
        <v>1</v>
      </c>
      <c r="AA88" s="875">
        <f t="shared" si="189"/>
        <v>1</v>
      </c>
      <c r="AB88" s="875">
        <f t="shared" ref="AB88:AB89" si="221">countif(AA$3:AB$69,"*" &amp; $A88 &amp; "*")</f>
        <v>1</v>
      </c>
      <c r="AC88" s="875">
        <f t="shared" si="190"/>
        <v>1</v>
      </c>
      <c r="AD88" s="875">
        <f t="shared" ref="AD88:AD89" si="222">countif(AC$3:AD$71,"*" &amp; $A88 &amp; "*")</f>
        <v>1</v>
      </c>
      <c r="AE88" s="875">
        <f t="shared" ref="AE88:AE89" si="223">countif(AE$3:AE$71,"*" &amp; $A88 &amp; "*")</f>
        <v>1</v>
      </c>
      <c r="AF88" s="875">
        <f t="shared" ref="AF88:AF89" si="224">countif(AE$3:AF$71,"*" &amp; $A88 &amp; "*")</f>
        <v>1</v>
      </c>
      <c r="AG88" s="831"/>
      <c r="AH88" s="875">
        <f t="shared" si="192"/>
        <v>1</v>
      </c>
      <c r="AI88" s="875">
        <f t="shared" si="193"/>
        <v>1</v>
      </c>
      <c r="AJ88" s="875">
        <f>countif(AJ$5:AJ$71,"*" &amp; $A88 &amp; "*")</f>
        <v>1</v>
      </c>
      <c r="AK88" s="875">
        <f>countif(AJ$5:AK$71,"*" &amp; $A88 &amp; "*")</f>
        <v>1</v>
      </c>
      <c r="AL88" s="875">
        <f>countif(AL$3:AL$71,"*" &amp; $A88 &amp; "*")</f>
        <v>1</v>
      </c>
      <c r="AM88" s="875">
        <f t="shared" si="195"/>
        <v>1</v>
      </c>
      <c r="AN88" s="875">
        <f>countif(AN$3:AN$71,"*" &amp; $A88 &amp; "*")</f>
        <v>1</v>
      </c>
      <c r="AO88" s="875">
        <f t="shared" si="197"/>
        <v>1</v>
      </c>
      <c r="AP88" s="831"/>
      <c r="AQ88" s="875">
        <f t="shared" si="198"/>
        <v>1</v>
      </c>
      <c r="AR88" s="875">
        <f t="shared" si="199"/>
        <v>1</v>
      </c>
      <c r="AS88" s="875">
        <f t="shared" si="200"/>
        <v>1</v>
      </c>
      <c r="AT88" s="875">
        <f t="shared" si="201"/>
        <v>1</v>
      </c>
      <c r="AU88" s="875">
        <f>countif(AU$3:AU$71,"*" &amp; $A88 &amp; "*")</f>
        <v>1</v>
      </c>
      <c r="AV88" s="875">
        <f>countif(AU$3:AV$71,"*" &amp; $A88 &amp; "*")</f>
        <v>1</v>
      </c>
      <c r="AW88" s="875">
        <f>countif(AW$3:AW$71,"*" &amp; $A88 &amp; "*")</f>
        <v>1</v>
      </c>
      <c r="AX88" s="875">
        <f>countif(AW$3:AX$71,"*" &amp; $A88 &amp; "*")</f>
        <v>1</v>
      </c>
      <c r="AY88" s="831"/>
      <c r="AZ88" s="875">
        <f t="shared" ref="AZ88:AZ89" si="226">countif(AZ$4:AZ$71,"*" &amp; $A88 &amp; "*")</f>
        <v>1</v>
      </c>
      <c r="BA88" s="875">
        <f t="shared" ref="BA88:BA89" si="227">countif(AZ$4:BA$71,"*" &amp; $A88 &amp; "*")</f>
        <v>1</v>
      </c>
      <c r="BB88" s="875">
        <f t="shared" si="202"/>
        <v>1</v>
      </c>
      <c r="BC88" s="875">
        <f t="shared" si="203"/>
        <v>1</v>
      </c>
      <c r="BD88" s="875">
        <f t="shared" si="204"/>
        <v>1</v>
      </c>
      <c r="BE88" s="875">
        <f t="shared" si="205"/>
        <v>1</v>
      </c>
      <c r="BF88" s="875">
        <f t="shared" si="206"/>
        <v>1</v>
      </c>
      <c r="BG88" s="875">
        <f t="shared" si="207"/>
        <v>1</v>
      </c>
      <c r="BH88" s="831"/>
      <c r="BI88" s="875">
        <f t="shared" si="208"/>
        <v>1</v>
      </c>
      <c r="BJ88" s="875">
        <f t="shared" si="209"/>
        <v>1</v>
      </c>
      <c r="BK88" s="875">
        <f t="shared" si="210"/>
        <v>1</v>
      </c>
      <c r="BL88" s="875">
        <f t="shared" si="211"/>
        <v>1</v>
      </c>
      <c r="BM88" s="875">
        <f t="shared" si="212"/>
        <v>1</v>
      </c>
      <c r="BN88" s="875">
        <f t="shared" si="213"/>
        <v>1</v>
      </c>
      <c r="BO88" s="875">
        <f t="shared" si="214"/>
        <v>1</v>
      </c>
      <c r="BP88" s="875">
        <f t="shared" si="215"/>
        <v>1</v>
      </c>
      <c r="BQ88" s="813"/>
      <c r="BR88" s="92"/>
      <c r="BS88" s="92"/>
      <c r="BT88" s="92"/>
      <c r="BU88" s="92"/>
      <c r="BV88" s="818"/>
      <c r="BW88" s="818"/>
      <c r="BY88" s="36"/>
      <c r="BZ88" s="36"/>
      <c r="CA88" s="36"/>
      <c r="CB88" s="36"/>
      <c r="CC88" s="36"/>
      <c r="CD88" s="36"/>
      <c r="CE88" s="36"/>
      <c r="CF88" s="36"/>
    </row>
    <row r="89">
      <c r="A89" s="819" t="s">
        <v>1719</v>
      </c>
      <c r="B89" s="808"/>
      <c r="C89" s="875">
        <f t="shared" si="180"/>
        <v>1</v>
      </c>
      <c r="D89" s="875">
        <f t="shared" si="181"/>
        <v>1</v>
      </c>
      <c r="E89" s="830">
        <f>countif(E$5:E$71,"*" &amp; $A89 &amp; "*")</f>
        <v>1</v>
      </c>
      <c r="F89" s="830">
        <f t="shared" si="182"/>
        <v>1</v>
      </c>
      <c r="G89" s="875">
        <f>countif(G$3:G$71,"*" &amp; $A89 &amp; "*")</f>
        <v>1</v>
      </c>
      <c r="H89" s="875">
        <f>countif(G$3:H$71,"*" &amp; $A89 &amp; "*")</f>
        <v>1</v>
      </c>
      <c r="I89" s="830">
        <f>countif(I$3:I$71,"*" &amp; $A89 &amp; "*")</f>
        <v>1</v>
      </c>
      <c r="J89" s="830">
        <f>countif(I$3:J$71,"*" &amp; $A89 &amp; "*")</f>
        <v>1</v>
      </c>
      <c r="K89" s="831"/>
      <c r="L89" s="875">
        <f t="shared" ref="L89:S89" si="218">countif(K$3:L$71,"*" &amp; $A89 &amp; "*")</f>
        <v>1</v>
      </c>
      <c r="M89" s="875">
        <f t="shared" si="218"/>
        <v>1</v>
      </c>
      <c r="N89" s="875">
        <f t="shared" si="218"/>
        <v>1</v>
      </c>
      <c r="O89" s="875">
        <f t="shared" si="218"/>
        <v>1</v>
      </c>
      <c r="P89" s="830">
        <f t="shared" si="218"/>
        <v>1</v>
      </c>
      <c r="Q89" s="830">
        <f t="shared" si="218"/>
        <v>1</v>
      </c>
      <c r="R89" s="830">
        <f t="shared" si="218"/>
        <v>1</v>
      </c>
      <c r="S89" s="830">
        <f t="shared" si="218"/>
        <v>1</v>
      </c>
      <c r="T89" s="832">
        <f t="shared" ref="T89:W89" si="219">countif(T$4:T$71,"*" &amp; $A89 &amp; "*")</f>
        <v>0</v>
      </c>
      <c r="U89" s="832">
        <f t="shared" si="219"/>
        <v>0</v>
      </c>
      <c r="V89" s="832">
        <f t="shared" si="219"/>
        <v>0</v>
      </c>
      <c r="W89" s="832">
        <f t="shared" si="219"/>
        <v>0</v>
      </c>
      <c r="X89" s="831"/>
      <c r="Y89" s="830">
        <f t="shared" si="188"/>
        <v>1</v>
      </c>
      <c r="Z89" s="830">
        <f t="shared" si="220"/>
        <v>1</v>
      </c>
      <c r="AA89" s="830">
        <f t="shared" si="189"/>
        <v>1</v>
      </c>
      <c r="AB89" s="830">
        <f t="shared" si="221"/>
        <v>1</v>
      </c>
      <c r="AC89" s="830">
        <f t="shared" si="190"/>
        <v>1</v>
      </c>
      <c r="AD89" s="830">
        <f t="shared" si="222"/>
        <v>1</v>
      </c>
      <c r="AE89" s="875">
        <f t="shared" si="223"/>
        <v>1</v>
      </c>
      <c r="AF89" s="875">
        <f t="shared" si="224"/>
        <v>1</v>
      </c>
      <c r="AG89" s="831"/>
      <c r="AH89" s="830">
        <f t="shared" si="192"/>
        <v>1</v>
      </c>
      <c r="AI89" s="830">
        <f t="shared" si="193"/>
        <v>1</v>
      </c>
      <c r="AJ89" s="830">
        <f>countif(AJ$5:AJ$70,"*" &amp; $A89 &amp; "*")</f>
        <v>1</v>
      </c>
      <c r="AK89" s="830">
        <f>countif(AJ$5:AK$70,"*" &amp; $A89 &amp; "*")</f>
        <v>1</v>
      </c>
      <c r="AL89" s="875">
        <f>countif(AL$3:AL$70,"*" &amp; $A89 &amp; "*")</f>
        <v>1</v>
      </c>
      <c r="AM89" s="875">
        <f t="shared" si="195"/>
        <v>1</v>
      </c>
      <c r="AN89" s="830">
        <f>countif(AN$3:AN$70,"*" &amp; $A89 &amp; "*")</f>
        <v>1</v>
      </c>
      <c r="AO89" s="830">
        <f t="shared" si="197"/>
        <v>1</v>
      </c>
      <c r="AP89" s="831"/>
      <c r="AQ89" s="830">
        <f t="shared" ref="AQ89:AS89" si="225">countif(AQ$4:AQ$71,"*" &amp; $A89 &amp; "*")</f>
        <v>1</v>
      </c>
      <c r="AR89" s="830">
        <f t="shared" si="225"/>
        <v>0</v>
      </c>
      <c r="AS89" s="830">
        <f t="shared" si="225"/>
        <v>1</v>
      </c>
      <c r="AT89" s="830">
        <f t="shared" si="201"/>
        <v>1</v>
      </c>
      <c r="AU89" s="830">
        <f>countif(AT$4:AU$71,"*" &amp; $A89 &amp; "*")</f>
        <v>1</v>
      </c>
      <c r="AV89" s="830">
        <f>countif(AU$5:AV$71,"*" &amp; $A89 &amp; "*")</f>
        <v>1</v>
      </c>
      <c r="AW89" s="830">
        <f>countif(AW$5:AW$71,"*" &amp; $A89 &amp; "*")</f>
        <v>1</v>
      </c>
      <c r="AX89" s="830">
        <f>countif(AW$5:AX$71,"*" &amp; $A89 &amp; "*")</f>
        <v>1</v>
      </c>
      <c r="AY89" s="831"/>
      <c r="AZ89" s="875">
        <f t="shared" si="226"/>
        <v>1</v>
      </c>
      <c r="BA89" s="875">
        <f t="shared" si="227"/>
        <v>1</v>
      </c>
      <c r="BB89" s="875">
        <f t="shared" si="202"/>
        <v>1</v>
      </c>
      <c r="BC89" s="875">
        <f t="shared" si="203"/>
        <v>1</v>
      </c>
      <c r="BD89" s="875">
        <f t="shared" si="204"/>
        <v>1</v>
      </c>
      <c r="BE89" s="875">
        <f t="shared" si="205"/>
        <v>1</v>
      </c>
      <c r="BF89" s="875">
        <f t="shared" si="206"/>
        <v>1</v>
      </c>
      <c r="BG89" s="875">
        <f t="shared" si="207"/>
        <v>1</v>
      </c>
      <c r="BH89" s="831"/>
      <c r="BI89" s="875">
        <f t="shared" si="208"/>
        <v>1</v>
      </c>
      <c r="BJ89" s="875">
        <f t="shared" si="209"/>
        <v>1</v>
      </c>
      <c r="BK89" s="875">
        <f t="shared" si="210"/>
        <v>1</v>
      </c>
      <c r="BL89" s="875">
        <f t="shared" si="211"/>
        <v>1</v>
      </c>
      <c r="BM89" s="875">
        <f t="shared" si="212"/>
        <v>1</v>
      </c>
      <c r="BN89" s="875">
        <f t="shared" si="213"/>
        <v>1</v>
      </c>
      <c r="BO89" s="875">
        <f t="shared" si="214"/>
        <v>1</v>
      </c>
      <c r="BP89" s="875">
        <f t="shared" si="215"/>
        <v>1</v>
      </c>
      <c r="BQ89" s="813"/>
      <c r="BR89" s="92"/>
      <c r="BS89" s="92"/>
      <c r="BT89" s="92"/>
      <c r="BU89" s="92"/>
      <c r="BV89" s="818"/>
      <c r="BW89" s="818"/>
    </row>
  </sheetData>
  <mergeCells count="595">
    <mergeCell ref="BV8:BV9"/>
    <mergeCell ref="AU9:AV10"/>
    <mergeCell ref="AW9:AX10"/>
    <mergeCell ref="AE10:AF11"/>
    <mergeCell ref="AH10:AO11"/>
    <mergeCell ref="AP10:AP11"/>
    <mergeCell ref="AT10:AT11"/>
    <mergeCell ref="AZ10:BG11"/>
    <mergeCell ref="BH10:BH11"/>
    <mergeCell ref="BK10:BL11"/>
    <mergeCell ref="BU10:BU11"/>
    <mergeCell ref="BY10:BY11"/>
    <mergeCell ref="BZ10:BZ11"/>
    <mergeCell ref="CA10:CA11"/>
    <mergeCell ref="CB10:CB11"/>
    <mergeCell ref="CC10:CC11"/>
    <mergeCell ref="E3:F4"/>
    <mergeCell ref="G11:H12"/>
    <mergeCell ref="BV10:BV11"/>
    <mergeCell ref="BW11:BW12"/>
    <mergeCell ref="AP12:AP13"/>
    <mergeCell ref="AW12:AX13"/>
    <mergeCell ref="AQ20:AX21"/>
    <mergeCell ref="AY20:AY21"/>
    <mergeCell ref="AZ12:BG13"/>
    <mergeCell ref="BH12:BH13"/>
    <mergeCell ref="AZ20:BG21"/>
    <mergeCell ref="BH20:BH21"/>
    <mergeCell ref="BU12:BU13"/>
    <mergeCell ref="BV12:BV13"/>
    <mergeCell ref="BY12:BY13"/>
    <mergeCell ref="BZ12:BZ13"/>
    <mergeCell ref="CA12:CA13"/>
    <mergeCell ref="CB12:CB13"/>
    <mergeCell ref="CC12:CC13"/>
    <mergeCell ref="C3:D4"/>
    <mergeCell ref="BX3:BX4"/>
    <mergeCell ref="A4:A15"/>
    <mergeCell ref="L4:M5"/>
    <mergeCell ref="N4:O5"/>
    <mergeCell ref="BQ4:BQ5"/>
    <mergeCell ref="BX11:BX12"/>
    <mergeCell ref="L18:S19"/>
    <mergeCell ref="X18:X19"/>
    <mergeCell ref="AQ18:AX19"/>
    <mergeCell ref="AY18:AY19"/>
    <mergeCell ref="AZ18:BG19"/>
    <mergeCell ref="BH18:BH19"/>
    <mergeCell ref="C20:D21"/>
    <mergeCell ref="E20:F21"/>
    <mergeCell ref="BZ20:BZ21"/>
    <mergeCell ref="CA20:CA21"/>
    <mergeCell ref="BW23:BW24"/>
    <mergeCell ref="BX23:BX24"/>
    <mergeCell ref="BU24:BU25"/>
    <mergeCell ref="BV24:BV25"/>
    <mergeCell ref="BY24:BY25"/>
    <mergeCell ref="BZ24:BZ25"/>
    <mergeCell ref="CA24:CA25"/>
    <mergeCell ref="BW45:BW46"/>
    <mergeCell ref="BX45:BX46"/>
    <mergeCell ref="BW25:BW26"/>
    <mergeCell ref="BX25:BX26"/>
    <mergeCell ref="BU26:BU27"/>
    <mergeCell ref="BV26:BV27"/>
    <mergeCell ref="BY26:BY27"/>
    <mergeCell ref="BZ26:BZ27"/>
    <mergeCell ref="CA26:CA27"/>
    <mergeCell ref="CB20:CB21"/>
    <mergeCell ref="CC20:CC21"/>
    <mergeCell ref="CB18:CB19"/>
    <mergeCell ref="CC18:CC19"/>
    <mergeCell ref="BW19:BW20"/>
    <mergeCell ref="BX19:BX20"/>
    <mergeCell ref="BU20:BU21"/>
    <mergeCell ref="BV20:BV21"/>
    <mergeCell ref="BY20:BY21"/>
    <mergeCell ref="CB22:CB23"/>
    <mergeCell ref="CC22:CC23"/>
    <mergeCell ref="BW21:BW22"/>
    <mergeCell ref="BX21:BX22"/>
    <mergeCell ref="BU22:BU23"/>
    <mergeCell ref="BV22:BV23"/>
    <mergeCell ref="BY22:BY23"/>
    <mergeCell ref="BZ22:BZ23"/>
    <mergeCell ref="CA22:CA23"/>
    <mergeCell ref="CB24:CB25"/>
    <mergeCell ref="CC24:CC25"/>
    <mergeCell ref="CB26:CB27"/>
    <mergeCell ref="CC26:CC27"/>
    <mergeCell ref="BW27:BW28"/>
    <mergeCell ref="BX27:BX28"/>
    <mergeCell ref="AJ22:AK23"/>
    <mergeCell ref="AL22:AM23"/>
    <mergeCell ref="AN22:AO23"/>
    <mergeCell ref="Y24:AF25"/>
    <mergeCell ref="AG24:AG25"/>
    <mergeCell ref="AH24:AI25"/>
    <mergeCell ref="AJ24:AK25"/>
    <mergeCell ref="AL24:AM25"/>
    <mergeCell ref="AN24:AO25"/>
    <mergeCell ref="I11:J12"/>
    <mergeCell ref="AH12:AO13"/>
    <mergeCell ref="A17:A29"/>
    <mergeCell ref="C18:D19"/>
    <mergeCell ref="E18:F19"/>
    <mergeCell ref="G18:H19"/>
    <mergeCell ref="I18:J19"/>
    <mergeCell ref="C34:D35"/>
    <mergeCell ref="C36:D37"/>
    <mergeCell ref="E36:F37"/>
    <mergeCell ref="G36:H37"/>
    <mergeCell ref="Y37:Z38"/>
    <mergeCell ref="X38:X39"/>
    <mergeCell ref="X40:X41"/>
    <mergeCell ref="AC39:AD40"/>
    <mergeCell ref="AE39:AF40"/>
    <mergeCell ref="AA40:AB41"/>
    <mergeCell ref="Y26:AF27"/>
    <mergeCell ref="AG26:AG27"/>
    <mergeCell ref="Y34:Z35"/>
    <mergeCell ref="AC34:AD35"/>
    <mergeCell ref="AC36:AD37"/>
    <mergeCell ref="AE36:AF37"/>
    <mergeCell ref="AA37:AB38"/>
    <mergeCell ref="AH53:AI54"/>
    <mergeCell ref="AJ53:AK54"/>
    <mergeCell ref="X60:X61"/>
    <mergeCell ref="Y60:Z61"/>
    <mergeCell ref="AA60:AB61"/>
    <mergeCell ref="AC60:AD61"/>
    <mergeCell ref="AE60:AE61"/>
    <mergeCell ref="AJ62:AK63"/>
    <mergeCell ref="AL62:AM63"/>
    <mergeCell ref="AN62:AO63"/>
    <mergeCell ref="X62:X63"/>
    <mergeCell ref="Y62:Z63"/>
    <mergeCell ref="AA62:AB63"/>
    <mergeCell ref="AC62:AC63"/>
    <mergeCell ref="AD62:AD63"/>
    <mergeCell ref="AE62:AF63"/>
    <mergeCell ref="AH62:AI63"/>
    <mergeCell ref="Y64:Z65"/>
    <mergeCell ref="Y66:Y67"/>
    <mergeCell ref="Z66:Z67"/>
    <mergeCell ref="AH66:AI67"/>
    <mergeCell ref="AL66:AM67"/>
    <mergeCell ref="X64:X65"/>
    <mergeCell ref="AC64:AD65"/>
    <mergeCell ref="AE64:AF65"/>
    <mergeCell ref="AH64:AI65"/>
    <mergeCell ref="AL64:AM65"/>
    <mergeCell ref="AN64:AO65"/>
    <mergeCell ref="AQ64:AR65"/>
    <mergeCell ref="AJ26:AK27"/>
    <mergeCell ref="AN26:AO27"/>
    <mergeCell ref="AJ32:AK33"/>
    <mergeCell ref="AH34:AO35"/>
    <mergeCell ref="AP34:AP35"/>
    <mergeCell ref="AH36:AO37"/>
    <mergeCell ref="AP36:AP37"/>
    <mergeCell ref="AH38:AO39"/>
    <mergeCell ref="AP38:AP39"/>
    <mergeCell ref="AQ45:AR46"/>
    <mergeCell ref="Y46:AF47"/>
    <mergeCell ref="AG46:AG47"/>
    <mergeCell ref="AH46:AO47"/>
    <mergeCell ref="AP46:AP47"/>
    <mergeCell ref="Y48:AF49"/>
    <mergeCell ref="AG48:AG49"/>
    <mergeCell ref="AH48:AO49"/>
    <mergeCell ref="AP48:AP49"/>
    <mergeCell ref="AS48:AS49"/>
    <mergeCell ref="AU48:AV49"/>
    <mergeCell ref="AW48:AX49"/>
    <mergeCell ref="Y50:AF51"/>
    <mergeCell ref="AG50:AG51"/>
    <mergeCell ref="AH50:AO51"/>
    <mergeCell ref="AP50:AP51"/>
    <mergeCell ref="AQ50:AR51"/>
    <mergeCell ref="AS50:AT51"/>
    <mergeCell ref="AW50:AX51"/>
    <mergeCell ref="AW52:AW53"/>
    <mergeCell ref="AX54:AX55"/>
    <mergeCell ref="AZ54:BA55"/>
    <mergeCell ref="BB54:BC55"/>
    <mergeCell ref="BD54:BE55"/>
    <mergeCell ref="AS45:AT46"/>
    <mergeCell ref="AU46:AV47"/>
    <mergeCell ref="AQ52:AR53"/>
    <mergeCell ref="AU52:AV53"/>
    <mergeCell ref="AZ52:BA53"/>
    <mergeCell ref="BB52:BC53"/>
    <mergeCell ref="BD52:BE53"/>
    <mergeCell ref="AY62:AY63"/>
    <mergeCell ref="AZ62:BG63"/>
    <mergeCell ref="AZ64:BG65"/>
    <mergeCell ref="AF60:AF61"/>
    <mergeCell ref="AJ60:AK61"/>
    <mergeCell ref="AL60:AM61"/>
    <mergeCell ref="AQ60:AX61"/>
    <mergeCell ref="AY60:AY61"/>
    <mergeCell ref="AZ60:BG61"/>
    <mergeCell ref="AQ62:AX63"/>
    <mergeCell ref="C62:J63"/>
    <mergeCell ref="C64:J65"/>
    <mergeCell ref="K64:K65"/>
    <mergeCell ref="L64:S65"/>
    <mergeCell ref="N52:O53"/>
    <mergeCell ref="O54:O55"/>
    <mergeCell ref="C60:J61"/>
    <mergeCell ref="K60:K61"/>
    <mergeCell ref="L60:S61"/>
    <mergeCell ref="K62:K63"/>
    <mergeCell ref="L62:S63"/>
    <mergeCell ref="I36:J37"/>
    <mergeCell ref="L36:L37"/>
    <mergeCell ref="C32:D33"/>
    <mergeCell ref="E38:F39"/>
    <mergeCell ref="A45:A57"/>
    <mergeCell ref="A59:A71"/>
    <mergeCell ref="I34:J35"/>
    <mergeCell ref="I40:J41"/>
    <mergeCell ref="G22:H23"/>
    <mergeCell ref="L22:S23"/>
    <mergeCell ref="A31:A43"/>
    <mergeCell ref="L33:M34"/>
    <mergeCell ref="R35:S36"/>
    <mergeCell ref="N36:O37"/>
    <mergeCell ref="L38:S39"/>
    <mergeCell ref="L40:S41"/>
    <mergeCell ref="C50:J51"/>
    <mergeCell ref="K50:K51"/>
    <mergeCell ref="L50:M51"/>
    <mergeCell ref="N50:N51"/>
    <mergeCell ref="P50:Q51"/>
    <mergeCell ref="G38:H39"/>
    <mergeCell ref="I38:J39"/>
    <mergeCell ref="C46:J47"/>
    <mergeCell ref="K46:K47"/>
    <mergeCell ref="C48:J49"/>
    <mergeCell ref="K48:K49"/>
    <mergeCell ref="M48:M49"/>
    <mergeCell ref="N33:O34"/>
    <mergeCell ref="P35:Q36"/>
    <mergeCell ref="P46:Q47"/>
    <mergeCell ref="P48:Q49"/>
    <mergeCell ref="R48:S49"/>
    <mergeCell ref="P52:P53"/>
    <mergeCell ref="R52:S53"/>
    <mergeCell ref="R54:R55"/>
    <mergeCell ref="BW39:BW40"/>
    <mergeCell ref="BX39:BX40"/>
    <mergeCell ref="BU40:BU41"/>
    <mergeCell ref="BV40:BV41"/>
    <mergeCell ref="BY40:BY41"/>
    <mergeCell ref="BZ40:BZ41"/>
    <mergeCell ref="CA40:CA41"/>
    <mergeCell ref="BW41:BW42"/>
    <mergeCell ref="BX41:BX42"/>
    <mergeCell ref="BU42:BU43"/>
    <mergeCell ref="BV42:BV43"/>
    <mergeCell ref="BY42:BY43"/>
    <mergeCell ref="BZ42:BZ43"/>
    <mergeCell ref="CA42:CA43"/>
    <mergeCell ref="BW33:BW34"/>
    <mergeCell ref="BX33:BX34"/>
    <mergeCell ref="BU34:BU35"/>
    <mergeCell ref="BV34:BV35"/>
    <mergeCell ref="BY34:BY35"/>
    <mergeCell ref="BZ34:BZ35"/>
    <mergeCell ref="CA34:CA35"/>
    <mergeCell ref="BW35:BW36"/>
    <mergeCell ref="BX35:BX36"/>
    <mergeCell ref="BU36:BU37"/>
    <mergeCell ref="BV36:BV37"/>
    <mergeCell ref="BY36:BY37"/>
    <mergeCell ref="BZ36:BZ37"/>
    <mergeCell ref="CA36:CA37"/>
    <mergeCell ref="CB38:CB39"/>
    <mergeCell ref="CC38:CC39"/>
    <mergeCell ref="BW37:BW38"/>
    <mergeCell ref="BX37:BX38"/>
    <mergeCell ref="BU38:BU39"/>
    <mergeCell ref="BV38:BV39"/>
    <mergeCell ref="BY38:BY39"/>
    <mergeCell ref="BZ38:BZ39"/>
    <mergeCell ref="CA38:CA39"/>
    <mergeCell ref="CB40:CB41"/>
    <mergeCell ref="CC40:CC41"/>
    <mergeCell ref="CB42:CB43"/>
    <mergeCell ref="CC42:CC43"/>
    <mergeCell ref="BM47:BN48"/>
    <mergeCell ref="BO47:BP48"/>
    <mergeCell ref="BW47:BW48"/>
    <mergeCell ref="BX47:BX48"/>
    <mergeCell ref="BU52:BU53"/>
    <mergeCell ref="BU54:BU55"/>
    <mergeCell ref="BI51:BJ52"/>
    <mergeCell ref="BK51:BL52"/>
    <mergeCell ref="BF52:BG53"/>
    <mergeCell ref="BM52:BN53"/>
    <mergeCell ref="BO52:BP53"/>
    <mergeCell ref="BV52:BV53"/>
    <mergeCell ref="BV54:BV55"/>
    <mergeCell ref="CA60:CA61"/>
    <mergeCell ref="CB60:CB61"/>
    <mergeCell ref="CC60:CC61"/>
    <mergeCell ref="BF54:BG55"/>
    <mergeCell ref="BH60:BH61"/>
    <mergeCell ref="BO60:BP61"/>
    <mergeCell ref="BU60:BU61"/>
    <mergeCell ref="BV60:BV61"/>
    <mergeCell ref="BY60:BY61"/>
    <mergeCell ref="BZ60:BZ61"/>
    <mergeCell ref="BI66:BJ67"/>
    <mergeCell ref="BK66:BL67"/>
    <mergeCell ref="BM66:BN67"/>
    <mergeCell ref="BK68:BL69"/>
    <mergeCell ref="BH62:BH63"/>
    <mergeCell ref="BI62:BJ63"/>
    <mergeCell ref="BM62:BN63"/>
    <mergeCell ref="BO62:BP63"/>
    <mergeCell ref="BH64:BH65"/>
    <mergeCell ref="BI64:BJ65"/>
    <mergeCell ref="BM64:BN65"/>
    <mergeCell ref="CB46:CB47"/>
    <mergeCell ref="CC46:CC47"/>
    <mergeCell ref="BI46:BJ47"/>
    <mergeCell ref="BK46:BL47"/>
    <mergeCell ref="BU46:BU47"/>
    <mergeCell ref="BV46:BV47"/>
    <mergeCell ref="BY46:BY47"/>
    <mergeCell ref="BZ46:BZ47"/>
    <mergeCell ref="CA46:CA47"/>
    <mergeCell ref="BI48:BJ49"/>
    <mergeCell ref="BK48:BL49"/>
    <mergeCell ref="BU48:BU49"/>
    <mergeCell ref="BV48:BV49"/>
    <mergeCell ref="BY48:BY49"/>
    <mergeCell ref="BZ48:BZ49"/>
    <mergeCell ref="CA48:CA49"/>
    <mergeCell ref="CB50:CB51"/>
    <mergeCell ref="CC50:CC51"/>
    <mergeCell ref="BM50:BN51"/>
    <mergeCell ref="BO50:BP51"/>
    <mergeCell ref="BU50:BU51"/>
    <mergeCell ref="BV50:BV51"/>
    <mergeCell ref="BY50:BY51"/>
    <mergeCell ref="BZ50:BZ51"/>
    <mergeCell ref="CA50:CA51"/>
    <mergeCell ref="BZ52:BZ53"/>
    <mergeCell ref="CA52:CA53"/>
    <mergeCell ref="BY54:BY55"/>
    <mergeCell ref="BZ54:BZ55"/>
    <mergeCell ref="CA54:CA55"/>
    <mergeCell ref="CB54:CB55"/>
    <mergeCell ref="CC54:CC55"/>
    <mergeCell ref="BO64:BP65"/>
    <mergeCell ref="BU64:BU65"/>
    <mergeCell ref="BV64:BV65"/>
    <mergeCell ref="BY64:BY65"/>
    <mergeCell ref="BZ64:BZ65"/>
    <mergeCell ref="CA64:CA65"/>
    <mergeCell ref="CB64:CB65"/>
    <mergeCell ref="CC64:CC65"/>
    <mergeCell ref="BX65:BX66"/>
    <mergeCell ref="BY66:BY67"/>
    <mergeCell ref="BX61:BX62"/>
    <mergeCell ref="BY62:BY63"/>
    <mergeCell ref="BW63:BW64"/>
    <mergeCell ref="BX63:BX64"/>
    <mergeCell ref="BW65:BW66"/>
    <mergeCell ref="BU66:BU67"/>
    <mergeCell ref="BV66:BV67"/>
    <mergeCell ref="CB68:CB69"/>
    <mergeCell ref="CC68:CC69"/>
    <mergeCell ref="CD68:CE71"/>
    <mergeCell ref="CF68:CG71"/>
    <mergeCell ref="CB70:CB71"/>
    <mergeCell ref="CC70:CC71"/>
    <mergeCell ref="BW69:BW70"/>
    <mergeCell ref="BX69:BX70"/>
    <mergeCell ref="BU70:BU71"/>
    <mergeCell ref="BV70:BV71"/>
    <mergeCell ref="BY70:BY71"/>
    <mergeCell ref="BZ70:BZ71"/>
    <mergeCell ref="CA70:CA71"/>
    <mergeCell ref="BW67:BW68"/>
    <mergeCell ref="BX67:BX68"/>
    <mergeCell ref="BU68:BU69"/>
    <mergeCell ref="BV68:BV69"/>
    <mergeCell ref="BY68:BY69"/>
    <mergeCell ref="BZ68:BZ69"/>
    <mergeCell ref="CA68:CA69"/>
    <mergeCell ref="CB52:CB53"/>
    <mergeCell ref="CC52:CC53"/>
    <mergeCell ref="CB48:CB49"/>
    <mergeCell ref="CC48:CC49"/>
    <mergeCell ref="BW49:BW50"/>
    <mergeCell ref="BX49:BX50"/>
    <mergeCell ref="BW51:BW52"/>
    <mergeCell ref="BX51:BX52"/>
    <mergeCell ref="BY52:BY53"/>
    <mergeCell ref="BZ56:BZ57"/>
    <mergeCell ref="CA56:CA57"/>
    <mergeCell ref="CB56:CB57"/>
    <mergeCell ref="CC56:CC57"/>
    <mergeCell ref="BW53:BW54"/>
    <mergeCell ref="BX53:BX54"/>
    <mergeCell ref="BW55:BW56"/>
    <mergeCell ref="BX55:BX56"/>
    <mergeCell ref="BU56:BU57"/>
    <mergeCell ref="BV56:BV57"/>
    <mergeCell ref="BY56:BY57"/>
    <mergeCell ref="BZ62:BZ63"/>
    <mergeCell ref="CA62:CA63"/>
    <mergeCell ref="BZ66:BZ67"/>
    <mergeCell ref="CA66:CA67"/>
    <mergeCell ref="CB62:CB63"/>
    <mergeCell ref="CC62:CC63"/>
    <mergeCell ref="CD64:CE67"/>
    <mergeCell ref="CF64:CG67"/>
    <mergeCell ref="CB66:CB67"/>
    <mergeCell ref="CC66:CC67"/>
    <mergeCell ref="BW59:BW60"/>
    <mergeCell ref="BX59:BX60"/>
    <mergeCell ref="BW61:BW62"/>
    <mergeCell ref="CD61:CE63"/>
    <mergeCell ref="CF61:CG63"/>
    <mergeCell ref="BU62:BU63"/>
    <mergeCell ref="BV62:BV63"/>
    <mergeCell ref="C1:J1"/>
    <mergeCell ref="L1:W1"/>
    <mergeCell ref="Y1:AF1"/>
    <mergeCell ref="AH1:AO1"/>
    <mergeCell ref="AQ1:AX1"/>
    <mergeCell ref="AZ1:BG1"/>
    <mergeCell ref="BI1:BP1"/>
    <mergeCell ref="P4:Q5"/>
    <mergeCell ref="S4:S5"/>
    <mergeCell ref="Y4:AF5"/>
    <mergeCell ref="AG4:AG5"/>
    <mergeCell ref="AQ4:AR5"/>
    <mergeCell ref="AS4:AT5"/>
    <mergeCell ref="BW3:BW4"/>
    <mergeCell ref="BU4:BU5"/>
    <mergeCell ref="BV4:BV5"/>
    <mergeCell ref="BY4:BY5"/>
    <mergeCell ref="BZ4:BZ5"/>
    <mergeCell ref="CA4:CA5"/>
    <mergeCell ref="CB4:CB5"/>
    <mergeCell ref="CC4:CC5"/>
    <mergeCell ref="AL5:AM6"/>
    <mergeCell ref="AN5:AO6"/>
    <mergeCell ref="BW5:BW6"/>
    <mergeCell ref="BX5:BX6"/>
    <mergeCell ref="C6:J7"/>
    <mergeCell ref="K6:K7"/>
    <mergeCell ref="L6:M7"/>
    <mergeCell ref="N6:O7"/>
    <mergeCell ref="Q6:Q7"/>
    <mergeCell ref="R6:S7"/>
    <mergeCell ref="Y6:AF7"/>
    <mergeCell ref="AG6:AG7"/>
    <mergeCell ref="AQ6:AR7"/>
    <mergeCell ref="AS6:AT7"/>
    <mergeCell ref="AU6:AV7"/>
    <mergeCell ref="BD6:BD7"/>
    <mergeCell ref="BE6:BE7"/>
    <mergeCell ref="BF6:BG7"/>
    <mergeCell ref="BB4:BC5"/>
    <mergeCell ref="BI4:BP5"/>
    <mergeCell ref="BH6:BH7"/>
    <mergeCell ref="BI6:BP7"/>
    <mergeCell ref="BQ6:BQ7"/>
    <mergeCell ref="BU6:BU7"/>
    <mergeCell ref="BY6:BY7"/>
    <mergeCell ref="BZ6:BZ7"/>
    <mergeCell ref="CA6:CA7"/>
    <mergeCell ref="CB6:CB7"/>
    <mergeCell ref="CC6:CC7"/>
    <mergeCell ref="BW7:BW8"/>
    <mergeCell ref="BX7:BX8"/>
    <mergeCell ref="BY8:BY9"/>
    <mergeCell ref="BZ8:BZ9"/>
    <mergeCell ref="CA8:CA9"/>
    <mergeCell ref="CB8:CB9"/>
    <mergeCell ref="CC8:CC9"/>
    <mergeCell ref="C8:J9"/>
    <mergeCell ref="K8:K9"/>
    <mergeCell ref="L8:M9"/>
    <mergeCell ref="R8:S9"/>
    <mergeCell ref="Y8:AF9"/>
    <mergeCell ref="AG8:AG9"/>
    <mergeCell ref="BV6:BV7"/>
    <mergeCell ref="AZ7:BA8"/>
    <mergeCell ref="BB7:BC8"/>
    <mergeCell ref="AH8:AO9"/>
    <mergeCell ref="AP8:AP9"/>
    <mergeCell ref="AS8:AT9"/>
    <mergeCell ref="BD8:BE9"/>
    <mergeCell ref="BF8:BF9"/>
    <mergeCell ref="BG8:BG9"/>
    <mergeCell ref="BH8:BH9"/>
    <mergeCell ref="BI8:BP9"/>
    <mergeCell ref="BQ8:BQ9"/>
    <mergeCell ref="BU8:BU9"/>
    <mergeCell ref="BW9:BW10"/>
    <mergeCell ref="BX9:BX10"/>
    <mergeCell ref="AZ24:AZ25"/>
    <mergeCell ref="BA24:BA25"/>
    <mergeCell ref="BI24:BP25"/>
    <mergeCell ref="BQ24:BQ25"/>
    <mergeCell ref="BF26:BG27"/>
    <mergeCell ref="BI26:BP27"/>
    <mergeCell ref="BQ26:BQ27"/>
    <mergeCell ref="BC32:BC33"/>
    <mergeCell ref="BI32:BP33"/>
    <mergeCell ref="BQ32:BQ33"/>
    <mergeCell ref="BD26:BE27"/>
    <mergeCell ref="BD31:BE32"/>
    <mergeCell ref="BF31:BG32"/>
    <mergeCell ref="AQ32:AX33"/>
    <mergeCell ref="AY32:AY33"/>
    <mergeCell ref="AZ32:BA33"/>
    <mergeCell ref="BB32:BB33"/>
    <mergeCell ref="AQ34:AX35"/>
    <mergeCell ref="AQ36:AX37"/>
    <mergeCell ref="AY36:AY37"/>
    <mergeCell ref="AU38:AV39"/>
    <mergeCell ref="AW38:AX39"/>
    <mergeCell ref="BI36:BP37"/>
    <mergeCell ref="BQ36:BQ37"/>
    <mergeCell ref="BQ38:BQ39"/>
    <mergeCell ref="AY34:AY35"/>
    <mergeCell ref="AZ34:BA35"/>
    <mergeCell ref="BB34:BC35"/>
    <mergeCell ref="BD34:BE35"/>
    <mergeCell ref="BF34:BG35"/>
    <mergeCell ref="BI34:BP35"/>
    <mergeCell ref="BQ34:BQ35"/>
    <mergeCell ref="G20:H21"/>
    <mergeCell ref="I20:J21"/>
    <mergeCell ref="L20:S21"/>
    <mergeCell ref="X20:X21"/>
    <mergeCell ref="AA20:AA21"/>
    <mergeCell ref="AB20:AB21"/>
    <mergeCell ref="AH20:AI21"/>
    <mergeCell ref="AL20:AM21"/>
    <mergeCell ref="C22:D23"/>
    <mergeCell ref="E22:F23"/>
    <mergeCell ref="X22:X23"/>
    <mergeCell ref="Y22:Z23"/>
    <mergeCell ref="AA22:AB23"/>
    <mergeCell ref="AH22:AI23"/>
    <mergeCell ref="AQ22:AX23"/>
    <mergeCell ref="AY22:AY23"/>
    <mergeCell ref="AZ22:BG23"/>
    <mergeCell ref="BH22:BH23"/>
    <mergeCell ref="BO22:BP23"/>
    <mergeCell ref="BW13:BW14"/>
    <mergeCell ref="BX13:BX14"/>
    <mergeCell ref="BY14:BY15"/>
    <mergeCell ref="BZ14:BZ15"/>
    <mergeCell ref="CA14:CA15"/>
    <mergeCell ref="CB14:CB15"/>
    <mergeCell ref="CC14:CC15"/>
    <mergeCell ref="BU14:BU15"/>
    <mergeCell ref="BV14:BV15"/>
    <mergeCell ref="BU18:BU19"/>
    <mergeCell ref="BV18:BV19"/>
    <mergeCell ref="BY18:BY19"/>
    <mergeCell ref="BZ18:BZ19"/>
    <mergeCell ref="CA18:CA19"/>
    <mergeCell ref="BU28:BU29"/>
    <mergeCell ref="BV28:BV29"/>
    <mergeCell ref="BY28:BY29"/>
    <mergeCell ref="BZ28:BZ29"/>
    <mergeCell ref="CA28:CA29"/>
    <mergeCell ref="CB28:CB29"/>
    <mergeCell ref="CC28:CC29"/>
    <mergeCell ref="CB32:CB33"/>
    <mergeCell ref="CC32:CC33"/>
    <mergeCell ref="BW31:BW32"/>
    <mergeCell ref="BX31:BX32"/>
    <mergeCell ref="BU32:BU33"/>
    <mergeCell ref="BV32:BV33"/>
    <mergeCell ref="BY32:BY33"/>
    <mergeCell ref="BZ32:BZ33"/>
    <mergeCell ref="CA32:CA33"/>
    <mergeCell ref="CB34:CB35"/>
    <mergeCell ref="CC34:CC35"/>
    <mergeCell ref="CB36:CB37"/>
    <mergeCell ref="CC36:CC37"/>
  </mergeCells>
  <conditionalFormatting sqref="BR1:BS89 BT1 BT3:BT89">
    <cfRule type="cellIs" dxfId="0" priority="1" operator="greaterThan">
      <formula>1</formula>
    </cfRule>
  </conditionalFormatting>
  <conditionalFormatting sqref="BU1:BU89">
    <cfRule type="cellIs" dxfId="0" priority="2" operator="greaterThan">
      <formula>3</formula>
    </cfRule>
  </conditionalFormatting>
  <conditionalFormatting sqref="BW1:BW89 BX1:BY72">
    <cfRule type="cellIs" dxfId="0" priority="3" operator="greaterThan">
      <formula>1</formula>
    </cfRule>
  </conditionalFormatting>
  <conditionalFormatting sqref="BV1:BV89 BX2 BZ4:CC15 BZ17:CC29 BZ31:CC43 BZ46:CC57 BZ59:CC71">
    <cfRule type="cellIs" dxfId="0" priority="4" operator="greaterThan">
      <formula>2</formula>
    </cfRule>
  </conditionalFormatting>
  <conditionalFormatting sqref="C78:D79 L78:L79 N78:N79 Y78:Y79 AH78:AH79 AQ78:AQ79 AZ78:AZ79 BB78:BC79 BI78:BI79">
    <cfRule type="cellIs" dxfId="3" priority="5" operator="equal">
      <formula>1</formula>
    </cfRule>
  </conditionalFormatting>
  <conditionalFormatting sqref="C81:BP89">
    <cfRule type="cellIs" dxfId="3" priority="6" operator="equal">
      <formula>1</formula>
    </cfRule>
  </conditionalFormatting>
  <conditionalFormatting sqref="C81:BP89">
    <cfRule type="cellIs" dxfId="4" priority="7" operator="lessThan">
      <formula>1</formula>
    </cfRule>
  </conditionalFormatting>
  <conditionalFormatting sqref="BB66:BG69 C73:D79 E73:AG77 AH73:AH79 AI73:AJ77 AP73:BH77 BI73:BI79">
    <cfRule type="cellIs" dxfId="3" priority="8" operator="equal">
      <formula>2</formula>
    </cfRule>
  </conditionalFormatting>
  <conditionalFormatting sqref="BZ4:CC71">
    <cfRule type="cellIs" dxfId="2" priority="9" operator="greaterThanOrEqual">
      <formula>2</formula>
    </cfRule>
  </conditionalFormatting>
  <conditionalFormatting sqref="BV4:BV71">
    <cfRule type="cellIs" dxfId="2" priority="10" operator="greaterThanOrEqual">
      <formula>2</formula>
    </cfRule>
  </conditionalFormatting>
  <conditionalFormatting sqref="BW3:BX71">
    <cfRule type="cellIs" dxfId="2" priority="11" operator="greaterThan">
      <formula>1</formula>
    </cfRule>
  </conditionalFormatting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5.13" defaultRowHeight="15.75"/>
  <cols>
    <col customWidth="1" min="1" max="1" width="8.0"/>
    <col customWidth="1" min="2" max="2" width="7.5"/>
    <col customWidth="1" min="3" max="7" width="5.88"/>
    <col customWidth="1" min="8" max="8" width="5.75"/>
    <col customWidth="1" min="9" max="9" width="6.25"/>
    <col customWidth="1" min="10" max="10" width="6.5"/>
    <col customWidth="1" min="11" max="11" width="5.13"/>
    <col customWidth="1" min="12" max="18" width="5.88"/>
    <col customWidth="1" min="19" max="19" width="5.38"/>
    <col customWidth="1" min="20" max="25" width="5.88"/>
    <col customWidth="1" min="26" max="27" width="6.13"/>
    <col customWidth="1" min="28" max="28" width="5.38"/>
    <col customWidth="1" min="29" max="32" width="5.88"/>
    <col customWidth="1" min="33" max="34" width="6.38"/>
    <col customWidth="1" min="35" max="36" width="5.88"/>
    <col customWidth="1" min="37" max="37" width="5.38"/>
    <col customWidth="1" min="38" max="38" width="6.88"/>
    <col customWidth="1" min="39" max="45" width="5.88"/>
    <col customWidth="1" min="46" max="46" width="5.38"/>
    <col customWidth="1" min="47" max="47" width="5.88"/>
    <col customWidth="1" min="48" max="48" width="6.25"/>
    <col customWidth="1" min="49" max="50" width="5.88"/>
    <col customWidth="1" min="51" max="51" width="6.5"/>
    <col customWidth="1" min="52" max="52" width="5.88"/>
    <col customWidth="1" min="53" max="53" width="5.38"/>
    <col customWidth="1" min="54" max="59" width="5.88"/>
    <col customWidth="1" min="60" max="60" width="7.63"/>
    <col customWidth="1" hidden="1" min="61" max="61" width="5.88"/>
    <col customWidth="1" hidden="1" min="62" max="63" width="5.38"/>
    <col customWidth="1" min="64" max="64" width="5.75"/>
    <col customWidth="1" hidden="1" min="65" max="67" width="4.0"/>
    <col customWidth="1" hidden="1" min="68" max="69" width="4.13"/>
    <col customWidth="1" hidden="1" min="70" max="73" width="5.63"/>
    <col customWidth="1" hidden="1" min="74" max="75" width="4.13"/>
    <col customWidth="1" hidden="1" min="76" max="76" width="5.38"/>
    <col customWidth="1" min="77" max="80" width="4.5"/>
    <col customWidth="1" min="81" max="82" width="4.13"/>
  </cols>
  <sheetData>
    <row r="1">
      <c r="A1" s="1"/>
      <c r="B1" s="2"/>
      <c r="C1" s="3" t="s">
        <v>17</v>
      </c>
      <c r="D1" s="4"/>
      <c r="E1" s="4"/>
      <c r="F1" s="4"/>
      <c r="G1" s="4"/>
      <c r="H1" s="4"/>
      <c r="I1" s="4"/>
      <c r="J1" s="5"/>
      <c r="K1" s="18"/>
      <c r="L1" s="3" t="s">
        <v>36</v>
      </c>
      <c r="M1" s="4"/>
      <c r="N1" s="4"/>
      <c r="O1" s="4"/>
      <c r="P1" s="4"/>
      <c r="Q1" s="4"/>
      <c r="R1" s="5"/>
      <c r="S1" s="7"/>
      <c r="T1" s="3" t="s">
        <v>53</v>
      </c>
      <c r="U1" s="4"/>
      <c r="V1" s="4"/>
      <c r="W1" s="4"/>
      <c r="X1" s="4"/>
      <c r="Y1" s="4"/>
      <c r="Z1" s="4"/>
      <c r="AA1" s="5"/>
      <c r="AB1" s="7"/>
      <c r="AC1" s="3" t="s">
        <v>67</v>
      </c>
      <c r="AD1" s="4"/>
      <c r="AE1" s="4"/>
      <c r="AF1" s="4"/>
      <c r="AG1" s="4"/>
      <c r="AH1" s="4"/>
      <c r="AI1" s="4"/>
      <c r="AJ1" s="5"/>
      <c r="AK1" s="7"/>
      <c r="AL1" s="3" t="s">
        <v>86</v>
      </c>
      <c r="AM1" s="4"/>
      <c r="AN1" s="4"/>
      <c r="AO1" s="4"/>
      <c r="AP1" s="4"/>
      <c r="AQ1" s="4"/>
      <c r="AR1" s="4"/>
      <c r="AS1" s="5"/>
      <c r="AT1" s="7"/>
      <c r="AU1" s="3" t="s">
        <v>102</v>
      </c>
      <c r="AV1" s="4"/>
      <c r="AW1" s="4"/>
      <c r="AX1" s="4"/>
      <c r="AY1" s="4"/>
      <c r="AZ1" s="5"/>
      <c r="BA1" s="7"/>
      <c r="BB1" s="3" t="s">
        <v>121</v>
      </c>
      <c r="BC1" s="4"/>
      <c r="BD1" s="4"/>
      <c r="BE1" s="4"/>
      <c r="BF1" s="4"/>
      <c r="BG1" s="4"/>
      <c r="BH1" s="4"/>
      <c r="BI1" s="4"/>
      <c r="BJ1" s="4"/>
      <c r="BK1" s="4"/>
      <c r="BL1" s="5"/>
      <c r="BM1" s="11" t="s">
        <v>16</v>
      </c>
      <c r="BN1" s="11" t="s">
        <v>16</v>
      </c>
      <c r="BO1" s="11" t="s">
        <v>16</v>
      </c>
      <c r="BP1" s="11" t="s">
        <v>18</v>
      </c>
      <c r="BQ1" s="16"/>
      <c r="BR1" s="24"/>
      <c r="BS1" s="24"/>
      <c r="BT1" s="16"/>
      <c r="BU1" s="16"/>
      <c r="BV1" s="16"/>
      <c r="BW1" s="11"/>
      <c r="BX1" s="11"/>
      <c r="BY1" s="17"/>
      <c r="BZ1" s="17"/>
      <c r="CA1" s="17"/>
      <c r="CB1" s="17"/>
      <c r="CC1" s="17"/>
      <c r="CD1" s="17"/>
    </row>
    <row r="2">
      <c r="A2" s="2"/>
      <c r="B2" s="2"/>
      <c r="C2" s="1" t="s">
        <v>152</v>
      </c>
      <c r="D2" s="1" t="s">
        <v>153</v>
      </c>
      <c r="E2" s="37" t="s">
        <v>157</v>
      </c>
      <c r="F2" s="37" t="s">
        <v>160</v>
      </c>
      <c r="G2" s="1" t="s">
        <v>162</v>
      </c>
      <c r="H2" s="1" t="s">
        <v>164</v>
      </c>
      <c r="I2" s="1" t="s">
        <v>165</v>
      </c>
      <c r="J2" s="1" t="s">
        <v>166</v>
      </c>
      <c r="K2" s="20" t="s">
        <v>169</v>
      </c>
      <c r="L2" s="1" t="s">
        <v>172</v>
      </c>
      <c r="M2" s="1" t="s">
        <v>174</v>
      </c>
      <c r="N2" s="1" t="s">
        <v>175</v>
      </c>
      <c r="O2" s="1" t="s">
        <v>176</v>
      </c>
      <c r="P2" s="1" t="s">
        <v>178</v>
      </c>
      <c r="Q2" s="1" t="s">
        <v>179</v>
      </c>
      <c r="R2" s="1" t="s">
        <v>181</v>
      </c>
      <c r="S2" s="20" t="s">
        <v>38</v>
      </c>
      <c r="T2" s="1" t="s">
        <v>182</v>
      </c>
      <c r="U2" s="1" t="s">
        <v>184</v>
      </c>
      <c r="V2" s="1" t="s">
        <v>185</v>
      </c>
      <c r="W2" s="1" t="s">
        <v>186</v>
      </c>
      <c r="X2" s="1" t="s">
        <v>188</v>
      </c>
      <c r="Y2" s="1" t="s">
        <v>189</v>
      </c>
      <c r="Z2" s="1" t="s">
        <v>190</v>
      </c>
      <c r="AA2" s="1" t="s">
        <v>192</v>
      </c>
      <c r="AB2" s="20" t="s">
        <v>38</v>
      </c>
      <c r="AC2" s="1" t="s">
        <v>193</v>
      </c>
      <c r="AD2" s="1" t="s">
        <v>195</v>
      </c>
      <c r="AE2" s="1" t="s">
        <v>197</v>
      </c>
      <c r="AF2" s="1" t="s">
        <v>198</v>
      </c>
      <c r="AG2" s="1" t="s">
        <v>200</v>
      </c>
      <c r="AH2" s="1" t="s">
        <v>202</v>
      </c>
      <c r="AI2" s="1" t="s">
        <v>204</v>
      </c>
      <c r="AJ2" s="1" t="s">
        <v>205</v>
      </c>
      <c r="AK2" s="20" t="s">
        <v>38</v>
      </c>
      <c r="AL2" s="1" t="s">
        <v>207</v>
      </c>
      <c r="AM2" s="1" t="s">
        <v>208</v>
      </c>
      <c r="AN2" s="1" t="s">
        <v>209</v>
      </c>
      <c r="AO2" s="1" t="s">
        <v>211</v>
      </c>
      <c r="AP2" s="1" t="s">
        <v>213</v>
      </c>
      <c r="AQ2" s="1" t="s">
        <v>214</v>
      </c>
      <c r="AR2" s="1" t="s">
        <v>215</v>
      </c>
      <c r="AS2" s="1" t="s">
        <v>217</v>
      </c>
      <c r="AT2" s="20" t="s">
        <v>38</v>
      </c>
      <c r="AU2" s="1" t="s">
        <v>219</v>
      </c>
      <c r="AV2" s="1" t="s">
        <v>221</v>
      </c>
      <c r="AW2" s="1" t="s">
        <v>222</v>
      </c>
      <c r="AX2" s="1" t="s">
        <v>223</v>
      </c>
      <c r="AY2" s="1" t="s">
        <v>224</v>
      </c>
      <c r="AZ2" s="1" t="s">
        <v>226</v>
      </c>
      <c r="BA2" s="20" t="s">
        <v>38</v>
      </c>
      <c r="BB2" s="73" t="s">
        <v>227</v>
      </c>
      <c r="BC2" s="73" t="s">
        <v>230</v>
      </c>
      <c r="BD2" s="73" t="s">
        <v>232</v>
      </c>
      <c r="BE2" s="73" t="s">
        <v>233</v>
      </c>
      <c r="BF2" s="76" t="s">
        <v>236</v>
      </c>
      <c r="BG2" s="76" t="s">
        <v>239</v>
      </c>
      <c r="BH2" s="76" t="s">
        <v>241</v>
      </c>
      <c r="BI2" s="78"/>
      <c r="BJ2" s="78"/>
      <c r="BK2" s="78"/>
      <c r="BL2" s="80" t="s">
        <v>38</v>
      </c>
      <c r="BM2" s="11" t="s">
        <v>245</v>
      </c>
      <c r="BN2" s="1" t="s">
        <v>246</v>
      </c>
      <c r="BO2" s="1" t="s">
        <v>248</v>
      </c>
      <c r="BP2" s="1"/>
      <c r="BQ2" s="22" t="s">
        <v>144</v>
      </c>
      <c r="BR2" s="83" t="s">
        <v>253</v>
      </c>
      <c r="BS2" s="83" t="s">
        <v>255</v>
      </c>
      <c r="BT2" s="84" t="s">
        <v>257</v>
      </c>
      <c r="BU2" s="22" t="s">
        <v>260</v>
      </c>
      <c r="BV2" s="29" t="s">
        <v>262</v>
      </c>
      <c r="BW2" s="1" t="s">
        <v>264</v>
      </c>
      <c r="BX2" s="1" t="s">
        <v>266</v>
      </c>
      <c r="BY2" s="38"/>
      <c r="BZ2" s="38"/>
      <c r="CA2" s="38"/>
      <c r="CB2" s="38"/>
      <c r="CC2" s="38"/>
      <c r="CD2" s="38"/>
    </row>
    <row r="3" ht="15.75" customHeight="1">
      <c r="A3" s="30" t="s">
        <v>148</v>
      </c>
      <c r="B3" s="40">
        <v>42623.0</v>
      </c>
      <c r="C3" s="88"/>
      <c r="D3" s="63"/>
      <c r="E3" s="91" t="s">
        <v>271</v>
      </c>
      <c r="F3" s="94"/>
      <c r="G3" s="94"/>
      <c r="H3" s="94"/>
      <c r="I3" s="98" t="s">
        <v>275</v>
      </c>
      <c r="J3" s="100" t="s">
        <v>286</v>
      </c>
      <c r="K3" s="62"/>
      <c r="L3" s="102" t="s">
        <v>287</v>
      </c>
      <c r="R3" s="106"/>
      <c r="S3" s="108" t="s">
        <v>245</v>
      </c>
      <c r="T3" s="110"/>
      <c r="U3" s="110"/>
      <c r="V3" s="110"/>
      <c r="W3" s="110"/>
      <c r="AB3" s="62"/>
      <c r="AI3" s="116"/>
      <c r="AJ3" s="119"/>
      <c r="AK3" s="62"/>
      <c r="AL3" s="122" t="s">
        <v>295</v>
      </c>
      <c r="AM3" s="61"/>
      <c r="AN3" s="61"/>
      <c r="AO3" s="61"/>
      <c r="AP3" s="61"/>
      <c r="AQ3" s="61"/>
      <c r="AR3" s="61"/>
      <c r="AS3" s="46"/>
      <c r="AT3" s="108" t="s">
        <v>248</v>
      </c>
      <c r="AU3" s="126" t="s">
        <v>299</v>
      </c>
      <c r="AV3" s="46"/>
      <c r="AW3" s="63"/>
      <c r="AX3" s="63"/>
      <c r="AY3" s="63"/>
      <c r="AZ3" s="63"/>
      <c r="BA3" s="62"/>
      <c r="BB3" s="122" t="s">
        <v>300</v>
      </c>
      <c r="BC3" s="61"/>
      <c r="BD3" s="61"/>
      <c r="BE3" s="61"/>
      <c r="BF3" s="61"/>
      <c r="BG3" s="61"/>
      <c r="BH3" s="46"/>
      <c r="BJ3" s="133"/>
      <c r="BK3" s="135"/>
      <c r="BL3" s="65" t="s">
        <v>246</v>
      </c>
      <c r="BM3" s="72">
        <f t="shared" ref="BM3:BO3" si="1">countif($K3:$BL3,BM$2)</f>
        <v>1</v>
      </c>
      <c r="BN3" s="74">
        <f t="shared" si="1"/>
        <v>1</v>
      </c>
      <c r="BO3" s="74">
        <f t="shared" si="1"/>
        <v>1</v>
      </c>
      <c r="BP3" s="81">
        <f>countif($C3:$BL4,"* (s)*")</f>
        <v>0</v>
      </c>
      <c r="BQ3" s="81">
        <f>countif($C3:$BL3,"*" &amp; BQ$2 &amp; "*")</f>
        <v>1</v>
      </c>
      <c r="BR3" s="81">
        <f>(countif($C3:$BK5,"*ME (l)*") / 2)</f>
        <v>0</v>
      </c>
      <c r="BS3" s="81">
        <f>INT((countif($C3:$BK5,"*DE (l)*"))/2*100)/100</f>
        <v>0</v>
      </c>
      <c r="BT3" s="81">
        <f>countif($C3:$BL3,"*SS (l)*") / 2</f>
        <v>1</v>
      </c>
      <c r="BU3" s="81">
        <f>(countif($C3:$BK5,"*CCP (l)*") + countif($C3:$BK5,"*CCP (l)*")) / 4</f>
        <v>1</v>
      </c>
      <c r="BV3" s="81">
        <f>countif($C3:$BL4,"*" &amp; "CID (s)" &amp; "*")/2</f>
        <v>0</v>
      </c>
      <c r="BW3" s="159">
        <f>countif($C3:$BL3,"*" &amp; "CID (l)" &amp; "*") /2</f>
        <v>0</v>
      </c>
      <c r="BX3" s="162">
        <f t="shared" ref="BX3:BX10" si="3">countif($K3:$BL3,"*" &amp; BX$2 &amp; "*")</f>
        <v>0</v>
      </c>
      <c r="CA3" s="17"/>
      <c r="CB3" s="17"/>
      <c r="CC3" s="17"/>
      <c r="CD3" s="17"/>
    </row>
    <row r="4" ht="19.5" customHeight="1">
      <c r="A4" s="96"/>
      <c r="B4" s="97">
        <v>42654.0</v>
      </c>
      <c r="C4" s="88"/>
      <c r="D4" s="100" t="s">
        <v>334</v>
      </c>
      <c r="E4" s="112"/>
      <c r="F4" s="88"/>
      <c r="G4" s="88"/>
      <c r="H4" s="63"/>
      <c r="I4" s="112"/>
      <c r="J4" s="167" t="s">
        <v>336</v>
      </c>
      <c r="K4" s="62"/>
      <c r="L4" s="85"/>
      <c r="M4" s="87"/>
      <c r="N4" s="87"/>
      <c r="O4" s="87"/>
      <c r="P4" s="87"/>
      <c r="Q4" s="87"/>
      <c r="R4" s="86"/>
      <c r="S4" s="65" t="s">
        <v>245</v>
      </c>
      <c r="T4" s="91" t="s">
        <v>337</v>
      </c>
      <c r="U4" s="91" t="s">
        <v>337</v>
      </c>
      <c r="W4" s="110"/>
      <c r="AB4" s="62"/>
      <c r="AC4" s="91" t="s">
        <v>338</v>
      </c>
      <c r="AD4" s="91" t="s">
        <v>338</v>
      </c>
      <c r="AI4" s="91" t="s">
        <v>339</v>
      </c>
      <c r="AJ4" s="91" t="s">
        <v>340</v>
      </c>
      <c r="AK4" s="62"/>
      <c r="AL4" s="85"/>
      <c r="AM4" s="87"/>
      <c r="AN4" s="87"/>
      <c r="AO4" s="87"/>
      <c r="AP4" s="87"/>
      <c r="AQ4" s="87"/>
      <c r="AR4" s="87"/>
      <c r="AS4" s="86"/>
      <c r="AT4" s="108" t="s">
        <v>248</v>
      </c>
      <c r="AU4" s="85"/>
      <c r="AV4" s="86"/>
      <c r="AW4" s="63"/>
      <c r="AX4" s="63"/>
      <c r="AY4" s="63"/>
      <c r="AZ4" s="63"/>
      <c r="BA4" s="62"/>
      <c r="BB4" s="85"/>
      <c r="BC4" s="87"/>
      <c r="BD4" s="87"/>
      <c r="BE4" s="87"/>
      <c r="BF4" s="87"/>
      <c r="BG4" s="87"/>
      <c r="BH4" s="86"/>
      <c r="BJ4" s="169"/>
      <c r="BK4" s="128"/>
      <c r="BL4" s="65" t="s">
        <v>246</v>
      </c>
      <c r="BM4" s="72">
        <f t="shared" ref="BM4:BO4" si="2">countif($K4:$BL4,BM$2)</f>
        <v>1</v>
      </c>
      <c r="BN4" s="74">
        <f t="shared" si="2"/>
        <v>1</v>
      </c>
      <c r="BO4" s="74">
        <f t="shared" si="2"/>
        <v>1</v>
      </c>
      <c r="BP4" s="96"/>
      <c r="BQ4" s="112"/>
      <c r="BR4" s="96"/>
      <c r="BS4" s="96"/>
      <c r="BT4" s="112"/>
      <c r="BU4" s="96"/>
      <c r="BV4" s="112"/>
      <c r="BW4" s="112"/>
      <c r="BX4" s="173">
        <f t="shared" si="3"/>
        <v>0</v>
      </c>
      <c r="CA4" s="17"/>
      <c r="CB4" s="17"/>
      <c r="CC4" s="17"/>
      <c r="CD4" s="17"/>
    </row>
    <row r="5" ht="19.5" customHeight="1">
      <c r="A5" s="96"/>
      <c r="B5" s="97">
        <v>42686.0</v>
      </c>
      <c r="C5" s="174" t="s">
        <v>345</v>
      </c>
      <c r="D5" s="174" t="s">
        <v>348</v>
      </c>
      <c r="E5" s="44" t="s">
        <v>350</v>
      </c>
      <c r="F5" s="46"/>
      <c r="G5" s="63"/>
      <c r="H5" s="91" t="s">
        <v>271</v>
      </c>
      <c r="I5" s="174" t="s">
        <v>299</v>
      </c>
      <c r="J5" s="174" t="s">
        <v>353</v>
      </c>
      <c r="K5" s="62"/>
      <c r="L5" s="102" t="s">
        <v>356</v>
      </c>
      <c r="R5" s="106"/>
      <c r="S5" s="65" t="s">
        <v>245</v>
      </c>
      <c r="T5" s="96"/>
      <c r="U5" s="96"/>
      <c r="W5" s="110"/>
      <c r="X5" s="44" t="s">
        <v>357</v>
      </c>
      <c r="Y5" s="46"/>
      <c r="AB5" s="62"/>
      <c r="AC5" s="96"/>
      <c r="AD5" s="96"/>
      <c r="AG5" s="183" t="s">
        <v>271</v>
      </c>
      <c r="AH5" s="46"/>
      <c r="AI5" s="96"/>
      <c r="AJ5" s="96"/>
      <c r="AK5" s="62"/>
      <c r="AL5" s="102" t="s">
        <v>360</v>
      </c>
      <c r="AS5" s="106"/>
      <c r="AT5" s="108" t="s">
        <v>248</v>
      </c>
      <c r="AU5" s="187"/>
      <c r="AV5" s="189"/>
      <c r="AW5" s="189"/>
      <c r="AX5" s="189"/>
      <c r="AY5" s="174" t="s">
        <v>364</v>
      </c>
      <c r="AZ5" s="174" t="s">
        <v>286</v>
      </c>
      <c r="BA5" s="62"/>
      <c r="BB5" s="122" t="s">
        <v>366</v>
      </c>
      <c r="BC5" s="61"/>
      <c r="BD5" s="61"/>
      <c r="BE5" s="61"/>
      <c r="BF5" s="61"/>
      <c r="BG5" s="61"/>
      <c r="BH5" s="46"/>
      <c r="BJ5" s="169"/>
      <c r="BK5" s="128"/>
      <c r="BL5" s="65" t="s">
        <v>246</v>
      </c>
      <c r="BM5" s="72">
        <f t="shared" ref="BM5:BO5" si="4">countif($K5:$BL5,BM$2)</f>
        <v>1</v>
      </c>
      <c r="BN5" s="74">
        <f t="shared" si="4"/>
        <v>1</v>
      </c>
      <c r="BO5" s="74">
        <f t="shared" si="4"/>
        <v>1</v>
      </c>
      <c r="BP5" s="81">
        <f>countif($C5:$BL6,"* (s)*")</f>
        <v>2</v>
      </c>
      <c r="BQ5" s="81">
        <f>countif($C5:$BL5,"*" &amp; BQ$2 &amp; "*")</f>
        <v>4</v>
      </c>
      <c r="BR5" s="112"/>
      <c r="BS5" s="112"/>
      <c r="BT5" s="81">
        <f>countif($C5:$BL5,"*SS (l)*") / 2</f>
        <v>1</v>
      </c>
      <c r="BU5" s="112"/>
      <c r="BV5" s="81">
        <f>countif($C5:$BL6,"*" &amp; "CID (s)" &amp; "*")/2</f>
        <v>0</v>
      </c>
      <c r="BW5" s="159">
        <f>countif($C5:$BL5,"*" &amp; "CID (l)" &amp; "*") /2</f>
        <v>0</v>
      </c>
      <c r="BX5" s="162">
        <f t="shared" si="3"/>
        <v>0</v>
      </c>
      <c r="CA5" s="17"/>
      <c r="CB5" s="17"/>
      <c r="CC5" s="17"/>
      <c r="CD5" s="17"/>
    </row>
    <row r="6" ht="15.75" customHeight="1">
      <c r="A6" s="96"/>
      <c r="B6" s="97">
        <v>42717.0</v>
      </c>
      <c r="C6" s="112"/>
      <c r="D6" s="112"/>
      <c r="E6" s="85"/>
      <c r="F6" s="86"/>
      <c r="G6" s="63"/>
      <c r="H6" s="112"/>
      <c r="I6" s="112"/>
      <c r="J6" s="112"/>
      <c r="K6" s="62"/>
      <c r="L6" s="85"/>
      <c r="M6" s="87"/>
      <c r="N6" s="87"/>
      <c r="O6" s="87"/>
      <c r="P6" s="87"/>
      <c r="Q6" s="87"/>
      <c r="R6" s="86"/>
      <c r="S6" s="65" t="s">
        <v>245</v>
      </c>
      <c r="T6" s="112"/>
      <c r="U6" s="112"/>
      <c r="W6" s="110"/>
      <c r="X6" s="85"/>
      <c r="Y6" s="86"/>
      <c r="AB6" s="62"/>
      <c r="AC6" s="112"/>
      <c r="AD6" s="112"/>
      <c r="AG6" s="85"/>
      <c r="AH6" s="86"/>
      <c r="AI6" s="112"/>
      <c r="AJ6" s="112"/>
      <c r="AK6" s="62"/>
      <c r="AL6" s="85"/>
      <c r="AM6" s="87"/>
      <c r="AN6" s="87"/>
      <c r="AO6" s="87"/>
      <c r="AP6" s="87"/>
      <c r="AQ6" s="87"/>
      <c r="AR6" s="87"/>
      <c r="AS6" s="86"/>
      <c r="AT6" s="108" t="s">
        <v>248</v>
      </c>
      <c r="AU6" s="205"/>
      <c r="AV6" s="207"/>
      <c r="AW6" s="207"/>
      <c r="AX6" s="207"/>
      <c r="AY6" s="112"/>
      <c r="AZ6" s="112"/>
      <c r="BA6" s="62"/>
      <c r="BB6" s="85"/>
      <c r="BC6" s="87"/>
      <c r="BD6" s="87"/>
      <c r="BE6" s="87"/>
      <c r="BF6" s="87"/>
      <c r="BG6" s="87"/>
      <c r="BH6" s="86"/>
      <c r="BJ6" s="208"/>
      <c r="BK6" s="128"/>
      <c r="BL6" s="65" t="s">
        <v>246</v>
      </c>
      <c r="BM6" s="72">
        <f t="shared" ref="BM6:BO6" si="5">countif($K6:$BL6,BM$2)</f>
        <v>1</v>
      </c>
      <c r="BN6" s="74">
        <f t="shared" si="5"/>
        <v>1</v>
      </c>
      <c r="BO6" s="74">
        <f t="shared" si="5"/>
        <v>1</v>
      </c>
      <c r="BP6" s="96"/>
      <c r="BQ6" s="112"/>
      <c r="BR6" s="81">
        <f>(countif($C6:$BK8,"*ME (l)*") / 2)</f>
        <v>0</v>
      </c>
      <c r="BS6" s="81">
        <f>INT((countif($C6:$BK8,"*DE (l)*"))/2*100)/100</f>
        <v>0</v>
      </c>
      <c r="BT6" s="112"/>
      <c r="BU6" s="81">
        <f>(countif($C6:$BK8,"*CCP (l)*") + countif($C6:$BK8,"*CCP (l)*")) / 4</f>
        <v>0</v>
      </c>
      <c r="BV6" s="112"/>
      <c r="BW6" s="112"/>
      <c r="BX6" s="173">
        <f t="shared" si="3"/>
        <v>0</v>
      </c>
      <c r="CA6" s="17"/>
      <c r="CB6" s="17"/>
      <c r="CC6" s="17"/>
      <c r="CD6" s="17"/>
    </row>
    <row r="7" ht="17.25" customHeight="1">
      <c r="A7" s="96"/>
      <c r="B7" s="151" t="s">
        <v>310</v>
      </c>
      <c r="C7" s="215" t="s">
        <v>393</v>
      </c>
      <c r="D7" s="216" t="s">
        <v>394</v>
      </c>
      <c r="E7" s="61"/>
      <c r="F7" s="217" t="s">
        <v>397</v>
      </c>
      <c r="G7" s="218" t="s">
        <v>394</v>
      </c>
      <c r="H7" s="220" t="s">
        <v>401</v>
      </c>
      <c r="I7" s="215" t="s">
        <v>393</v>
      </c>
      <c r="J7" s="217" t="s">
        <v>397</v>
      </c>
      <c r="K7" s="223"/>
      <c r="L7" s="220" t="s">
        <v>404</v>
      </c>
      <c r="M7" s="61"/>
      <c r="N7" s="61"/>
      <c r="O7" s="61"/>
      <c r="P7" s="61"/>
      <c r="Q7" s="61"/>
      <c r="R7" s="61"/>
      <c r="S7" s="224" t="s">
        <v>405</v>
      </c>
      <c r="T7" s="220" t="s">
        <v>406</v>
      </c>
      <c r="U7" s="61"/>
      <c r="V7" s="61"/>
      <c r="W7" s="61"/>
      <c r="X7" s="61"/>
      <c r="Y7" s="61"/>
      <c r="Z7" s="61"/>
      <c r="AA7" s="46"/>
      <c r="AB7" s="225" t="s">
        <v>407</v>
      </c>
      <c r="AC7" s="220" t="s">
        <v>397</v>
      </c>
      <c r="AD7" s="46"/>
      <c r="AE7" s="220" t="s">
        <v>404</v>
      </c>
      <c r="AF7" s="61"/>
      <c r="AG7" s="61"/>
      <c r="AH7" s="61"/>
      <c r="AI7" s="61"/>
      <c r="AJ7" s="46"/>
      <c r="AK7" s="223"/>
      <c r="AL7" s="220" t="s">
        <v>411</v>
      </c>
      <c r="AM7" s="61"/>
      <c r="AN7" s="61"/>
      <c r="AO7" s="61"/>
      <c r="AP7" s="61"/>
      <c r="AQ7" s="61"/>
      <c r="AR7" s="61"/>
      <c r="AS7" s="46"/>
      <c r="AT7" s="236" t="s">
        <v>413</v>
      </c>
      <c r="AU7" s="220" t="s">
        <v>411</v>
      </c>
      <c r="AV7" s="61"/>
      <c r="AW7" s="61"/>
      <c r="AX7" s="61"/>
      <c r="AY7" s="61"/>
      <c r="AZ7" s="61"/>
      <c r="BA7" s="236" t="s">
        <v>413</v>
      </c>
      <c r="BB7" s="220" t="s">
        <v>414</v>
      </c>
      <c r="BC7" s="61"/>
      <c r="BD7" s="61"/>
      <c r="BE7" s="61"/>
      <c r="BF7" s="61"/>
      <c r="BG7" s="61"/>
      <c r="BH7" s="61"/>
      <c r="BI7" s="240"/>
      <c r="BJ7" s="169"/>
      <c r="BK7" s="242"/>
      <c r="BL7" s="236" t="s">
        <v>246</v>
      </c>
      <c r="BM7" s="72">
        <f t="shared" ref="BM7:BO7" si="6">countif($K7:$BL7,BM$2)</f>
        <v>0</v>
      </c>
      <c r="BN7" s="74">
        <f t="shared" si="6"/>
        <v>1</v>
      </c>
      <c r="BO7" s="74">
        <f t="shared" si="6"/>
        <v>0</v>
      </c>
      <c r="BP7" s="81">
        <f>countif($C7:$BL8,"* (s)*")</f>
        <v>2</v>
      </c>
      <c r="BQ7" s="81">
        <f>countif($K7:$BL7,"*" &amp; BQ$2 &amp; "*")</f>
        <v>0</v>
      </c>
      <c r="BR7" s="96"/>
      <c r="BS7" s="96"/>
      <c r="BT7" s="81">
        <f>countif($C7:$BL7,"*SS (l)*") / 2</f>
        <v>0</v>
      </c>
      <c r="BU7" s="96"/>
      <c r="BV7" s="81">
        <f>countif($K7:$BL8,"*" &amp; "CID (s)" &amp; "*")/2</f>
        <v>0</v>
      </c>
      <c r="BW7" s="159">
        <f>countif($K7:$BL7,"*" &amp; "CID (l)" &amp; "*") /2</f>
        <v>0</v>
      </c>
      <c r="BX7" s="162">
        <f t="shared" si="3"/>
        <v>0</v>
      </c>
      <c r="BY7" s="17"/>
      <c r="BZ7" s="17"/>
      <c r="CA7" s="17"/>
      <c r="CB7" s="17"/>
      <c r="CC7" s="17"/>
      <c r="CD7" s="17"/>
    </row>
    <row r="8" ht="15.75" customHeight="1">
      <c r="A8" s="96"/>
      <c r="B8" s="151" t="s">
        <v>341</v>
      </c>
      <c r="C8" s="112"/>
      <c r="D8" s="85"/>
      <c r="E8" s="87"/>
      <c r="F8" s="112"/>
      <c r="G8" s="85"/>
      <c r="H8" s="142"/>
      <c r="I8" s="112"/>
      <c r="J8" s="112"/>
      <c r="K8" s="65" t="s">
        <v>245</v>
      </c>
      <c r="L8" s="142"/>
      <c r="S8" s="96"/>
      <c r="T8" s="85"/>
      <c r="U8" s="87"/>
      <c r="V8" s="87"/>
      <c r="W8" s="87"/>
      <c r="X8" s="87"/>
      <c r="Y8" s="87"/>
      <c r="Z8" s="87"/>
      <c r="AA8" s="86"/>
      <c r="AC8" s="85"/>
      <c r="AD8" s="86"/>
      <c r="AE8" s="85"/>
      <c r="AF8" s="87"/>
      <c r="AG8" s="87"/>
      <c r="AH8" s="87"/>
      <c r="AI8" s="87"/>
      <c r="AJ8" s="86"/>
      <c r="AK8" s="265" t="s">
        <v>245</v>
      </c>
      <c r="AL8" s="85"/>
      <c r="AM8" s="87"/>
      <c r="AN8" s="87"/>
      <c r="AO8" s="87"/>
      <c r="AP8" s="87"/>
      <c r="AQ8" s="87"/>
      <c r="AR8" s="87"/>
      <c r="AS8" s="86"/>
      <c r="AT8" s="65" t="s">
        <v>245</v>
      </c>
      <c r="AU8" s="85"/>
      <c r="AV8" s="87"/>
      <c r="AW8" s="87"/>
      <c r="AX8" s="87"/>
      <c r="AY8" s="87"/>
      <c r="AZ8" s="87"/>
      <c r="BA8" s="65" t="s">
        <v>245</v>
      </c>
      <c r="BB8" s="85"/>
      <c r="BC8" s="87"/>
      <c r="BD8" s="87"/>
      <c r="BE8" s="87"/>
      <c r="BF8" s="87"/>
      <c r="BG8" s="87"/>
      <c r="BH8" s="87"/>
      <c r="BI8" s="268"/>
      <c r="BJ8" s="169"/>
      <c r="BK8" s="242"/>
      <c r="BL8" s="236" t="s">
        <v>245</v>
      </c>
      <c r="BM8" s="72">
        <f t="shared" ref="BM8:BO8" si="7">countif($K8:$BL8,BM$2)</f>
        <v>5</v>
      </c>
      <c r="BN8" s="74">
        <f t="shared" si="7"/>
        <v>0</v>
      </c>
      <c r="BO8" s="74">
        <f t="shared" si="7"/>
        <v>0</v>
      </c>
      <c r="BP8" s="96"/>
      <c r="BQ8" s="112"/>
      <c r="BR8" s="112"/>
      <c r="BS8" s="112"/>
      <c r="BT8" s="112"/>
      <c r="BU8" s="112"/>
      <c r="BV8" s="112"/>
      <c r="BW8" s="112"/>
      <c r="BX8" s="173">
        <f t="shared" si="3"/>
        <v>0</v>
      </c>
      <c r="BY8" s="17"/>
      <c r="BZ8" s="17"/>
      <c r="CA8" s="17"/>
      <c r="CB8" s="17"/>
      <c r="CC8" s="17"/>
      <c r="CD8" s="17"/>
    </row>
    <row r="9" ht="15.75" customHeight="1">
      <c r="A9" s="96"/>
      <c r="B9" s="151" t="s">
        <v>342</v>
      </c>
      <c r="D9" s="91" t="s">
        <v>271</v>
      </c>
      <c r="E9" s="44" t="s">
        <v>393</v>
      </c>
      <c r="F9" s="46"/>
      <c r="G9" s="174" t="s">
        <v>345</v>
      </c>
      <c r="H9" s="167" t="s">
        <v>438</v>
      </c>
      <c r="K9" s="62"/>
      <c r="L9" s="220" t="s">
        <v>439</v>
      </c>
      <c r="M9" s="61"/>
      <c r="N9" s="61"/>
      <c r="O9" s="46"/>
      <c r="P9" s="216" t="s">
        <v>441</v>
      </c>
      <c r="Q9" s="46"/>
      <c r="R9" s="217" t="s">
        <v>443</v>
      </c>
      <c r="S9" s="62"/>
      <c r="T9" s="91" t="s">
        <v>339</v>
      </c>
      <c r="U9" s="91" t="s">
        <v>444</v>
      </c>
      <c r="V9" s="273" t="s">
        <v>445</v>
      </c>
      <c r="W9" s="273" t="s">
        <v>446</v>
      </c>
      <c r="X9" s="274" t="s">
        <v>448</v>
      </c>
      <c r="Y9" s="274" t="s">
        <v>450</v>
      </c>
      <c r="Z9" s="44" t="s">
        <v>451</v>
      </c>
      <c r="AA9" s="46"/>
      <c r="AB9" s="275"/>
      <c r="AC9" s="217" t="s">
        <v>454</v>
      </c>
      <c r="AD9" s="217" t="s">
        <v>454</v>
      </c>
      <c r="AE9" s="220" t="s">
        <v>456</v>
      </c>
      <c r="AF9" s="61"/>
      <c r="AG9" s="61"/>
      <c r="AH9" s="61"/>
      <c r="AI9" s="61"/>
      <c r="AJ9" s="46"/>
      <c r="AK9" s="128"/>
      <c r="AT9" s="62"/>
      <c r="AU9" s="276"/>
      <c r="AV9" s="276"/>
      <c r="AW9" s="276"/>
      <c r="AX9" s="276"/>
      <c r="AY9" s="276"/>
      <c r="AZ9" s="276"/>
      <c r="BA9" s="62"/>
      <c r="BD9" s="126" t="s">
        <v>299</v>
      </c>
      <c r="BE9" s="46"/>
      <c r="BF9" s="44" t="s">
        <v>459</v>
      </c>
      <c r="BG9" s="46"/>
      <c r="BH9" s="63"/>
      <c r="BI9" s="279"/>
      <c r="BJ9" s="169"/>
      <c r="BK9" s="242"/>
      <c r="BL9" s="62"/>
      <c r="BM9" s="72">
        <f t="shared" ref="BM9:BO9" si="8">countif($K9:$BL9,BM$2)</f>
        <v>0</v>
      </c>
      <c r="BN9" s="74">
        <f t="shared" si="8"/>
        <v>0</v>
      </c>
      <c r="BO9" s="74">
        <f t="shared" si="8"/>
        <v>0</v>
      </c>
      <c r="BP9" s="81">
        <f>countif($E9:$BL10,"* (s)*")</f>
        <v>3</v>
      </c>
      <c r="BQ9" s="81">
        <f>countif($E9:$BL9,"*" &amp; BQ$2 &amp; "*")</f>
        <v>2</v>
      </c>
      <c r="BR9" s="81">
        <f>(countif($C9:$BK11,"*ME (l)*") / 2)</f>
        <v>0</v>
      </c>
      <c r="BS9" s="81">
        <f>INT((countif($C9:$BK11,"*DE (l)*"))/2*100)/100</f>
        <v>0</v>
      </c>
      <c r="BT9" s="81">
        <f>countif($E9:$BL9,"*SS (l)*") / 2</f>
        <v>1</v>
      </c>
      <c r="BU9" s="81">
        <f>(countif($C9:$BK11,"*CCP (l)*") + countif($C9:$BK11,"*CCP (l)*")) / 4</f>
        <v>0</v>
      </c>
      <c r="BV9" s="81">
        <f>countif($E9:$BL10,"*" &amp; "CID (s)" &amp; "*")/2</f>
        <v>0</v>
      </c>
      <c r="BW9" s="159">
        <f>countif($E9:$BL9,"*" &amp; "CID (l)" &amp; "*") /2</f>
        <v>0</v>
      </c>
      <c r="BX9" s="162">
        <f t="shared" si="3"/>
        <v>0</v>
      </c>
      <c r="BY9" s="17"/>
      <c r="BZ9" s="17"/>
      <c r="CA9" s="17"/>
      <c r="CB9" s="17"/>
      <c r="CC9" s="17"/>
      <c r="CD9" s="17"/>
    </row>
    <row r="10" ht="15.75" customHeight="1">
      <c r="A10" s="96"/>
      <c r="B10" s="300" t="s">
        <v>369</v>
      </c>
      <c r="D10" s="112"/>
      <c r="E10" s="85"/>
      <c r="F10" s="86"/>
      <c r="G10" s="112"/>
      <c r="H10" s="303" t="s">
        <v>472</v>
      </c>
      <c r="K10" s="62"/>
      <c r="L10" s="85"/>
      <c r="M10" s="87"/>
      <c r="N10" s="87"/>
      <c r="O10" s="86"/>
      <c r="P10" s="85"/>
      <c r="Q10" s="86"/>
      <c r="R10" s="96"/>
      <c r="S10" s="62"/>
      <c r="T10" s="96"/>
      <c r="U10" s="96"/>
      <c r="V10" s="96"/>
      <c r="W10" s="96"/>
      <c r="X10" s="112"/>
      <c r="Y10" s="112"/>
      <c r="Z10" s="85"/>
      <c r="AA10" s="86"/>
      <c r="AB10" s="275"/>
      <c r="AC10" s="112"/>
      <c r="AD10" s="112"/>
      <c r="AE10" s="85"/>
      <c r="AF10" s="87"/>
      <c r="AG10" s="87"/>
      <c r="AH10" s="87"/>
      <c r="AI10" s="87"/>
      <c r="AJ10" s="86"/>
      <c r="AK10" s="117" t="s">
        <v>246</v>
      </c>
      <c r="AL10" s="126" t="s">
        <v>480</v>
      </c>
      <c r="AM10" s="46"/>
      <c r="AN10" s="126" t="s">
        <v>483</v>
      </c>
      <c r="AO10" s="46"/>
      <c r="AT10" s="62"/>
      <c r="AU10" s="276"/>
      <c r="AV10" s="276"/>
      <c r="AW10" s="276"/>
      <c r="AX10" s="276"/>
      <c r="AY10" s="276"/>
      <c r="AZ10" s="276"/>
      <c r="BA10" s="62"/>
      <c r="BD10" s="85"/>
      <c r="BE10" s="86"/>
      <c r="BF10" s="85"/>
      <c r="BG10" s="86"/>
      <c r="BH10" s="63"/>
      <c r="BI10" s="279"/>
      <c r="BJ10" s="169"/>
      <c r="BK10" s="242"/>
      <c r="BL10" s="62"/>
      <c r="BM10" s="72">
        <f t="shared" ref="BM10:BO10" si="9">countif($K10:$BL10,BM$2)</f>
        <v>0</v>
      </c>
      <c r="BN10" s="74">
        <f t="shared" si="9"/>
        <v>1</v>
      </c>
      <c r="BO10" s="74">
        <f t="shared" si="9"/>
        <v>0</v>
      </c>
      <c r="BP10" s="96"/>
      <c r="BQ10" s="112"/>
      <c r="BR10" s="96"/>
      <c r="BS10" s="96"/>
      <c r="BT10" s="112"/>
      <c r="BU10" s="96"/>
      <c r="BV10" s="112"/>
      <c r="BW10" s="112"/>
      <c r="BX10" s="173">
        <f t="shared" si="3"/>
        <v>0</v>
      </c>
      <c r="BY10" s="17"/>
      <c r="BZ10" s="17"/>
      <c r="CA10" s="17"/>
      <c r="CB10" s="17"/>
      <c r="CC10" s="17"/>
      <c r="CD10" s="17"/>
    </row>
    <row r="11" ht="18.75" customHeight="1">
      <c r="A11" s="96"/>
      <c r="B11" s="151" t="s">
        <v>375</v>
      </c>
      <c r="E11" s="63"/>
      <c r="F11" s="174" t="s">
        <v>488</v>
      </c>
      <c r="G11" s="44" t="s">
        <v>489</v>
      </c>
      <c r="H11" s="46"/>
      <c r="K11" s="62"/>
      <c r="L11" s="315"/>
      <c r="M11" s="316"/>
      <c r="N11" s="316"/>
      <c r="O11" s="316"/>
      <c r="P11" s="316"/>
      <c r="Q11" s="316"/>
      <c r="R11" s="274" t="s">
        <v>450</v>
      </c>
      <c r="S11" s="62"/>
      <c r="T11" s="112"/>
      <c r="U11" s="112"/>
      <c r="V11" s="273" t="s">
        <v>334</v>
      </c>
      <c r="W11" s="273" t="s">
        <v>491</v>
      </c>
      <c r="X11" s="44" t="s">
        <v>451</v>
      </c>
      <c r="Y11" s="46"/>
      <c r="AB11" s="62"/>
      <c r="AC11" s="320" t="s">
        <v>493</v>
      </c>
      <c r="AD11" s="320" t="s">
        <v>493</v>
      </c>
      <c r="AE11" s="44" t="s">
        <v>496</v>
      </c>
      <c r="AF11" s="46"/>
      <c r="AK11" s="62"/>
      <c r="AL11" s="142"/>
      <c r="AM11" s="106"/>
      <c r="AN11" s="142"/>
      <c r="AO11" s="106"/>
      <c r="AT11" s="62"/>
      <c r="AU11" s="276"/>
      <c r="AV11" s="276"/>
      <c r="AW11" s="276"/>
      <c r="AX11" s="276"/>
      <c r="AY11" s="276"/>
      <c r="AZ11" s="276"/>
      <c r="BA11" s="62"/>
      <c r="BD11" s="63"/>
      <c r="BE11" s="63"/>
      <c r="BF11" s="63"/>
      <c r="BG11" s="63"/>
      <c r="BH11" s="174" t="s">
        <v>286</v>
      </c>
      <c r="BI11" s="279"/>
      <c r="BJ11" s="169"/>
      <c r="BK11" s="242"/>
      <c r="BL11" s="55"/>
      <c r="BM11" s="72">
        <f t="shared" ref="BM11:BO11" si="10">countif($K11:$BL11,BM$2)</f>
        <v>0</v>
      </c>
      <c r="BN11" s="74">
        <f t="shared" si="10"/>
        <v>0</v>
      </c>
      <c r="BO11" s="74">
        <f t="shared" si="10"/>
        <v>0</v>
      </c>
      <c r="BP11" s="81">
        <f>countif($D11:$BL12,"* (s)*")</f>
        <v>3</v>
      </c>
      <c r="BQ11" s="81">
        <f>countif($D11:$BL11,"*" &amp; BQ$2 &amp; "*")</f>
        <v>0</v>
      </c>
      <c r="BR11" s="112"/>
      <c r="BS11" s="112"/>
      <c r="BT11" s="81">
        <f>countif($D11:$BL11,"*SS (l)*") / 2</f>
        <v>1</v>
      </c>
      <c r="BU11" s="112"/>
      <c r="BV11" s="81">
        <f>countif($D11:$BL12,"*" &amp; "CID (s)" &amp; "*")/2</f>
        <v>0</v>
      </c>
      <c r="BW11" s="159">
        <f>countif($D11:$BL11,"*" &amp; "CID (l)" &amp; "*") /2</f>
        <v>0</v>
      </c>
      <c r="BX11" s="162">
        <f>countif($E11:$BL11,"*" &amp; BX$2 &amp; "*")</f>
        <v>0</v>
      </c>
      <c r="BY11" s="17"/>
      <c r="BZ11" s="17"/>
      <c r="CA11" s="17"/>
      <c r="CB11" s="17"/>
      <c r="CC11" s="17"/>
      <c r="CD11" s="17"/>
    </row>
    <row r="12" ht="15.75" customHeight="1">
      <c r="A12" s="96"/>
      <c r="B12" s="151" t="s">
        <v>392</v>
      </c>
      <c r="E12" s="63"/>
      <c r="F12" s="96"/>
      <c r="G12" s="85"/>
      <c r="H12" s="86"/>
      <c r="K12" s="62"/>
      <c r="L12" s="315"/>
      <c r="M12" s="316"/>
      <c r="N12" s="316"/>
      <c r="O12" s="316"/>
      <c r="P12" s="316"/>
      <c r="Q12" s="316"/>
      <c r="R12" s="112"/>
      <c r="S12" s="62"/>
      <c r="V12" s="91" t="s">
        <v>516</v>
      </c>
      <c r="W12" s="91" t="s">
        <v>518</v>
      </c>
      <c r="X12" s="85"/>
      <c r="Y12" s="86"/>
      <c r="Z12" s="91" t="s">
        <v>334</v>
      </c>
      <c r="AA12" s="91" t="s">
        <v>491</v>
      </c>
      <c r="AB12" s="62"/>
      <c r="AE12" s="85"/>
      <c r="AF12" s="86"/>
      <c r="AK12" s="62"/>
      <c r="AL12" s="85"/>
      <c r="AM12" s="86"/>
      <c r="AN12" s="85"/>
      <c r="AO12" s="86"/>
      <c r="AT12" s="62"/>
      <c r="AU12" s="276"/>
      <c r="AV12" s="276"/>
      <c r="AW12" s="276"/>
      <c r="AX12" s="276"/>
      <c r="AY12" s="276"/>
      <c r="AZ12" s="276"/>
      <c r="BA12" s="62"/>
      <c r="BD12" s="63"/>
      <c r="BE12" s="63"/>
      <c r="BF12" s="63"/>
      <c r="BG12" s="63"/>
      <c r="BH12" s="112"/>
      <c r="BI12" s="279"/>
      <c r="BJ12" s="169"/>
      <c r="BK12" s="242"/>
      <c r="BL12" s="55"/>
      <c r="BM12" s="72">
        <f t="shared" ref="BM12:BO12" si="11">countif($K12:$BL12,BM$2)</f>
        <v>0</v>
      </c>
      <c r="BN12" s="74">
        <f t="shared" si="11"/>
        <v>0</v>
      </c>
      <c r="BO12" s="74">
        <f t="shared" si="11"/>
        <v>0</v>
      </c>
      <c r="BP12" s="96"/>
      <c r="BQ12" s="112"/>
      <c r="BR12" s="81">
        <f>(countif($C12:$BK14,"*ME (l)*") / 2)</f>
        <v>0</v>
      </c>
      <c r="BS12" s="81">
        <f>INT((countif($C12:$BK14,"*DE (l)*"))/2*100)/100</f>
        <v>0</v>
      </c>
      <c r="BT12" s="112"/>
      <c r="BU12" s="81">
        <f>(countif($C12:$BK14,"*CCP (l)*") + countif($C12:$BK14,"*CCP (l)*")) / 4</f>
        <v>0.5</v>
      </c>
      <c r="BV12" s="112"/>
      <c r="BW12" s="112"/>
      <c r="BX12" s="173">
        <f>countif($D12:$BL12,"*" &amp; BX$2 &amp; "*")</f>
        <v>0</v>
      </c>
      <c r="BY12" s="17"/>
      <c r="BZ12" s="17"/>
      <c r="CA12" s="17"/>
      <c r="CB12" s="17"/>
      <c r="CC12" s="17"/>
      <c r="CD12" s="17"/>
    </row>
    <row r="13" ht="15.75" customHeight="1">
      <c r="A13" s="96"/>
      <c r="B13" s="151" t="s">
        <v>398</v>
      </c>
      <c r="E13" s="345"/>
      <c r="F13" s="112"/>
      <c r="G13" s="174" t="s">
        <v>286</v>
      </c>
      <c r="H13" s="174" t="s">
        <v>364</v>
      </c>
      <c r="K13" s="62"/>
      <c r="L13" s="315"/>
      <c r="M13" s="316"/>
      <c r="N13" s="316"/>
      <c r="O13" s="316"/>
      <c r="P13" s="316"/>
      <c r="Q13" s="316"/>
      <c r="R13" s="346"/>
      <c r="S13" s="62"/>
      <c r="V13" s="96"/>
      <c r="W13" s="96"/>
      <c r="Z13" s="96"/>
      <c r="AA13" s="96"/>
      <c r="AB13" s="62"/>
      <c r="AG13" s="17"/>
      <c r="AH13" s="17"/>
      <c r="AK13" s="62"/>
      <c r="AL13" s="270"/>
      <c r="AM13" s="54"/>
      <c r="AN13" s="54"/>
      <c r="AO13" s="54"/>
      <c r="AP13" s="54"/>
      <c r="AQ13" s="54"/>
      <c r="AR13" s="54"/>
      <c r="AS13" s="54"/>
      <c r="AT13" s="62"/>
      <c r="AU13" s="276"/>
      <c r="AV13" s="276"/>
      <c r="AW13" s="276"/>
      <c r="AX13" s="276"/>
      <c r="AY13" s="276"/>
      <c r="AZ13" s="276"/>
      <c r="BA13" s="62"/>
      <c r="BB13" s="17"/>
      <c r="BC13" s="17"/>
      <c r="BD13" s="17"/>
      <c r="BE13" s="17"/>
      <c r="BF13" s="17"/>
      <c r="BG13" s="17"/>
      <c r="BH13" s="17"/>
      <c r="BI13" s="279"/>
      <c r="BJ13" s="169"/>
      <c r="BK13" s="242"/>
      <c r="BL13" s="62"/>
      <c r="BM13" s="72">
        <f t="shared" ref="BM13:BO13" si="12">countif($K13:$BL13,BM$2)</f>
        <v>0</v>
      </c>
      <c r="BN13" s="74">
        <f t="shared" si="12"/>
        <v>0</v>
      </c>
      <c r="BO13" s="74">
        <f t="shared" si="12"/>
        <v>0</v>
      </c>
      <c r="BP13" s="81">
        <f>countif($C13:$BL14,"* (s)*")</f>
        <v>0</v>
      </c>
      <c r="BQ13" s="81">
        <f>countif($D13:$BL13,"*" &amp; BQ$2 &amp; "*")</f>
        <v>0</v>
      </c>
      <c r="BR13" s="96"/>
      <c r="BS13" s="96"/>
      <c r="BT13" s="81">
        <f>countif($D13:$BL13,"*SS (l)*") / 2</f>
        <v>1</v>
      </c>
      <c r="BU13" s="96"/>
      <c r="BV13" s="81">
        <f>countif($C13:$BL14,"*" &amp; "CID (s)" &amp; "*")/2</f>
        <v>0</v>
      </c>
      <c r="BW13" s="159">
        <f>countif($D13:$BL13,"*" &amp; "CID (l)" &amp; "*") /2</f>
        <v>0</v>
      </c>
      <c r="BX13" s="162">
        <f t="shared" ref="BX13:BX14" si="14">countif($K13:$BL13,"*" &amp; BX$2 &amp; "*")</f>
        <v>0</v>
      </c>
      <c r="BY13" s="17"/>
      <c r="BZ13" s="17"/>
      <c r="CA13" s="17"/>
      <c r="CB13" s="17"/>
      <c r="CC13" s="17"/>
      <c r="CD13" s="17"/>
    </row>
    <row r="14" ht="15.75" customHeight="1">
      <c r="A14" s="112"/>
      <c r="B14" s="151" t="s">
        <v>408</v>
      </c>
      <c r="D14" s="345"/>
      <c r="E14" s="345"/>
      <c r="F14" s="63"/>
      <c r="G14" s="112"/>
      <c r="H14" s="112"/>
      <c r="J14" s="345"/>
      <c r="K14" s="62"/>
      <c r="L14" s="352"/>
      <c r="M14" s="353"/>
      <c r="N14" s="353"/>
      <c r="O14" s="353"/>
      <c r="P14" s="353"/>
      <c r="Q14" s="353"/>
      <c r="R14" s="354"/>
      <c r="S14" s="298"/>
      <c r="V14" s="112"/>
      <c r="W14" s="112"/>
      <c r="Z14" s="112"/>
      <c r="AA14" s="112"/>
      <c r="AB14" s="298"/>
      <c r="AG14" s="17"/>
      <c r="AH14" s="17"/>
      <c r="AK14" s="298"/>
      <c r="AL14" s="355"/>
      <c r="AM14" s="229"/>
      <c r="AN14" s="229"/>
      <c r="AO14" s="229"/>
      <c r="AP14" s="229"/>
      <c r="AQ14" s="229"/>
      <c r="AR14" s="229"/>
      <c r="AS14" s="229"/>
      <c r="AT14" s="298"/>
      <c r="AU14" s="357"/>
      <c r="AV14" s="357"/>
      <c r="AW14" s="357"/>
      <c r="AX14" s="357"/>
      <c r="AY14" s="357"/>
      <c r="AZ14" s="357"/>
      <c r="BA14" s="298"/>
      <c r="BB14" s="17"/>
      <c r="BC14" s="17"/>
      <c r="BD14" s="17"/>
      <c r="BE14" s="17"/>
      <c r="BF14" s="17"/>
      <c r="BG14" s="17"/>
      <c r="BH14" s="17"/>
      <c r="BI14" s="279"/>
      <c r="BJ14" s="360"/>
      <c r="BK14" s="361"/>
      <c r="BL14" s="298"/>
      <c r="BM14" s="72">
        <f t="shared" ref="BM14:BO14" si="13">countif($K14:$BL14,BM$2)</f>
        <v>0</v>
      </c>
      <c r="BN14" s="74">
        <f t="shared" si="13"/>
        <v>0</v>
      </c>
      <c r="BO14" s="74">
        <f t="shared" si="13"/>
        <v>0</v>
      </c>
      <c r="BP14" s="96"/>
      <c r="BQ14" s="112"/>
      <c r="BR14" s="112"/>
      <c r="BS14" s="112"/>
      <c r="BT14" s="112"/>
      <c r="BU14" s="112"/>
      <c r="BV14" s="112"/>
      <c r="BW14" s="112"/>
      <c r="BX14" s="173">
        <f t="shared" si="14"/>
        <v>0</v>
      </c>
      <c r="BY14" s="17"/>
      <c r="BZ14" s="17"/>
      <c r="CA14" s="17"/>
      <c r="CB14" s="17"/>
      <c r="CC14" s="17"/>
      <c r="CD14" s="17"/>
    </row>
    <row r="15" ht="1.5" customHeight="1">
      <c r="A15" s="6"/>
      <c r="B15" s="304"/>
      <c r="C15" s="247"/>
      <c r="D15" s="248"/>
      <c r="E15" s="248"/>
      <c r="F15" s="248"/>
      <c r="G15" s="248"/>
      <c r="H15" s="248"/>
      <c r="I15" s="248"/>
      <c r="J15" s="248"/>
      <c r="K15" s="305"/>
      <c r="L15" s="247"/>
      <c r="M15" s="248"/>
      <c r="N15" s="248"/>
      <c r="O15" s="248"/>
      <c r="P15" s="248"/>
      <c r="Q15" s="248"/>
      <c r="R15" s="248"/>
      <c r="S15" s="305"/>
      <c r="T15" s="247"/>
      <c r="U15" s="248"/>
      <c r="V15" s="248"/>
      <c r="W15" s="248"/>
      <c r="X15" s="248"/>
      <c r="Y15" s="364"/>
      <c r="Z15" s="364"/>
      <c r="AA15" s="364"/>
      <c r="AB15" s="305"/>
      <c r="AC15" s="247"/>
      <c r="AD15" s="248"/>
      <c r="AE15" s="248"/>
      <c r="AF15" s="248"/>
      <c r="AG15" s="248"/>
      <c r="AH15" s="248"/>
      <c r="AI15" s="249"/>
      <c r="AJ15" s="249"/>
      <c r="AK15" s="305"/>
      <c r="AL15" s="247"/>
      <c r="AM15" s="248"/>
      <c r="AN15" s="248"/>
      <c r="AO15" s="248"/>
      <c r="AP15" s="248"/>
      <c r="AQ15" s="248"/>
      <c r="AR15" s="249"/>
      <c r="AS15" s="249"/>
      <c r="AT15" s="305"/>
      <c r="AU15" s="247"/>
      <c r="AV15" s="248"/>
      <c r="AW15" s="248"/>
      <c r="AX15" s="248"/>
      <c r="AY15" s="248"/>
      <c r="AZ15" s="248"/>
      <c r="BA15" s="305"/>
      <c r="BB15" s="370"/>
      <c r="BC15" s="372"/>
      <c r="BD15" s="372"/>
      <c r="BE15" s="372"/>
      <c r="BF15" s="372"/>
      <c r="BG15" s="372"/>
      <c r="BH15" s="372"/>
      <c r="BI15" s="247"/>
      <c r="BJ15" s="248"/>
      <c r="BK15" s="248"/>
      <c r="BL15" s="305"/>
      <c r="BM15" s="254"/>
      <c r="BN15" s="255"/>
      <c r="BO15" s="255"/>
      <c r="BP15" s="81">
        <f>countif($D16:$BL17,"* (s)*")</f>
        <v>3</v>
      </c>
      <c r="BQ15" s="310"/>
      <c r="BR15" s="378"/>
      <c r="BS15" s="378"/>
      <c r="BT15" s="379"/>
      <c r="BU15" s="310"/>
      <c r="BV15" s="310"/>
      <c r="BW15" s="255"/>
      <c r="BX15" s="255"/>
      <c r="BY15" s="17"/>
      <c r="BZ15" s="17"/>
      <c r="CA15" s="17"/>
      <c r="CB15" s="17"/>
      <c r="CC15" s="17"/>
      <c r="CD15" s="17"/>
    </row>
    <row r="16" ht="15.75" customHeight="1">
      <c r="A16" s="30" t="s">
        <v>421</v>
      </c>
      <c r="B16" s="40">
        <v>42623.0</v>
      </c>
      <c r="C16" s="381"/>
      <c r="D16" s="63"/>
      <c r="E16" s="63"/>
      <c r="F16" s="63"/>
      <c r="I16" s="381"/>
      <c r="J16" s="63"/>
      <c r="K16" s="62"/>
      <c r="L16" s="383"/>
      <c r="M16" s="384"/>
      <c r="N16" s="384"/>
      <c r="O16" s="384"/>
      <c r="P16" s="44" t="s">
        <v>393</v>
      </c>
      <c r="Q16" s="46"/>
      <c r="S16" s="62"/>
      <c r="T16" s="102" t="s">
        <v>584</v>
      </c>
      <c r="AA16" s="106"/>
      <c r="AB16" s="236" t="s">
        <v>246</v>
      </c>
      <c r="AC16" s="155" t="s">
        <v>585</v>
      </c>
      <c r="AD16" s="61"/>
      <c r="AE16" s="61"/>
      <c r="AF16" s="61"/>
      <c r="AG16" s="61"/>
      <c r="AH16" s="61"/>
      <c r="AI16" s="61"/>
      <c r="AJ16" s="46"/>
      <c r="AK16" s="108" t="s">
        <v>245</v>
      </c>
      <c r="AL16" s="44" t="s">
        <v>587</v>
      </c>
      <c r="AM16" s="46"/>
      <c r="AQ16" s="386" t="s">
        <v>588</v>
      </c>
      <c r="AR16" s="91" t="s">
        <v>516</v>
      </c>
      <c r="AS16" s="91" t="s">
        <v>518</v>
      </c>
      <c r="AT16" s="62"/>
      <c r="BA16" s="62"/>
      <c r="BB16" s="44" t="s">
        <v>591</v>
      </c>
      <c r="BC16" s="340" t="s">
        <v>592</v>
      </c>
      <c r="BD16" s="126" t="s">
        <v>594</v>
      </c>
      <c r="BE16" s="61"/>
      <c r="BF16" s="44" t="s">
        <v>350</v>
      </c>
      <c r="BG16" s="46"/>
      <c r="BH16" s="63"/>
      <c r="BI16" s="391"/>
      <c r="BJ16" s="391"/>
      <c r="BK16" s="392"/>
      <c r="BL16" s="62"/>
      <c r="BM16" s="72">
        <f t="shared" ref="BM16:BO16" si="15">countif($E16:$BL16,BM$2)</f>
        <v>1</v>
      </c>
      <c r="BN16" s="74">
        <f t="shared" si="15"/>
        <v>1</v>
      </c>
      <c r="BO16" s="74">
        <f t="shared" si="15"/>
        <v>0</v>
      </c>
      <c r="BP16" s="96"/>
      <c r="BQ16" s="81">
        <f>countif($D16:$BL16,"*" &amp; BQ$2 &amp; "*")</f>
        <v>0</v>
      </c>
      <c r="BR16" s="81">
        <f>(countif($D16:$BK18,"*ME (l)*") / 2)</f>
        <v>0</v>
      </c>
      <c r="BS16" s="81">
        <f>INT((countif($D16:$BK18,"*DE (l)*"))/2*100)/100</f>
        <v>0</v>
      </c>
      <c r="BT16" s="81">
        <f>countif($D16:$BL16,"*SS (l)*") / 2</f>
        <v>1</v>
      </c>
      <c r="BU16" s="81">
        <f>(countif($D16:$BK18,"*CCP (l)*") + countif($D16:$BK18,"*CCP (l)*")) / 4</f>
        <v>0.5</v>
      </c>
      <c r="BV16" s="81">
        <f>countif($D16:$BL17,"*" &amp; "CID (s)" &amp; "*")/2</f>
        <v>0</v>
      </c>
      <c r="BW16" s="159">
        <f>countif($D16:$BL16,"*" &amp; "CID (l)" &amp; "*") /2</f>
        <v>0</v>
      </c>
      <c r="BX16" s="162">
        <f t="shared" ref="BX16:BX17" si="17">countif($E16:$BL16,"*" &amp; BX$2 &amp; "*")</f>
        <v>0</v>
      </c>
      <c r="BY16" s="17"/>
      <c r="BZ16" s="17"/>
      <c r="CA16" s="17"/>
      <c r="CB16" s="17"/>
      <c r="CC16" s="17"/>
      <c r="CD16" s="17"/>
    </row>
    <row r="17" ht="15.75" customHeight="1">
      <c r="A17" s="96"/>
      <c r="B17" s="97">
        <v>42654.0</v>
      </c>
      <c r="C17" s="381"/>
      <c r="D17" s="63"/>
      <c r="E17" s="63"/>
      <c r="F17" s="63"/>
      <c r="I17" s="381"/>
      <c r="J17" s="63"/>
      <c r="K17" s="62"/>
      <c r="M17" s="384"/>
      <c r="N17" s="384"/>
      <c r="O17" s="384"/>
      <c r="P17" s="85"/>
      <c r="Q17" s="86"/>
      <c r="S17" s="62"/>
      <c r="T17" s="85"/>
      <c r="U17" s="87"/>
      <c r="V17" s="87"/>
      <c r="W17" s="87"/>
      <c r="X17" s="87"/>
      <c r="Y17" s="87"/>
      <c r="Z17" s="87"/>
      <c r="AA17" s="86"/>
      <c r="AB17" s="236" t="s">
        <v>246</v>
      </c>
      <c r="AC17" s="87"/>
      <c r="AD17" s="87"/>
      <c r="AE17" s="87"/>
      <c r="AF17" s="87"/>
      <c r="AG17" s="87"/>
      <c r="AH17" s="87"/>
      <c r="AI17" s="87"/>
      <c r="AJ17" s="86"/>
      <c r="AK17" s="65" t="s">
        <v>245</v>
      </c>
      <c r="AL17" s="85"/>
      <c r="AM17" s="86"/>
      <c r="AQ17" s="112"/>
      <c r="AR17" s="96"/>
      <c r="AS17" s="96"/>
      <c r="AT17" s="62"/>
      <c r="BA17" s="62"/>
      <c r="BB17" s="85"/>
      <c r="BC17" s="112"/>
      <c r="BD17" s="142"/>
      <c r="BF17" s="85"/>
      <c r="BG17" s="86"/>
      <c r="BH17" s="63"/>
      <c r="BI17" s="400"/>
      <c r="BJ17" s="400"/>
      <c r="BK17" s="401"/>
      <c r="BL17" s="62"/>
      <c r="BM17" s="72">
        <f t="shared" ref="BM17:BO17" si="16">countif($E17:$BL17,BM$2)</f>
        <v>1</v>
      </c>
      <c r="BN17" s="74">
        <f t="shared" si="16"/>
        <v>1</v>
      </c>
      <c r="BO17" s="74">
        <f t="shared" si="16"/>
        <v>0</v>
      </c>
      <c r="BP17" s="96"/>
      <c r="BQ17" s="112"/>
      <c r="BR17" s="96"/>
      <c r="BS17" s="96"/>
      <c r="BT17" s="112"/>
      <c r="BU17" s="96"/>
      <c r="BV17" s="112"/>
      <c r="BW17" s="112"/>
      <c r="BX17" s="173">
        <f t="shared" si="17"/>
        <v>0</v>
      </c>
      <c r="BY17" s="17"/>
      <c r="BZ17" s="17"/>
      <c r="CA17" s="17"/>
      <c r="CB17" s="17"/>
      <c r="CC17" s="17"/>
      <c r="CD17" s="17"/>
    </row>
    <row r="18" ht="15.75" customHeight="1">
      <c r="A18" s="96"/>
      <c r="B18" s="97">
        <v>42686.0</v>
      </c>
      <c r="C18" s="381"/>
      <c r="D18" s="63"/>
      <c r="E18" s="63"/>
      <c r="F18" s="63"/>
      <c r="G18" s="381"/>
      <c r="H18" s="381"/>
      <c r="I18" s="381"/>
      <c r="J18" s="63"/>
      <c r="K18" s="62"/>
      <c r="M18" s="384"/>
      <c r="P18" s="44" t="s">
        <v>350</v>
      </c>
      <c r="Q18" s="46"/>
      <c r="R18" s="340" t="s">
        <v>393</v>
      </c>
      <c r="S18" s="62"/>
      <c r="T18" s="102" t="s">
        <v>620</v>
      </c>
      <c r="AA18" s="106"/>
      <c r="AB18" s="65" t="s">
        <v>248</v>
      </c>
      <c r="AC18" s="102" t="s">
        <v>584</v>
      </c>
      <c r="AJ18" s="106"/>
      <c r="AK18" s="65" t="s">
        <v>245</v>
      </c>
      <c r="AL18" s="126" t="s">
        <v>625</v>
      </c>
      <c r="AM18" s="46"/>
      <c r="AN18" s="183" t="s">
        <v>628</v>
      </c>
      <c r="AO18" s="46"/>
      <c r="AP18" s="386" t="s">
        <v>588</v>
      </c>
      <c r="AR18" s="112"/>
      <c r="AS18" s="112"/>
      <c r="AT18" s="62"/>
      <c r="AU18" s="122" t="s">
        <v>632</v>
      </c>
      <c r="AV18" s="61"/>
      <c r="AW18" s="61"/>
      <c r="AX18" s="61"/>
      <c r="AY18" s="61"/>
      <c r="AZ18" s="46"/>
      <c r="BA18" s="408" t="s">
        <v>246</v>
      </c>
      <c r="BB18" s="409" t="s">
        <v>491</v>
      </c>
      <c r="BC18" s="409" t="s">
        <v>334</v>
      </c>
      <c r="BD18" s="44" t="s">
        <v>286</v>
      </c>
      <c r="BE18" s="340" t="s">
        <v>364</v>
      </c>
      <c r="BF18" s="126" t="s">
        <v>472</v>
      </c>
      <c r="BG18" s="46"/>
      <c r="BH18" s="340" t="s">
        <v>459</v>
      </c>
      <c r="BI18" s="410"/>
      <c r="BJ18" s="410"/>
      <c r="BK18" s="411"/>
      <c r="BL18" s="62"/>
      <c r="BM18" s="72">
        <f t="shared" ref="BM18:BO18" si="18">countif($E18:$BK18,BM$2)</f>
        <v>1</v>
      </c>
      <c r="BN18" s="74">
        <f t="shared" si="18"/>
        <v>1</v>
      </c>
      <c r="BO18" s="74">
        <f t="shared" si="18"/>
        <v>1</v>
      </c>
      <c r="BP18" s="81">
        <f>countif($E18:$BK19,"* (s)*")</f>
        <v>3</v>
      </c>
      <c r="BQ18" s="81">
        <f>countif($E18:$BK18,"*" &amp; BQ$2 &amp; "*")</f>
        <v>1</v>
      </c>
      <c r="BR18" s="112"/>
      <c r="BS18" s="112"/>
      <c r="BT18" s="81">
        <f>countif($E18:$BK18,"*SS (l)*") / 2</f>
        <v>1</v>
      </c>
      <c r="BU18" s="112"/>
      <c r="BV18" s="81">
        <f>countif($E18:$BK19,"*" &amp; "CID (s)" &amp; "*")/2</f>
        <v>0</v>
      </c>
      <c r="BW18" s="159">
        <f>countif($E18:$BK18,"*" &amp; "CID (l)" &amp; "*") /2</f>
        <v>0</v>
      </c>
      <c r="BX18" s="162">
        <f>countif($E18:$BK18,"*" &amp; BX$2 &amp; "*")</f>
        <v>0</v>
      </c>
      <c r="BZ18" s="17"/>
      <c r="CA18" s="17"/>
      <c r="CB18" s="17"/>
      <c r="CC18" s="17"/>
      <c r="CD18" s="17"/>
    </row>
    <row r="19">
      <c r="A19" s="96"/>
      <c r="B19" s="97">
        <v>42717.0</v>
      </c>
      <c r="C19" s="381"/>
      <c r="D19" s="381"/>
      <c r="E19" s="381"/>
      <c r="F19" s="381"/>
      <c r="G19" s="215" t="s">
        <v>516</v>
      </c>
      <c r="H19" s="215" t="s">
        <v>518</v>
      </c>
      <c r="I19" s="381"/>
      <c r="J19" s="381"/>
      <c r="K19" s="62"/>
      <c r="L19" s="174" t="s">
        <v>488</v>
      </c>
      <c r="M19" s="174" t="s">
        <v>491</v>
      </c>
      <c r="N19" s="91" t="s">
        <v>516</v>
      </c>
      <c r="O19" s="91" t="s">
        <v>518</v>
      </c>
      <c r="P19" s="85"/>
      <c r="Q19" s="86"/>
      <c r="R19" s="112"/>
      <c r="S19" s="62"/>
      <c r="T19" s="85"/>
      <c r="U19" s="87"/>
      <c r="V19" s="87"/>
      <c r="W19" s="87"/>
      <c r="X19" s="87"/>
      <c r="Y19" s="87"/>
      <c r="Z19" s="87"/>
      <c r="AA19" s="86"/>
      <c r="AB19" s="65" t="s">
        <v>248</v>
      </c>
      <c r="AC19" s="85"/>
      <c r="AD19" s="87"/>
      <c r="AE19" s="87"/>
      <c r="AF19" s="87"/>
      <c r="AG19" s="87"/>
      <c r="AH19" s="87"/>
      <c r="AI19" s="87"/>
      <c r="AJ19" s="86"/>
      <c r="AK19" s="65" t="s">
        <v>245</v>
      </c>
      <c r="AL19" s="85"/>
      <c r="AM19" s="86"/>
      <c r="AN19" s="85"/>
      <c r="AO19" s="86"/>
      <c r="AP19" s="112"/>
      <c r="AR19" s="418"/>
      <c r="AT19" s="62"/>
      <c r="AU19" s="85"/>
      <c r="AV19" s="87"/>
      <c r="AW19" s="87"/>
      <c r="AX19" s="87"/>
      <c r="AY19" s="87"/>
      <c r="AZ19" s="86"/>
      <c r="BA19" s="408" t="s">
        <v>246</v>
      </c>
      <c r="BB19" s="419"/>
      <c r="BC19" s="420"/>
      <c r="BD19" s="85"/>
      <c r="BE19" s="112"/>
      <c r="BF19" s="85"/>
      <c r="BG19" s="86"/>
      <c r="BH19" s="112"/>
      <c r="BI19" s="421"/>
      <c r="BJ19" s="421"/>
      <c r="BK19" s="422"/>
      <c r="BL19" s="62"/>
      <c r="BM19" s="72">
        <f t="shared" ref="BM19:BO19" si="19">countif($I19:$BK19,BM$2)</f>
        <v>1</v>
      </c>
      <c r="BN19" s="74">
        <f t="shared" si="19"/>
        <v>1</v>
      </c>
      <c r="BO19" s="74">
        <f t="shared" si="19"/>
        <v>1</v>
      </c>
      <c r="BP19" s="96"/>
      <c r="BQ19" s="112"/>
      <c r="BR19" s="81">
        <f>(countif($E19:$BK21,"*ME (l)*") / 2)</f>
        <v>0</v>
      </c>
      <c r="BS19" s="81">
        <f>INT((countif($E19:$BK21,"*DE (l)*"))/2*100)/100</f>
        <v>0</v>
      </c>
      <c r="BT19" s="112"/>
      <c r="BU19" s="81">
        <f>(countif($E19:$BK21,"*CCP (l)*") + countif($E19:$BK21,"*CCP (l)*")) / 4</f>
        <v>1</v>
      </c>
      <c r="BV19" s="112"/>
      <c r="BW19" s="112"/>
      <c r="BX19" s="173">
        <f>countif($I19:$BK19,"*" &amp; BX$2 &amp; "*")</f>
        <v>0</v>
      </c>
      <c r="BZ19" s="17"/>
      <c r="CA19" s="17"/>
      <c r="CB19" s="17"/>
      <c r="CC19" s="17"/>
      <c r="CD19" s="17"/>
    </row>
    <row r="20" ht="15.75" customHeight="1">
      <c r="A20" s="96"/>
      <c r="B20" s="151" t="s">
        <v>310</v>
      </c>
      <c r="C20" s="381"/>
      <c r="D20" s="311" t="s">
        <v>393</v>
      </c>
      <c r="E20" s="426" t="s">
        <v>286</v>
      </c>
      <c r="F20" s="426" t="s">
        <v>364</v>
      </c>
      <c r="G20" s="96"/>
      <c r="H20" s="96"/>
      <c r="I20" s="381"/>
      <c r="J20" s="311" t="s">
        <v>393</v>
      </c>
      <c r="K20" s="62"/>
      <c r="L20" s="96"/>
      <c r="M20" s="96"/>
      <c r="N20" s="96"/>
      <c r="O20" s="96"/>
      <c r="R20" s="340" t="s">
        <v>350</v>
      </c>
      <c r="S20" s="62"/>
      <c r="T20" s="428" t="s">
        <v>675</v>
      </c>
      <c r="U20" s="61"/>
      <c r="V20" s="61"/>
      <c r="W20" s="61"/>
      <c r="X20" s="61"/>
      <c r="Y20" s="61"/>
      <c r="Z20" s="61"/>
      <c r="AA20" s="46"/>
      <c r="AB20" s="65" t="s">
        <v>248</v>
      </c>
      <c r="AK20" s="62"/>
      <c r="AL20" s="220" t="s">
        <v>677</v>
      </c>
      <c r="AM20" s="61"/>
      <c r="AN20" s="61"/>
      <c r="AO20" s="61"/>
      <c r="AP20" s="61"/>
      <c r="AQ20" s="61"/>
      <c r="AR20" s="61"/>
      <c r="AS20" s="46"/>
      <c r="AT20" s="65" t="s">
        <v>245</v>
      </c>
      <c r="AU20" s="220" t="s">
        <v>678</v>
      </c>
      <c r="AV20" s="61"/>
      <c r="AW20" s="61"/>
      <c r="AX20" s="61"/>
      <c r="AY20" s="61"/>
      <c r="AZ20" s="46"/>
      <c r="BA20" s="408" t="s">
        <v>246</v>
      </c>
      <c r="BB20" s="430" t="s">
        <v>679</v>
      </c>
      <c r="BH20" s="106"/>
      <c r="BI20" s="431"/>
      <c r="BJ20" s="169"/>
      <c r="BK20" s="242"/>
      <c r="BL20" s="62"/>
      <c r="BM20" s="72">
        <f t="shared" ref="BM20:BO20" si="20">countif($K20:$BL20,BM$2)</f>
        <v>1</v>
      </c>
      <c r="BN20" s="74">
        <f t="shared" si="20"/>
        <v>1</v>
      </c>
      <c r="BO20" s="74">
        <f t="shared" si="20"/>
        <v>1</v>
      </c>
      <c r="BP20" s="81">
        <f>countif($E20:$BL21,"* (s)*")</f>
        <v>2</v>
      </c>
      <c r="BQ20" s="81">
        <f>countif($E20:$BL20,"*" &amp; BQ$2 &amp; "*")</f>
        <v>0</v>
      </c>
      <c r="BR20" s="96"/>
      <c r="BS20" s="96"/>
      <c r="BT20" s="81">
        <f>countif($E20:$BL20,"*SS (l)*") / 2</f>
        <v>1</v>
      </c>
      <c r="BU20" s="96"/>
      <c r="BV20" s="81">
        <f>countif($E20:$BL21,"*" &amp; "CID (s)" &amp; "*")/2</f>
        <v>0</v>
      </c>
      <c r="BW20" s="159">
        <f>countif($E20:$BL20,"*" &amp; "CID (l)" &amp; "*") /2</f>
        <v>0</v>
      </c>
      <c r="BX20" s="162">
        <f t="shared" ref="BX20:BX25" si="22">countif($K20:$BL20,"*" &amp; BX$2 &amp; "*")</f>
        <v>0</v>
      </c>
      <c r="BY20" s="17"/>
      <c r="BZ20" s="17"/>
      <c r="CA20" s="17"/>
      <c r="CB20" s="17"/>
      <c r="CC20" s="17"/>
      <c r="CD20" s="17"/>
    </row>
    <row r="21" ht="15.75" customHeight="1">
      <c r="A21" s="96"/>
      <c r="B21" s="151" t="s">
        <v>341</v>
      </c>
      <c r="D21" s="112"/>
      <c r="E21" s="112"/>
      <c r="F21" s="112"/>
      <c r="G21" s="112"/>
      <c r="H21" s="112"/>
      <c r="I21" s="381"/>
      <c r="J21" s="112"/>
      <c r="K21" s="62"/>
      <c r="L21" s="112"/>
      <c r="M21" s="112"/>
      <c r="N21" s="112"/>
      <c r="O21" s="112"/>
      <c r="R21" s="112"/>
      <c r="S21" s="62"/>
      <c r="T21" s="85"/>
      <c r="U21" s="87"/>
      <c r="V21" s="87"/>
      <c r="W21" s="87"/>
      <c r="X21" s="87"/>
      <c r="Y21" s="87"/>
      <c r="Z21" s="87"/>
      <c r="AA21" s="86"/>
      <c r="AB21" s="65" t="s">
        <v>248</v>
      </c>
      <c r="AK21" s="62"/>
      <c r="AL21" s="85"/>
      <c r="AM21" s="87"/>
      <c r="AN21" s="87"/>
      <c r="AO21" s="87"/>
      <c r="AP21" s="87"/>
      <c r="AQ21" s="87"/>
      <c r="AR21" s="87"/>
      <c r="AS21" s="86"/>
      <c r="AT21" s="65" t="s">
        <v>245</v>
      </c>
      <c r="AU21" s="85"/>
      <c r="AV21" s="87"/>
      <c r="AW21" s="87"/>
      <c r="AX21" s="87"/>
      <c r="AY21" s="87"/>
      <c r="AZ21" s="86"/>
      <c r="BA21" s="408" t="s">
        <v>246</v>
      </c>
      <c r="BB21" s="87"/>
      <c r="BC21" s="87"/>
      <c r="BD21" s="87"/>
      <c r="BE21" s="87"/>
      <c r="BF21" s="87"/>
      <c r="BG21" s="87"/>
      <c r="BH21" s="86"/>
      <c r="BI21" s="434"/>
      <c r="BJ21" s="169"/>
      <c r="BK21" s="242"/>
      <c r="BL21" s="62"/>
      <c r="BM21" s="72">
        <f t="shared" ref="BM21:BO21" si="21">countif($K21:$BL21,BM$2)</f>
        <v>1</v>
      </c>
      <c r="BN21" s="74">
        <f t="shared" si="21"/>
        <v>1</v>
      </c>
      <c r="BO21" s="74">
        <f t="shared" si="21"/>
        <v>1</v>
      </c>
      <c r="BP21" s="96"/>
      <c r="BQ21" s="112"/>
      <c r="BR21" s="112"/>
      <c r="BS21" s="112"/>
      <c r="BT21" s="112"/>
      <c r="BU21" s="112"/>
      <c r="BV21" s="112"/>
      <c r="BW21" s="112"/>
      <c r="BX21" s="173">
        <f t="shared" si="22"/>
        <v>0</v>
      </c>
      <c r="BY21" s="17"/>
      <c r="BZ21" s="17"/>
      <c r="CA21" s="17"/>
      <c r="CB21" s="17"/>
      <c r="CC21" s="17"/>
      <c r="CD21" s="17"/>
    </row>
    <row r="22" ht="15.75" customHeight="1">
      <c r="A22" s="96"/>
      <c r="B22" s="151" t="s">
        <v>342</v>
      </c>
      <c r="C22" s="220" t="s">
        <v>686</v>
      </c>
      <c r="D22" s="61"/>
      <c r="E22" s="61"/>
      <c r="F22" s="61"/>
      <c r="G22" s="61"/>
      <c r="H22" s="61"/>
      <c r="I22" s="61"/>
      <c r="J22" s="46"/>
      <c r="K22" s="65" t="s">
        <v>248</v>
      </c>
      <c r="L22" s="437" t="s">
        <v>688</v>
      </c>
      <c r="M22" s="61"/>
      <c r="N22" s="61"/>
      <c r="O22" s="61"/>
      <c r="P22" s="61"/>
      <c r="Q22" s="61"/>
      <c r="R22" s="46"/>
      <c r="S22" s="236" t="s">
        <v>691</v>
      </c>
      <c r="T22" s="174" t="s">
        <v>364</v>
      </c>
      <c r="U22" s="174" t="s">
        <v>286</v>
      </c>
      <c r="V22" s="17"/>
      <c r="W22" s="17"/>
      <c r="X22" s="17"/>
      <c r="Y22" s="17"/>
      <c r="Z22" s="17"/>
      <c r="AA22" s="17"/>
      <c r="AB22" s="62"/>
      <c r="AC22" s="220" t="s">
        <v>692</v>
      </c>
      <c r="AD22" s="61"/>
      <c r="AE22" s="61"/>
      <c r="AF22" s="61"/>
      <c r="AG22" s="61"/>
      <c r="AH22" s="61"/>
      <c r="AI22" s="61"/>
      <c r="AJ22" s="46"/>
      <c r="AK22" s="65" t="s">
        <v>245</v>
      </c>
      <c r="AL22" s="44" t="s">
        <v>694</v>
      </c>
      <c r="AM22" s="46"/>
      <c r="AN22" s="386" t="s">
        <v>588</v>
      </c>
      <c r="AP22" s="126" t="s">
        <v>697</v>
      </c>
      <c r="AQ22" s="46"/>
      <c r="AR22" s="183" t="s">
        <v>698</v>
      </c>
      <c r="AS22" s="46"/>
      <c r="AT22" s="65" t="s">
        <v>245</v>
      </c>
      <c r="AU22" s="102" t="s">
        <v>700</v>
      </c>
      <c r="AZ22" s="106"/>
      <c r="BA22" s="440" t="s">
        <v>246</v>
      </c>
      <c r="BB22" s="91" t="s">
        <v>516</v>
      </c>
      <c r="BC22" s="91" t="s">
        <v>518</v>
      </c>
      <c r="BD22" s="63"/>
      <c r="BE22" s="63"/>
      <c r="BF22" s="174" t="s">
        <v>491</v>
      </c>
      <c r="BG22" s="174" t="s">
        <v>488</v>
      </c>
      <c r="BH22" s="340" t="s">
        <v>350</v>
      </c>
      <c r="BI22" s="169"/>
      <c r="BJ22" s="169"/>
      <c r="BK22" s="242"/>
      <c r="BL22" s="62"/>
      <c r="BM22" s="72">
        <f t="shared" ref="BM22:BO22" si="23">countif($K22:$BL22,BM$2)</f>
        <v>2</v>
      </c>
      <c r="BN22" s="74">
        <f t="shared" si="23"/>
        <v>1</v>
      </c>
      <c r="BO22" s="74">
        <f t="shared" si="23"/>
        <v>1</v>
      </c>
      <c r="BP22" s="81">
        <f>countif($C22:$BL23,"* (s)*")</f>
        <v>2</v>
      </c>
      <c r="BQ22" s="81">
        <f>countif($C22:$BL22,"*" &amp; BQ$2 &amp; "*")</f>
        <v>1</v>
      </c>
      <c r="BR22" s="81">
        <f>(countif($C22:$BK24,"*ME (l)*") / 2)</f>
        <v>0</v>
      </c>
      <c r="BS22" s="81">
        <f>INT((countif($C22:$BK24,"*DE (l)*"))/2*100)/100</f>
        <v>0</v>
      </c>
      <c r="BT22" s="81">
        <f>countif($C22:$BL22,"*SS (l)*") / 2</f>
        <v>1</v>
      </c>
      <c r="BU22" s="81">
        <f>(countif($C22:$BK24,"*CCP (l)*") + countif($C22:$BK24,"*CCP (l)*")) / 4</f>
        <v>0.5</v>
      </c>
      <c r="BV22" s="81">
        <f>countif($C22:$BL23,"*" &amp; "CID (s)" &amp; "*")/2</f>
        <v>0</v>
      </c>
      <c r="BW22" s="159">
        <f>countif($C22:$BL22,"*" &amp; "CID (l)" &amp; "*") /2</f>
        <v>0</v>
      </c>
      <c r="BX22" s="162">
        <f t="shared" si="22"/>
        <v>0</v>
      </c>
      <c r="BY22" s="17"/>
      <c r="BZ22" s="17"/>
      <c r="CC22" s="17"/>
      <c r="CD22" s="17"/>
    </row>
    <row r="23" ht="15.75" customHeight="1">
      <c r="A23" s="96"/>
      <c r="B23" s="151" t="s">
        <v>369</v>
      </c>
      <c r="C23" s="85"/>
      <c r="D23" s="87"/>
      <c r="E23" s="87"/>
      <c r="F23" s="87"/>
      <c r="G23" s="87"/>
      <c r="H23" s="87"/>
      <c r="I23" s="87"/>
      <c r="J23" s="86"/>
      <c r="K23" s="65" t="s">
        <v>248</v>
      </c>
      <c r="L23" s="87"/>
      <c r="M23" s="87"/>
      <c r="N23" s="87"/>
      <c r="O23" s="87"/>
      <c r="P23" s="87"/>
      <c r="Q23" s="87"/>
      <c r="R23" s="86"/>
      <c r="S23" s="236" t="s">
        <v>691</v>
      </c>
      <c r="T23" s="112"/>
      <c r="U23" s="112"/>
      <c r="V23" s="17"/>
      <c r="W23" s="17"/>
      <c r="X23" s="17"/>
      <c r="Y23" s="17"/>
      <c r="Z23" s="17"/>
      <c r="AA23" s="17"/>
      <c r="AB23" s="62"/>
      <c r="AC23" s="85"/>
      <c r="AD23" s="87"/>
      <c r="AE23" s="87"/>
      <c r="AF23" s="87"/>
      <c r="AG23" s="87"/>
      <c r="AH23" s="87"/>
      <c r="AI23" s="87"/>
      <c r="AJ23" s="86"/>
      <c r="AK23" s="65" t="s">
        <v>245</v>
      </c>
      <c r="AL23" s="85"/>
      <c r="AM23" s="86"/>
      <c r="AN23" s="112"/>
      <c r="AP23" s="85"/>
      <c r="AQ23" s="86"/>
      <c r="AR23" s="85"/>
      <c r="AS23" s="86"/>
      <c r="AT23" s="65" t="s">
        <v>245</v>
      </c>
      <c r="AU23" s="85"/>
      <c r="AV23" s="87"/>
      <c r="AW23" s="87"/>
      <c r="AX23" s="87"/>
      <c r="AY23" s="87"/>
      <c r="AZ23" s="86"/>
      <c r="BA23" s="440" t="s">
        <v>246</v>
      </c>
      <c r="BB23" s="96"/>
      <c r="BC23" s="96"/>
      <c r="BD23" s="63"/>
      <c r="BE23" s="63"/>
      <c r="BF23" s="96"/>
      <c r="BG23" s="96"/>
      <c r="BH23" s="112"/>
      <c r="BI23" s="169"/>
      <c r="BJ23" s="169"/>
      <c r="BK23" s="242"/>
      <c r="BL23" s="62"/>
      <c r="BM23" s="72">
        <f t="shared" ref="BM23:BO23" si="24">countif($K23:$BL23,BM$2)</f>
        <v>2</v>
      </c>
      <c r="BN23" s="74">
        <f t="shared" si="24"/>
        <v>1</v>
      </c>
      <c r="BO23" s="74">
        <f t="shared" si="24"/>
        <v>1</v>
      </c>
      <c r="BP23" s="96"/>
      <c r="BQ23" s="112"/>
      <c r="BR23" s="96"/>
      <c r="BS23" s="96"/>
      <c r="BT23" s="112"/>
      <c r="BU23" s="96"/>
      <c r="BV23" s="112"/>
      <c r="BW23" s="112"/>
      <c r="BX23" s="173">
        <f t="shared" si="22"/>
        <v>0</v>
      </c>
      <c r="BY23" s="17"/>
      <c r="BZ23" s="17"/>
      <c r="CC23" s="17"/>
      <c r="CD23" s="17"/>
    </row>
    <row r="24" ht="15.75" customHeight="1">
      <c r="A24" s="96"/>
      <c r="B24" s="151" t="s">
        <v>375</v>
      </c>
      <c r="C24" s="122" t="s">
        <v>721</v>
      </c>
      <c r="D24" s="61"/>
      <c r="E24" s="61"/>
      <c r="F24" s="61"/>
      <c r="G24" s="61"/>
      <c r="H24" s="61"/>
      <c r="I24" s="61"/>
      <c r="J24" s="46"/>
      <c r="K24" s="236" t="s">
        <v>246</v>
      </c>
      <c r="L24" s="44" t="s">
        <v>350</v>
      </c>
      <c r="M24" s="46"/>
      <c r="N24" s="126" t="s">
        <v>725</v>
      </c>
      <c r="O24" s="46"/>
      <c r="P24" s="174" t="s">
        <v>364</v>
      </c>
      <c r="Q24" s="174" t="s">
        <v>286</v>
      </c>
      <c r="R24" s="17"/>
      <c r="S24" s="62"/>
      <c r="U24" s="17"/>
      <c r="V24" s="17"/>
      <c r="W24" s="17"/>
      <c r="X24" s="17"/>
      <c r="Y24" s="17"/>
      <c r="Z24" s="17"/>
      <c r="AA24" s="17"/>
      <c r="AB24" s="62"/>
      <c r="AC24" s="211" t="s">
        <v>727</v>
      </c>
      <c r="AJ24" s="106"/>
      <c r="AK24" s="236" t="s">
        <v>245</v>
      </c>
      <c r="AL24" s="453"/>
      <c r="AM24" s="418"/>
      <c r="AN24" s="44" t="s">
        <v>694</v>
      </c>
      <c r="AO24" s="46"/>
      <c r="AR24" s="386" t="s">
        <v>588</v>
      </c>
      <c r="AT24" s="62"/>
      <c r="BA24" s="275"/>
      <c r="BB24" s="112"/>
      <c r="BC24" s="112"/>
      <c r="BD24" s="63"/>
      <c r="BE24" s="63"/>
      <c r="BF24" s="112"/>
      <c r="BG24" s="112"/>
      <c r="BH24" s="63"/>
      <c r="BI24" s="169"/>
      <c r="BJ24" s="169"/>
      <c r="BK24" s="242"/>
      <c r="BL24" s="62"/>
      <c r="BM24" s="72">
        <f t="shared" ref="BM24:BO24" si="25">countif($K24:$BL24,BM$2)</f>
        <v>1</v>
      </c>
      <c r="BN24" s="74">
        <f t="shared" si="25"/>
        <v>1</v>
      </c>
      <c r="BO24" s="74">
        <f t="shared" si="25"/>
        <v>0</v>
      </c>
      <c r="BP24" s="81">
        <f>countif($C24:$BL25,"* (s)*")</f>
        <v>2</v>
      </c>
      <c r="BQ24" s="81">
        <f>countif($C24:$BL24,"*" &amp; BQ$2 &amp; "*")</f>
        <v>0</v>
      </c>
      <c r="BR24" s="112"/>
      <c r="BS24" s="112"/>
      <c r="BT24" s="81">
        <f>countif($C24:$BL24,"*SS (l)*") / 2</f>
        <v>1</v>
      </c>
      <c r="BU24" s="112"/>
      <c r="BV24" s="81">
        <f>countif($C24:$BL25,"*" &amp; "CID (s)" &amp; "*")/2</f>
        <v>0</v>
      </c>
      <c r="BW24" s="159">
        <f>countif($C24:$BL24,"*" &amp; "CID (l)" &amp; "*") /2</f>
        <v>0</v>
      </c>
      <c r="BX24" s="162">
        <f t="shared" si="22"/>
        <v>0</v>
      </c>
      <c r="BY24" s="17"/>
      <c r="BZ24" s="17"/>
      <c r="CC24" s="17"/>
      <c r="CD24" s="17"/>
    </row>
    <row r="25" ht="15.75" customHeight="1">
      <c r="A25" s="96"/>
      <c r="B25" s="151" t="s">
        <v>392</v>
      </c>
      <c r="C25" s="85"/>
      <c r="D25" s="87"/>
      <c r="E25" s="87"/>
      <c r="F25" s="87"/>
      <c r="G25" s="87"/>
      <c r="H25" s="87"/>
      <c r="I25" s="87"/>
      <c r="J25" s="86"/>
      <c r="K25" s="236" t="s">
        <v>246</v>
      </c>
      <c r="L25" s="85"/>
      <c r="M25" s="86"/>
      <c r="N25" s="85"/>
      <c r="O25" s="86"/>
      <c r="P25" s="112"/>
      <c r="Q25" s="112"/>
      <c r="R25" s="91" t="s">
        <v>737</v>
      </c>
      <c r="S25" s="62"/>
      <c r="U25" s="17"/>
      <c r="V25" s="17"/>
      <c r="W25" s="17"/>
      <c r="X25" s="17"/>
      <c r="Y25" s="17"/>
      <c r="Z25" s="17"/>
      <c r="AA25" s="17"/>
      <c r="AB25" s="62"/>
      <c r="AC25" s="87"/>
      <c r="AD25" s="87"/>
      <c r="AE25" s="87"/>
      <c r="AF25" s="87"/>
      <c r="AG25" s="87"/>
      <c r="AH25" s="87"/>
      <c r="AI25" s="87"/>
      <c r="AJ25" s="86"/>
      <c r="AK25" s="236" t="s">
        <v>245</v>
      </c>
      <c r="AN25" s="85"/>
      <c r="AO25" s="86"/>
      <c r="AQ25" s="459"/>
      <c r="AR25" s="112"/>
      <c r="AT25" s="62"/>
      <c r="BA25" s="275"/>
      <c r="BB25" s="384"/>
      <c r="BC25" s="384"/>
      <c r="BD25" s="384"/>
      <c r="BE25" s="384"/>
      <c r="BF25" s="63"/>
      <c r="BG25" s="384"/>
      <c r="BH25" s="91" t="s">
        <v>518</v>
      </c>
      <c r="BI25" s="169"/>
      <c r="BJ25" s="169"/>
      <c r="BK25" s="242"/>
      <c r="BL25" s="62"/>
      <c r="BM25" s="72">
        <f t="shared" ref="BM25:BO25" si="26">countif($K25:$BL25,BM$2)</f>
        <v>1</v>
      </c>
      <c r="BN25" s="74">
        <f t="shared" si="26"/>
        <v>1</v>
      </c>
      <c r="BO25" s="74">
        <f t="shared" si="26"/>
        <v>0</v>
      </c>
      <c r="BP25" s="96"/>
      <c r="BQ25" s="112"/>
      <c r="BR25" s="81">
        <f>(countif($C25:$BK27,"*ME (l)*") / 2)</f>
        <v>0</v>
      </c>
      <c r="BS25" s="81">
        <f>INT((countif($C25:$BK27,"*DE (l)*"))/2*100)/100</f>
        <v>0</v>
      </c>
      <c r="BT25" s="112"/>
      <c r="BU25" s="81">
        <f>(countif($C25:$BK27,"*CCP (l)*") + countif($C25:$BK27,"*CCP (l)*")) / 4</f>
        <v>0</v>
      </c>
      <c r="BV25" s="112"/>
      <c r="BW25" s="112"/>
      <c r="BX25" s="173">
        <f t="shared" si="22"/>
        <v>0</v>
      </c>
      <c r="BY25" s="17"/>
      <c r="BZ25" s="17"/>
      <c r="CA25" s="17"/>
      <c r="CB25" s="17"/>
      <c r="CC25" s="17"/>
      <c r="CD25" s="17"/>
    </row>
    <row r="26" ht="15.75" customHeight="1">
      <c r="A26" s="96"/>
      <c r="B26" s="151" t="s">
        <v>398</v>
      </c>
      <c r="C26" s="464"/>
      <c r="D26" s="465"/>
      <c r="I26" s="465"/>
      <c r="J26" s="465"/>
      <c r="K26" s="62"/>
      <c r="L26" s="126" t="s">
        <v>725</v>
      </c>
      <c r="M26" s="46"/>
      <c r="N26" s="44" t="s">
        <v>350</v>
      </c>
      <c r="O26" s="46"/>
      <c r="Q26" s="17"/>
      <c r="R26" s="96"/>
      <c r="S26" s="62"/>
      <c r="U26" s="17"/>
      <c r="V26" s="17"/>
      <c r="W26" s="17"/>
      <c r="X26" s="17"/>
      <c r="Y26" s="17"/>
      <c r="Z26" s="17"/>
      <c r="AA26" s="17"/>
      <c r="AB26" s="62"/>
      <c r="AK26" s="62"/>
      <c r="AN26" s="174" t="s">
        <v>364</v>
      </c>
      <c r="AO26" s="470"/>
      <c r="AP26" s="174" t="s">
        <v>286</v>
      </c>
      <c r="AR26" s="459"/>
      <c r="AT26" s="62"/>
      <c r="BA26" s="275"/>
      <c r="BB26" s="384"/>
      <c r="BC26" s="384"/>
      <c r="BD26" s="384"/>
      <c r="BE26" s="384"/>
      <c r="BF26" s="63"/>
      <c r="BG26" s="384"/>
      <c r="BH26" s="96"/>
      <c r="BI26" s="169"/>
      <c r="BJ26" s="169"/>
      <c r="BK26" s="242"/>
      <c r="BL26" s="62"/>
      <c r="BM26" s="72">
        <f t="shared" ref="BM26:BO26" si="27">countif($D26:$BL26,BM$2)</f>
        <v>0</v>
      </c>
      <c r="BN26" s="74">
        <f t="shared" si="27"/>
        <v>0</v>
      </c>
      <c r="BO26" s="74">
        <f t="shared" si="27"/>
        <v>0</v>
      </c>
      <c r="BP26" s="81">
        <f>countif($C26:$BL27,"* (s)*")</f>
        <v>1</v>
      </c>
      <c r="BQ26" s="81">
        <f>countif($C26:$BL26,"*" &amp; BQ$2 &amp; "*")</f>
        <v>0</v>
      </c>
      <c r="BR26" s="96"/>
      <c r="BS26" s="96"/>
      <c r="BT26" s="81">
        <f>countif($C26:$BL26,"*SS (l)*") / 2</f>
        <v>1</v>
      </c>
      <c r="BU26" s="96"/>
      <c r="BV26" s="81">
        <f>countif($C26:$BL27,"*" &amp; "CID (s)" &amp; "*")/2</f>
        <v>0</v>
      </c>
      <c r="BW26" s="159">
        <f>countif($C26:$BL26,"*" &amp; "CID (l)" &amp; "*") /2</f>
        <v>0</v>
      </c>
      <c r="BX26" s="162">
        <f t="shared" ref="BX26:BX27" si="29">countif($D26:$BL26,"*" &amp; BX$2 &amp; "*")</f>
        <v>0</v>
      </c>
      <c r="BY26" s="17"/>
      <c r="BZ26" s="17"/>
      <c r="CA26" s="17"/>
      <c r="CB26" s="17"/>
      <c r="CC26" s="17"/>
      <c r="CD26" s="17"/>
    </row>
    <row r="27" ht="15.75" customHeight="1">
      <c r="A27" s="112"/>
      <c r="B27" s="151" t="s">
        <v>408</v>
      </c>
      <c r="C27" s="464"/>
      <c r="D27" s="465"/>
      <c r="I27" s="465"/>
      <c r="J27" s="465"/>
      <c r="K27" s="298"/>
      <c r="L27" s="85"/>
      <c r="M27" s="86"/>
      <c r="N27" s="85"/>
      <c r="O27" s="86"/>
      <c r="R27" s="112"/>
      <c r="S27" s="298"/>
      <c r="T27" s="17"/>
      <c r="U27" s="17"/>
      <c r="V27" s="17"/>
      <c r="W27" s="17"/>
      <c r="X27" s="17"/>
      <c r="Y27" s="17"/>
      <c r="Z27" s="17"/>
      <c r="AA27" s="17"/>
      <c r="AB27" s="298"/>
      <c r="AK27" s="298"/>
      <c r="AN27" s="112"/>
      <c r="AO27" s="470"/>
      <c r="AP27" s="112"/>
      <c r="AR27" s="477"/>
      <c r="AT27" s="298"/>
      <c r="BA27" s="478"/>
      <c r="BB27" s="384"/>
      <c r="BC27" s="384"/>
      <c r="BD27" s="384"/>
      <c r="BE27" s="384"/>
      <c r="BF27" s="63"/>
      <c r="BG27" s="384"/>
      <c r="BH27" s="112"/>
      <c r="BI27" s="360"/>
      <c r="BJ27" s="360"/>
      <c r="BK27" s="361"/>
      <c r="BL27" s="298"/>
      <c r="BM27" s="72">
        <f t="shared" ref="BM27:BO27" si="28">countif($D27:$BL27,BM$2)</f>
        <v>0</v>
      </c>
      <c r="BN27" s="74">
        <f t="shared" si="28"/>
        <v>0</v>
      </c>
      <c r="BO27" s="74">
        <f t="shared" si="28"/>
        <v>0</v>
      </c>
      <c r="BP27" s="96"/>
      <c r="BQ27" s="112"/>
      <c r="BR27" s="112"/>
      <c r="BS27" s="112"/>
      <c r="BT27" s="112"/>
      <c r="BU27" s="112"/>
      <c r="BV27" s="112"/>
      <c r="BW27" s="112"/>
      <c r="BX27" s="173">
        <f t="shared" si="29"/>
        <v>0</v>
      </c>
      <c r="BY27" s="17"/>
      <c r="BZ27" s="17"/>
      <c r="CA27" s="17"/>
      <c r="CB27" s="17"/>
      <c r="CC27" s="17"/>
      <c r="CD27" s="17"/>
    </row>
    <row r="28" ht="1.5" customHeight="1">
      <c r="A28" s="6"/>
      <c r="B28" s="304"/>
      <c r="C28" s="247"/>
      <c r="D28" s="248"/>
      <c r="E28" s="248"/>
      <c r="F28" s="248"/>
      <c r="G28" s="248"/>
      <c r="H28" s="248"/>
      <c r="I28" s="248"/>
      <c r="J28" s="248"/>
      <c r="K28" s="305"/>
      <c r="L28" s="247"/>
      <c r="M28" s="248"/>
      <c r="N28" s="248"/>
      <c r="O28" s="248"/>
      <c r="P28" s="248"/>
      <c r="Q28" s="248"/>
      <c r="R28" s="248"/>
      <c r="S28" s="305"/>
      <c r="T28" s="247"/>
      <c r="U28" s="248"/>
      <c r="V28" s="248"/>
      <c r="W28" s="248"/>
      <c r="X28" s="248"/>
      <c r="Y28" s="364"/>
      <c r="Z28" s="364"/>
      <c r="AA28" s="364"/>
      <c r="AB28" s="305"/>
      <c r="AC28" s="247"/>
      <c r="AD28" s="248"/>
      <c r="AE28" s="248"/>
      <c r="AF28" s="248"/>
      <c r="AG28" s="248"/>
      <c r="AH28" s="248"/>
      <c r="AI28" s="248"/>
      <c r="AJ28" s="248"/>
      <c r="AK28" s="305"/>
      <c r="AL28" s="247"/>
      <c r="AM28" s="248"/>
      <c r="AN28" s="248"/>
      <c r="AO28" s="248"/>
      <c r="AP28" s="248"/>
      <c r="AQ28" s="248"/>
      <c r="AR28" s="248"/>
      <c r="AS28" s="248"/>
      <c r="AT28" s="305"/>
      <c r="AU28" s="247"/>
      <c r="AV28" s="248"/>
      <c r="AW28" s="248"/>
      <c r="AX28" s="248"/>
      <c r="AY28" s="248"/>
      <c r="AZ28" s="248"/>
      <c r="BA28" s="305"/>
      <c r="BB28" s="252"/>
      <c r="BC28" s="249"/>
      <c r="BD28" s="249"/>
      <c r="BE28" s="249"/>
      <c r="BF28" s="249"/>
      <c r="BG28" s="249"/>
      <c r="BH28" s="249"/>
      <c r="BI28" s="247"/>
      <c r="BJ28" s="248"/>
      <c r="BK28" s="248"/>
      <c r="BL28" s="305"/>
      <c r="BM28" s="254"/>
      <c r="BN28" s="255"/>
      <c r="BO28" s="255"/>
      <c r="BP28" s="75"/>
      <c r="BQ28" s="310"/>
      <c r="BR28" s="378"/>
      <c r="BS28" s="378"/>
      <c r="BT28" s="379"/>
      <c r="BU28" s="310"/>
      <c r="BV28" s="310"/>
      <c r="BW28" s="255"/>
      <c r="BX28" s="255"/>
      <c r="BY28" s="17"/>
      <c r="BZ28" s="17"/>
      <c r="CA28" s="17"/>
      <c r="CB28" s="17"/>
      <c r="CC28" s="17"/>
      <c r="CD28" s="17"/>
    </row>
    <row r="29" ht="15.75" customHeight="1">
      <c r="A29" s="30" t="s">
        <v>552</v>
      </c>
      <c r="B29" s="40">
        <v>42623.0</v>
      </c>
      <c r="C29" s="259" t="s">
        <v>780</v>
      </c>
      <c r="D29" s="61"/>
      <c r="E29" s="61"/>
      <c r="F29" s="61"/>
      <c r="G29" s="61"/>
      <c r="H29" s="61"/>
      <c r="I29" s="61"/>
      <c r="J29" s="46"/>
      <c r="K29" s="65" t="s">
        <v>245</v>
      </c>
      <c r="L29" s="44" t="s">
        <v>393</v>
      </c>
      <c r="M29" s="46"/>
      <c r="S29" s="62"/>
      <c r="T29" s="174" t="s">
        <v>783</v>
      </c>
      <c r="U29" s="174" t="s">
        <v>785</v>
      </c>
      <c r="X29" s="91" t="s">
        <v>516</v>
      </c>
      <c r="Y29" s="91" t="s">
        <v>518</v>
      </c>
      <c r="Z29" s="98" t="s">
        <v>788</v>
      </c>
      <c r="AA29" s="98" t="s">
        <v>789</v>
      </c>
      <c r="AB29" s="62"/>
      <c r="AE29" s="44" t="s">
        <v>350</v>
      </c>
      <c r="AF29" s="46"/>
      <c r="AI29" s="486" t="s">
        <v>791</v>
      </c>
      <c r="AJ29" s="487" t="s">
        <v>792</v>
      </c>
      <c r="AK29" s="62"/>
      <c r="AT29" s="62"/>
      <c r="BA29" s="62"/>
      <c r="BB29" s="126" t="s">
        <v>594</v>
      </c>
      <c r="BC29" s="46"/>
      <c r="BD29" s="63"/>
      <c r="BE29" s="63"/>
      <c r="BF29" s="488"/>
      <c r="BG29" s="488"/>
      <c r="BH29" s="63"/>
      <c r="BJ29" s="169"/>
      <c r="BK29" s="242"/>
      <c r="BL29" s="62"/>
      <c r="BM29" s="72">
        <f t="shared" ref="BM29:BO29" si="30">countif($K29:$BL29,BM$2)</f>
        <v>1</v>
      </c>
      <c r="BN29" s="74">
        <f t="shared" si="30"/>
        <v>0</v>
      </c>
      <c r="BO29" s="74">
        <f t="shared" si="30"/>
        <v>0</v>
      </c>
      <c r="BP29" s="81">
        <f>countif($C29:$BL30,"* (s)*")</f>
        <v>2</v>
      </c>
      <c r="BQ29" s="81">
        <f>countif($C29:$BL29,"*" &amp; BQ$2 &amp; "*")</f>
        <v>0</v>
      </c>
      <c r="BR29" s="81">
        <f>(countif($C29:$BK31,"*ME (l)*") / 2)</f>
        <v>0</v>
      </c>
      <c r="BS29" s="81">
        <f>INT((countif($C29:$BK31,"*DE (l)*"))/2*100)/100</f>
        <v>0</v>
      </c>
      <c r="BT29" s="81">
        <f>countif($C29:$BL29,"*SS (l)*") / 2</f>
        <v>1</v>
      </c>
      <c r="BU29" s="81">
        <f>(countif($C29:$BK31,"*CCP (l)*") + countif($C29:$BK31,"*CCP (l)*")) / 4</f>
        <v>1.5</v>
      </c>
      <c r="BV29" s="81">
        <f>countif($C29:$BL30,"*" &amp; "CID (s)" &amp; "*")/2</f>
        <v>0</v>
      </c>
      <c r="BW29" s="159">
        <f>countif($C29:$BL29,"*" &amp; "CID (l)" &amp; "*") /2</f>
        <v>0</v>
      </c>
      <c r="BX29" s="162">
        <f t="shared" ref="BX29:BX30" si="32">countif($K29:$BL29,"*" &amp; BX$2 &amp; "*")</f>
        <v>0</v>
      </c>
      <c r="BY29" s="17"/>
      <c r="BZ29" s="17"/>
      <c r="CA29" s="17"/>
      <c r="CB29" s="17"/>
      <c r="CC29" s="17"/>
      <c r="CD29" s="17"/>
    </row>
    <row r="30" ht="15.75" customHeight="1">
      <c r="A30" s="96"/>
      <c r="B30" s="97">
        <v>42654.0</v>
      </c>
      <c r="C30" s="85"/>
      <c r="D30" s="87"/>
      <c r="E30" s="87"/>
      <c r="F30" s="87"/>
      <c r="G30" s="87"/>
      <c r="H30" s="87"/>
      <c r="I30" s="87"/>
      <c r="J30" s="86"/>
      <c r="K30" s="65" t="s">
        <v>245</v>
      </c>
      <c r="L30" s="85"/>
      <c r="M30" s="86"/>
      <c r="S30" s="62"/>
      <c r="T30" s="112"/>
      <c r="U30" s="112"/>
      <c r="X30" s="96"/>
      <c r="Y30" s="96"/>
      <c r="Z30" s="112"/>
      <c r="AA30" s="112"/>
      <c r="AB30" s="62"/>
      <c r="AE30" s="85"/>
      <c r="AF30" s="86"/>
      <c r="AI30" s="91" t="s">
        <v>797</v>
      </c>
      <c r="AJ30" s="91" t="s">
        <v>800</v>
      </c>
      <c r="AK30" s="62"/>
      <c r="AT30" s="62"/>
      <c r="BA30" s="62"/>
      <c r="BB30" s="85"/>
      <c r="BC30" s="86"/>
      <c r="BD30" s="63"/>
      <c r="BE30" s="63"/>
      <c r="BF30" s="63"/>
      <c r="BG30" s="63"/>
      <c r="BH30" s="63"/>
      <c r="BJ30" s="169"/>
      <c r="BK30" s="242"/>
      <c r="BL30" s="62"/>
      <c r="BM30" s="72">
        <f t="shared" ref="BM30:BO30" si="31">countif($K30:$BL30,BM$2)</f>
        <v>1</v>
      </c>
      <c r="BN30" s="74">
        <f t="shared" si="31"/>
        <v>0</v>
      </c>
      <c r="BO30" s="74">
        <f t="shared" si="31"/>
        <v>0</v>
      </c>
      <c r="BP30" s="96"/>
      <c r="BQ30" s="112"/>
      <c r="BR30" s="96"/>
      <c r="BS30" s="96"/>
      <c r="BT30" s="112"/>
      <c r="BU30" s="96"/>
      <c r="BV30" s="112"/>
      <c r="BW30" s="112"/>
      <c r="BX30" s="173">
        <f t="shared" si="32"/>
        <v>0</v>
      </c>
      <c r="BY30" s="17"/>
      <c r="BZ30" s="17"/>
      <c r="CA30" s="17"/>
      <c r="CB30" s="17"/>
      <c r="CC30" s="17"/>
      <c r="CD30" s="17"/>
    </row>
    <row r="31" ht="15.75" customHeight="1">
      <c r="A31" s="96"/>
      <c r="B31" s="97">
        <v>42686.0</v>
      </c>
      <c r="C31" s="122" t="s">
        <v>806</v>
      </c>
      <c r="D31" s="61"/>
      <c r="E31" s="61"/>
      <c r="F31" s="61"/>
      <c r="G31" s="61"/>
      <c r="H31" s="61"/>
      <c r="I31" s="61"/>
      <c r="J31" s="46"/>
      <c r="K31" s="65" t="s">
        <v>245</v>
      </c>
      <c r="N31" s="44" t="s">
        <v>393</v>
      </c>
      <c r="O31" s="46"/>
      <c r="R31" s="91" t="s">
        <v>472</v>
      </c>
      <c r="S31" s="62"/>
      <c r="T31" s="91" t="s">
        <v>594</v>
      </c>
      <c r="U31" s="91" t="s">
        <v>594</v>
      </c>
      <c r="V31" s="174" t="s">
        <v>364</v>
      </c>
      <c r="W31" s="174" t="s">
        <v>286</v>
      </c>
      <c r="X31" s="112"/>
      <c r="Y31" s="112"/>
      <c r="Z31" s="384"/>
      <c r="AA31" s="511"/>
      <c r="AB31" s="62"/>
      <c r="AC31" s="126" t="s">
        <v>299</v>
      </c>
      <c r="AD31" s="46"/>
      <c r="AE31" s="126" t="s">
        <v>594</v>
      </c>
      <c r="AF31" s="46"/>
      <c r="AG31" s="44" t="s">
        <v>350</v>
      </c>
      <c r="AH31" s="46"/>
      <c r="AI31" s="112"/>
      <c r="AJ31" s="112"/>
      <c r="AK31" s="62"/>
      <c r="AT31" s="62"/>
      <c r="AU31" s="122" t="s">
        <v>818</v>
      </c>
      <c r="AV31" s="61"/>
      <c r="AW31" s="61"/>
      <c r="AX31" s="61"/>
      <c r="AY31" s="61"/>
      <c r="AZ31" s="46"/>
      <c r="BA31" s="65" t="s">
        <v>246</v>
      </c>
      <c r="BB31" s="126" t="s">
        <v>819</v>
      </c>
      <c r="BC31" s="46"/>
      <c r="BD31" s="63"/>
      <c r="BE31" s="63"/>
      <c r="BF31" s="63"/>
      <c r="BG31" s="63"/>
      <c r="BH31" s="63"/>
      <c r="BJ31" s="169"/>
      <c r="BK31" s="242"/>
      <c r="BL31" s="62"/>
      <c r="BM31" s="72">
        <f t="shared" ref="BM31:BM32" si="33">countif($S31:$BL31,BM$2)</f>
        <v>0</v>
      </c>
      <c r="BN31" s="74">
        <f t="shared" ref="BN31:BN32" si="34">countif($K31:$BL31,BN$2)</f>
        <v>1</v>
      </c>
      <c r="BO31" s="74">
        <f t="shared" ref="BO31:BO32" si="35">countif($S31:$BL31,BO$2)</f>
        <v>0</v>
      </c>
      <c r="BP31" s="81">
        <f>countif($K31:$BL32,"* (s)*")</f>
        <v>2</v>
      </c>
      <c r="BQ31" s="81">
        <f>countif($K31:$BL31,"*" &amp; BQ$2 &amp; "*")</f>
        <v>3</v>
      </c>
      <c r="BR31" s="112"/>
      <c r="BS31" s="112"/>
      <c r="BT31" s="81">
        <f>countif($K31:$BL31,"*SS (l)*") / 2</f>
        <v>1</v>
      </c>
      <c r="BU31" s="112"/>
      <c r="BV31" s="81">
        <f>countif($K31:$BL32,"*" &amp; "CID (s)" &amp; "*")/2</f>
        <v>0</v>
      </c>
      <c r="BW31" s="159">
        <f>countif($K31:$BL31,"*" &amp; "CID (l)" &amp; "*") /2</f>
        <v>0</v>
      </c>
      <c r="BX31" s="162">
        <f t="shared" ref="BX31:BX32" si="36">countif($S31:$BL31,"*" &amp; BX$2 &amp; "*")</f>
        <v>0</v>
      </c>
      <c r="BY31" s="17"/>
      <c r="BZ31" s="17"/>
      <c r="CA31" s="17"/>
      <c r="CB31" s="17"/>
      <c r="CC31" s="17"/>
      <c r="CD31" s="17"/>
    </row>
    <row r="32" ht="18.0" customHeight="1">
      <c r="A32" s="96"/>
      <c r="B32" s="97">
        <v>42717.0</v>
      </c>
      <c r="C32" s="85"/>
      <c r="D32" s="87"/>
      <c r="E32" s="87"/>
      <c r="F32" s="87"/>
      <c r="G32" s="87"/>
      <c r="H32" s="87"/>
      <c r="I32" s="87"/>
      <c r="J32" s="86"/>
      <c r="K32" s="65" t="s">
        <v>245</v>
      </c>
      <c r="L32" s="91" t="s">
        <v>516</v>
      </c>
      <c r="M32" s="91" t="s">
        <v>518</v>
      </c>
      <c r="N32" s="85"/>
      <c r="O32" s="86"/>
      <c r="P32" s="174" t="s">
        <v>488</v>
      </c>
      <c r="Q32" s="174" t="s">
        <v>491</v>
      </c>
      <c r="R32" s="112"/>
      <c r="S32" s="62"/>
      <c r="T32" s="112"/>
      <c r="U32" s="112"/>
      <c r="V32" s="112"/>
      <c r="W32" s="112"/>
      <c r="Z32" s="91" t="s">
        <v>516</v>
      </c>
      <c r="AA32" s="91" t="s">
        <v>518</v>
      </c>
      <c r="AB32" s="62"/>
      <c r="AC32" s="85"/>
      <c r="AD32" s="86"/>
      <c r="AE32" s="85"/>
      <c r="AF32" s="86"/>
      <c r="AG32" s="85"/>
      <c r="AH32" s="86"/>
      <c r="AI32" s="527" t="s">
        <v>847</v>
      </c>
      <c r="AJ32" s="527" t="s">
        <v>850</v>
      </c>
      <c r="AK32" s="62"/>
      <c r="AT32" s="62"/>
      <c r="AU32" s="85"/>
      <c r="AV32" s="87"/>
      <c r="AW32" s="87"/>
      <c r="AX32" s="87"/>
      <c r="AY32" s="87"/>
      <c r="AZ32" s="86"/>
      <c r="BA32" s="65" t="s">
        <v>246</v>
      </c>
      <c r="BB32" s="85"/>
      <c r="BC32" s="86"/>
      <c r="BD32" s="63"/>
      <c r="BE32" s="529"/>
      <c r="BF32" s="529"/>
      <c r="BG32" s="63"/>
      <c r="BH32" s="63"/>
      <c r="BJ32" s="169"/>
      <c r="BK32" s="242"/>
      <c r="BL32" s="62"/>
      <c r="BM32" s="72">
        <f t="shared" si="33"/>
        <v>0</v>
      </c>
      <c r="BN32" s="74">
        <f t="shared" si="34"/>
        <v>1</v>
      </c>
      <c r="BO32" s="74">
        <f t="shared" si="35"/>
        <v>0</v>
      </c>
      <c r="BP32" s="96"/>
      <c r="BQ32" s="112"/>
      <c r="BR32" s="81">
        <f>(countif($C32:$BK34,"*ME (l)*") / 2)</f>
        <v>0</v>
      </c>
      <c r="BS32" s="81">
        <f>INT((countif($C32:$BK34,"*DE (l)*"))/2*100)/100</f>
        <v>0</v>
      </c>
      <c r="BT32" s="112"/>
      <c r="BU32" s="81">
        <f>(countif($C32:$BK34,"*CCP (l)*") + countif($C32:$BK34,"*CCP (l)*")) / 4</f>
        <v>1</v>
      </c>
      <c r="BV32" s="112"/>
      <c r="BW32" s="112"/>
      <c r="BX32" s="173">
        <f t="shared" si="36"/>
        <v>0</v>
      </c>
      <c r="BY32" s="17"/>
      <c r="BZ32" s="17"/>
      <c r="CA32" s="17"/>
      <c r="CB32" s="17"/>
      <c r="CC32" s="17"/>
      <c r="CD32" s="17"/>
    </row>
    <row r="33" ht="15.75" customHeight="1">
      <c r="A33" s="96"/>
      <c r="B33" s="151" t="s">
        <v>310</v>
      </c>
      <c r="K33" s="62"/>
      <c r="L33" s="96"/>
      <c r="M33" s="96"/>
      <c r="N33" s="126" t="s">
        <v>299</v>
      </c>
      <c r="O33" s="46"/>
      <c r="P33" s="96"/>
      <c r="Q33" s="96"/>
      <c r="S33" s="62"/>
      <c r="V33" s="91" t="s">
        <v>594</v>
      </c>
      <c r="W33" s="91" t="s">
        <v>594</v>
      </c>
      <c r="X33" s="126" t="s">
        <v>865</v>
      </c>
      <c r="Y33" s="46"/>
      <c r="Z33" s="96"/>
      <c r="AA33" s="96"/>
      <c r="AB33" s="62"/>
      <c r="AC33" s="44" t="s">
        <v>350</v>
      </c>
      <c r="AD33" s="46"/>
      <c r="AE33" s="534" t="s">
        <v>364</v>
      </c>
      <c r="AF33" s="534" t="s">
        <v>286</v>
      </c>
      <c r="AI33" s="126" t="s">
        <v>594</v>
      </c>
      <c r="AJ33" s="46"/>
      <c r="AK33" s="62"/>
      <c r="AL33" s="122" t="s">
        <v>866</v>
      </c>
      <c r="AM33" s="61"/>
      <c r="AN33" s="61"/>
      <c r="AO33" s="61"/>
      <c r="AP33" s="61"/>
      <c r="AQ33" s="61"/>
      <c r="AR33" s="61"/>
      <c r="AS33" s="46"/>
      <c r="AT33" s="65" t="s">
        <v>245</v>
      </c>
      <c r="AU33" s="102" t="s">
        <v>867</v>
      </c>
      <c r="AZ33" s="106"/>
      <c r="BA33" s="65" t="s">
        <v>246</v>
      </c>
      <c r="BB33" s="44" t="s">
        <v>459</v>
      </c>
      <c r="BC33" s="46"/>
      <c r="BD33" s="126" t="s">
        <v>868</v>
      </c>
      <c r="BE33" s="46"/>
      <c r="BF33" s="126" t="s">
        <v>869</v>
      </c>
      <c r="BG33" s="46"/>
      <c r="BH33" s="63"/>
      <c r="BJ33" s="169"/>
      <c r="BK33" s="242"/>
      <c r="BL33" s="55"/>
      <c r="BM33" s="72">
        <f t="shared" ref="BM33:BO33" si="37">countif($K33:$BL33,BM$2)</f>
        <v>1</v>
      </c>
      <c r="BN33" s="74">
        <f t="shared" si="37"/>
        <v>1</v>
      </c>
      <c r="BO33" s="74">
        <f t="shared" si="37"/>
        <v>0</v>
      </c>
      <c r="BP33" s="81">
        <f>countif($C33:$BL34,"* (s)*")</f>
        <v>2</v>
      </c>
      <c r="BQ33" s="81">
        <f>countif($C33:$BL33,"*" &amp; BQ$2 &amp; "*")</f>
        <v>2</v>
      </c>
      <c r="BR33" s="96"/>
      <c r="BS33" s="96"/>
      <c r="BT33" s="81">
        <f>countif($C33:$BL33,"*SS (l)*") / 2</f>
        <v>1</v>
      </c>
      <c r="BU33" s="96"/>
      <c r="BV33" s="81">
        <f>countif($C33:$BL34,"*" &amp; "CID (s)" &amp; "*")/2</f>
        <v>0</v>
      </c>
      <c r="BW33" s="159">
        <f>countif($C33:$BL33,"*" &amp; "CID (l)" &amp; "*") /2</f>
        <v>0</v>
      </c>
      <c r="BX33" s="162">
        <f t="shared" ref="BX33:BX40" si="39">countif($K33:$BL33,"*" &amp; BX$2 &amp; "*")</f>
        <v>0</v>
      </c>
      <c r="BY33" s="17"/>
      <c r="BZ33" s="17"/>
      <c r="CB33" s="17"/>
      <c r="CC33" s="17"/>
      <c r="CD33" s="17"/>
    </row>
    <row r="34" ht="15.75" customHeight="1">
      <c r="A34" s="96"/>
      <c r="B34" s="151" t="s">
        <v>341</v>
      </c>
      <c r="K34" s="62"/>
      <c r="L34" s="112"/>
      <c r="M34" s="112"/>
      <c r="N34" s="85"/>
      <c r="O34" s="86"/>
      <c r="P34" s="112"/>
      <c r="Q34" s="112"/>
      <c r="S34" s="62"/>
      <c r="V34" s="112"/>
      <c r="W34" s="112"/>
      <c r="X34" s="85"/>
      <c r="Y34" s="86"/>
      <c r="Z34" s="112"/>
      <c r="AA34" s="112"/>
      <c r="AB34" s="62"/>
      <c r="AC34" s="85"/>
      <c r="AD34" s="86"/>
      <c r="AE34" s="112"/>
      <c r="AF34" s="112"/>
      <c r="AI34" s="85"/>
      <c r="AJ34" s="86"/>
      <c r="AK34" s="62"/>
      <c r="AL34" s="85"/>
      <c r="AM34" s="87"/>
      <c r="AN34" s="87"/>
      <c r="AO34" s="87"/>
      <c r="AP34" s="87"/>
      <c r="AQ34" s="87"/>
      <c r="AR34" s="87"/>
      <c r="AS34" s="86"/>
      <c r="AT34" s="65" t="s">
        <v>245</v>
      </c>
      <c r="AU34" s="85"/>
      <c r="AV34" s="87"/>
      <c r="AW34" s="87"/>
      <c r="AX34" s="87"/>
      <c r="AY34" s="87"/>
      <c r="AZ34" s="86"/>
      <c r="BA34" s="65" t="s">
        <v>246</v>
      </c>
      <c r="BB34" s="85"/>
      <c r="BC34" s="86"/>
      <c r="BD34" s="85"/>
      <c r="BE34" s="86"/>
      <c r="BF34" s="85"/>
      <c r="BG34" s="86"/>
      <c r="BH34" s="63"/>
      <c r="BJ34" s="169"/>
      <c r="BK34" s="242"/>
      <c r="BL34" s="55"/>
      <c r="BM34" s="72">
        <f t="shared" ref="BM34:BO34" si="38">countif($K34:$BL34,BM$2)</f>
        <v>1</v>
      </c>
      <c r="BN34" s="74">
        <f t="shared" si="38"/>
        <v>1</v>
      </c>
      <c r="BO34" s="74">
        <f t="shared" si="38"/>
        <v>0</v>
      </c>
      <c r="BP34" s="96"/>
      <c r="BQ34" s="112"/>
      <c r="BR34" s="112"/>
      <c r="BS34" s="112"/>
      <c r="BT34" s="112"/>
      <c r="BU34" s="112"/>
      <c r="BV34" s="112"/>
      <c r="BW34" s="112"/>
      <c r="BX34" s="173">
        <f t="shared" si="39"/>
        <v>0</v>
      </c>
      <c r="BY34" s="17"/>
      <c r="BZ34" s="17"/>
      <c r="CB34" s="17"/>
      <c r="CC34" s="17"/>
      <c r="CD34" s="17"/>
    </row>
    <row r="35" ht="15.75" customHeight="1">
      <c r="A35" s="96"/>
      <c r="B35" s="151" t="s">
        <v>342</v>
      </c>
      <c r="E35" s="215" t="s">
        <v>516</v>
      </c>
      <c r="F35" s="215" t="s">
        <v>518</v>
      </c>
      <c r="K35" s="62"/>
      <c r="L35" s="126" t="s">
        <v>299</v>
      </c>
      <c r="M35" s="46"/>
      <c r="N35" s="91" t="s">
        <v>889</v>
      </c>
      <c r="O35" s="91" t="s">
        <v>891</v>
      </c>
      <c r="P35" s="91" t="s">
        <v>518</v>
      </c>
      <c r="Q35" s="91" t="s">
        <v>516</v>
      </c>
      <c r="R35" s="174" t="s">
        <v>491</v>
      </c>
      <c r="S35" s="62"/>
      <c r="T35" s="544"/>
      <c r="U35" s="384"/>
      <c r="V35" s="126" t="s">
        <v>472</v>
      </c>
      <c r="W35" s="46"/>
      <c r="X35" s="91" t="s">
        <v>594</v>
      </c>
      <c r="Y35" s="91" t="s">
        <v>594</v>
      </c>
      <c r="Z35" s="44" t="s">
        <v>357</v>
      </c>
      <c r="AA35" s="46"/>
      <c r="AB35" s="62"/>
      <c r="AC35" s="174" t="s">
        <v>364</v>
      </c>
      <c r="AD35" s="174" t="s">
        <v>286</v>
      </c>
      <c r="AE35" s="91" t="s">
        <v>334</v>
      </c>
      <c r="AF35" s="91" t="s">
        <v>491</v>
      </c>
      <c r="AG35" s="126" t="s">
        <v>594</v>
      </c>
      <c r="AH35" s="46"/>
      <c r="AI35" s="44" t="s">
        <v>350</v>
      </c>
      <c r="AJ35" s="46"/>
      <c r="AK35" s="62"/>
      <c r="AL35" s="449" t="s">
        <v>901</v>
      </c>
      <c r="AS35" s="106"/>
      <c r="AT35" s="65" t="s">
        <v>245</v>
      </c>
      <c r="AU35" s="102" t="s">
        <v>903</v>
      </c>
      <c r="AZ35" s="106"/>
      <c r="BA35" s="65" t="s">
        <v>246</v>
      </c>
      <c r="BB35" s="63"/>
      <c r="BC35" s="63"/>
      <c r="BD35" s="44" t="s">
        <v>459</v>
      </c>
      <c r="BE35" s="46"/>
      <c r="BF35" s="63"/>
      <c r="BG35" s="63"/>
      <c r="BH35" s="98" t="s">
        <v>905</v>
      </c>
      <c r="BJ35" s="169"/>
      <c r="BK35" s="242"/>
      <c r="BL35" s="62"/>
      <c r="BM35" s="72">
        <f t="shared" ref="BM35:BO35" si="40">countif($K35:$BL35,BM$2)</f>
        <v>1</v>
      </c>
      <c r="BN35" s="74">
        <f t="shared" si="40"/>
        <v>1</v>
      </c>
      <c r="BO35" s="74">
        <f t="shared" si="40"/>
        <v>0</v>
      </c>
      <c r="BP35" s="81">
        <f>countif($K35:$BL36,"* (s)*")</f>
        <v>3</v>
      </c>
      <c r="BQ35" s="81">
        <f>countif($K35:$BL35,"*" &amp; BQ$2 &amp; "*")</f>
        <v>2</v>
      </c>
      <c r="BR35" s="81">
        <f>(countif($C35:$BK37,"*ME (l)*") / 2)</f>
        <v>0</v>
      </c>
      <c r="BS35" s="81">
        <f>INT((countif($C35:$BK37,"*DE (l)*"))/2*100)/100</f>
        <v>0</v>
      </c>
      <c r="BT35" s="81">
        <f>countif($K35:$BL35,"*SS (l)*") / 2</f>
        <v>1</v>
      </c>
      <c r="BU35" s="81">
        <f>(countif($C35:$BK37,"*CCP (l)*") + countif($C35:$BK37,"*CCP (l)*")) / 4</f>
        <v>1</v>
      </c>
      <c r="BV35" s="81">
        <f>countif($K35:$BL36,"*" &amp; "CID (s)" &amp; "*")/2</f>
        <v>0</v>
      </c>
      <c r="BW35" s="159">
        <f>countif($K35:$BL35,"*" &amp; "CID (l)" &amp; "*") /2</f>
        <v>0</v>
      </c>
      <c r="BX35" s="162">
        <f t="shared" si="39"/>
        <v>0</v>
      </c>
      <c r="BY35" s="17"/>
      <c r="BZ35" s="17"/>
      <c r="CB35" s="17"/>
      <c r="CC35" s="17"/>
      <c r="CD35" s="17"/>
    </row>
    <row r="36" ht="15.75" customHeight="1">
      <c r="A36" s="96"/>
      <c r="B36" s="151" t="s">
        <v>369</v>
      </c>
      <c r="E36" s="96"/>
      <c r="F36" s="96"/>
      <c r="K36" s="62"/>
      <c r="L36" s="85"/>
      <c r="M36" s="86"/>
      <c r="N36" s="96"/>
      <c r="O36" s="96"/>
      <c r="P36" s="96"/>
      <c r="Q36" s="96"/>
      <c r="R36" s="96"/>
      <c r="S36" s="62"/>
      <c r="T36" s="544"/>
      <c r="U36" s="384"/>
      <c r="V36" s="85"/>
      <c r="W36" s="86"/>
      <c r="X36" s="112"/>
      <c r="Y36" s="112"/>
      <c r="Z36" s="85"/>
      <c r="AA36" s="86"/>
      <c r="AB36" s="62"/>
      <c r="AC36" s="112"/>
      <c r="AD36" s="112"/>
      <c r="AE36" s="96"/>
      <c r="AF36" s="96"/>
      <c r="AG36" s="85"/>
      <c r="AH36" s="86"/>
      <c r="AI36" s="85"/>
      <c r="AJ36" s="86"/>
      <c r="AK36" s="62"/>
      <c r="AL36" s="85"/>
      <c r="AM36" s="87"/>
      <c r="AN36" s="87"/>
      <c r="AO36" s="87"/>
      <c r="AP36" s="87"/>
      <c r="AQ36" s="87"/>
      <c r="AR36" s="87"/>
      <c r="AS36" s="86"/>
      <c r="AT36" s="65" t="s">
        <v>245</v>
      </c>
      <c r="AU36" s="85"/>
      <c r="AV36" s="87"/>
      <c r="AW36" s="87"/>
      <c r="AX36" s="87"/>
      <c r="AY36" s="87"/>
      <c r="AZ36" s="86"/>
      <c r="BA36" s="65" t="s">
        <v>246</v>
      </c>
      <c r="BB36" s="63"/>
      <c r="BC36" s="63"/>
      <c r="BD36" s="85"/>
      <c r="BE36" s="86"/>
      <c r="BF36" s="63"/>
      <c r="BG36" s="63"/>
      <c r="BH36" s="112"/>
      <c r="BJ36" s="169"/>
      <c r="BK36" s="242"/>
      <c r="BL36" s="62"/>
      <c r="BM36" s="72">
        <f t="shared" ref="BM36:BO36" si="41">countif($K36:$BL36,BM$2)</f>
        <v>1</v>
      </c>
      <c r="BN36" s="74">
        <f t="shared" si="41"/>
        <v>1</v>
      </c>
      <c r="BO36" s="74">
        <f t="shared" si="41"/>
        <v>0</v>
      </c>
      <c r="BP36" s="96"/>
      <c r="BQ36" s="112"/>
      <c r="BR36" s="96"/>
      <c r="BS36" s="96"/>
      <c r="BT36" s="112"/>
      <c r="BU36" s="96"/>
      <c r="BV36" s="112"/>
      <c r="BW36" s="112"/>
      <c r="BX36" s="173">
        <f t="shared" si="39"/>
        <v>0</v>
      </c>
      <c r="BY36" s="17"/>
      <c r="BZ36" s="17"/>
      <c r="CA36" s="17"/>
      <c r="CB36" s="17"/>
      <c r="CC36" s="17"/>
      <c r="CD36" s="17"/>
    </row>
    <row r="37" ht="15.75" customHeight="1">
      <c r="A37" s="96"/>
      <c r="B37" s="151" t="s">
        <v>375</v>
      </c>
      <c r="E37" s="112"/>
      <c r="F37" s="112"/>
      <c r="K37" s="62"/>
      <c r="N37" s="112"/>
      <c r="O37" s="112"/>
      <c r="P37" s="112"/>
      <c r="Q37" s="112"/>
      <c r="R37" s="112"/>
      <c r="S37" s="62"/>
      <c r="T37" s="544"/>
      <c r="U37" s="384"/>
      <c r="V37" s="384"/>
      <c r="W37" s="384"/>
      <c r="AB37" s="62"/>
      <c r="AC37" s="126" t="s">
        <v>594</v>
      </c>
      <c r="AD37" s="46"/>
      <c r="AE37" s="112"/>
      <c r="AF37" s="112"/>
      <c r="AG37" s="167" t="s">
        <v>364</v>
      </c>
      <c r="AH37" s="167" t="s">
        <v>286</v>
      </c>
      <c r="AK37" s="62"/>
      <c r="AL37" s="449" t="s">
        <v>924</v>
      </c>
      <c r="AS37" s="106"/>
      <c r="AT37" s="65" t="s">
        <v>245</v>
      </c>
      <c r="AU37" s="17"/>
      <c r="AV37" s="17"/>
      <c r="AW37" s="17"/>
      <c r="AX37" s="17"/>
      <c r="AY37" s="17"/>
      <c r="AZ37" s="17"/>
      <c r="BA37" s="62"/>
      <c r="BB37" s="63"/>
      <c r="BC37" s="63"/>
      <c r="BD37" s="529"/>
      <c r="BE37" s="529"/>
      <c r="BF37" s="63"/>
      <c r="BG37" s="63"/>
      <c r="BH37" s="100" t="s">
        <v>334</v>
      </c>
      <c r="BJ37" s="169"/>
      <c r="BK37" s="242"/>
      <c r="BL37" s="55"/>
      <c r="BM37" s="72">
        <f t="shared" ref="BM37:BO37" si="42">countif($K37:$BL37,BM$2)</f>
        <v>1</v>
      </c>
      <c r="BN37" s="74">
        <f t="shared" si="42"/>
        <v>0</v>
      </c>
      <c r="BO37" s="74">
        <f t="shared" si="42"/>
        <v>0</v>
      </c>
      <c r="BP37" s="81">
        <f>countif($C37:$BL38,"* (s)*")</f>
        <v>0</v>
      </c>
      <c r="BQ37" s="81">
        <f>countif($C37:$BL37,"*" &amp; BQ$2 &amp; "*")</f>
        <v>0</v>
      </c>
      <c r="BR37" s="112"/>
      <c r="BS37" s="112"/>
      <c r="BT37" s="81">
        <f>countif($C37:$BL37,"*SS (l)*") / 2</f>
        <v>1</v>
      </c>
      <c r="BU37" s="112"/>
      <c r="BV37" s="81">
        <f>countif($C37:$BL38,"*" &amp; "CID (s)" &amp; "*")/2</f>
        <v>0</v>
      </c>
      <c r="BW37" s="159">
        <f>countif($C37:$BL37,"*" &amp; "CID (l)" &amp; "*") /2</f>
        <v>0</v>
      </c>
      <c r="BX37" s="162">
        <f t="shared" si="39"/>
        <v>0</v>
      </c>
      <c r="BY37" s="17"/>
      <c r="BZ37" s="17"/>
      <c r="CC37" s="17"/>
      <c r="CD37" s="17"/>
    </row>
    <row r="38" ht="15.75" customHeight="1">
      <c r="A38" s="96"/>
      <c r="B38" s="151" t="s">
        <v>392</v>
      </c>
      <c r="K38" s="62"/>
      <c r="L38" s="563"/>
      <c r="M38" s="563"/>
      <c r="P38" s="126" t="s">
        <v>891</v>
      </c>
      <c r="Q38" s="91" t="s">
        <v>889</v>
      </c>
      <c r="S38" s="62"/>
      <c r="T38" s="544"/>
      <c r="U38" s="384"/>
      <c r="V38" s="384"/>
      <c r="W38" s="384"/>
      <c r="AB38" s="62"/>
      <c r="AC38" s="85"/>
      <c r="AD38" s="86"/>
      <c r="AE38" s="564"/>
      <c r="AF38" s="564"/>
      <c r="AG38" s="167" t="s">
        <v>933</v>
      </c>
      <c r="AH38" s="167" t="s">
        <v>934</v>
      </c>
      <c r="AK38" s="62"/>
      <c r="AL38" s="85"/>
      <c r="AM38" s="87"/>
      <c r="AN38" s="87"/>
      <c r="AO38" s="87"/>
      <c r="AP38" s="87"/>
      <c r="AQ38" s="87"/>
      <c r="AR38" s="87"/>
      <c r="AS38" s="86"/>
      <c r="AT38" s="65" t="s">
        <v>245</v>
      </c>
      <c r="AU38" s="17"/>
      <c r="AV38" s="17"/>
      <c r="AW38" s="17"/>
      <c r="AX38" s="17"/>
      <c r="AY38" s="17"/>
      <c r="AZ38" s="17"/>
      <c r="BA38" s="62"/>
      <c r="BB38" s="567"/>
      <c r="BC38" s="529"/>
      <c r="BD38" s="91" t="s">
        <v>516</v>
      </c>
      <c r="BE38" s="91" t="s">
        <v>518</v>
      </c>
      <c r="BF38" s="63"/>
      <c r="BG38" s="63"/>
      <c r="BH38" s="63"/>
      <c r="BJ38" s="169"/>
      <c r="BK38" s="242"/>
      <c r="BL38" s="55"/>
      <c r="BM38" s="72">
        <f t="shared" ref="BM38:BO38" si="43">countif($K38:$BL38,BM$2)</f>
        <v>1</v>
      </c>
      <c r="BN38" s="74">
        <f t="shared" si="43"/>
        <v>0</v>
      </c>
      <c r="BO38" s="74">
        <f t="shared" si="43"/>
        <v>0</v>
      </c>
      <c r="BP38" s="96"/>
      <c r="BQ38" s="112"/>
      <c r="BR38" s="81">
        <f>(countif($C38:$BK40,"*ME (l)*") / 2)</f>
        <v>0</v>
      </c>
      <c r="BS38" s="81">
        <f>INT((countif($C38:$BK40,"*DE (l)*"))/2*100)/100</f>
        <v>0</v>
      </c>
      <c r="BT38" s="112"/>
      <c r="BU38" s="81">
        <f>(countif($C38:$BK40,"*CCP (l)*") + countif($C38:$BI40,"*CCP (l)*")) / 4</f>
        <v>0.5</v>
      </c>
      <c r="BV38" s="112"/>
      <c r="BW38" s="112"/>
      <c r="BX38" s="173">
        <f t="shared" si="39"/>
        <v>0</v>
      </c>
      <c r="BY38" s="17"/>
      <c r="BZ38" s="17"/>
      <c r="CC38" s="17"/>
      <c r="CD38" s="17"/>
    </row>
    <row r="39" ht="15.75" customHeight="1">
      <c r="A39" s="96"/>
      <c r="B39" s="151" t="s">
        <v>398</v>
      </c>
      <c r="K39" s="62"/>
      <c r="L39" s="563"/>
      <c r="M39" s="563"/>
      <c r="P39" s="142"/>
      <c r="Q39" s="96"/>
      <c r="S39" s="62"/>
      <c r="T39" s="544"/>
      <c r="U39" s="384"/>
      <c r="V39" s="384"/>
      <c r="W39" s="384"/>
      <c r="AB39" s="62"/>
      <c r="AE39" s="564"/>
      <c r="AF39" s="564"/>
      <c r="AG39" s="91" t="s">
        <v>334</v>
      </c>
      <c r="AH39" s="91" t="s">
        <v>491</v>
      </c>
      <c r="AI39" s="564"/>
      <c r="AJ39" s="573"/>
      <c r="AK39" s="62"/>
      <c r="AT39" s="62"/>
      <c r="AU39" s="17"/>
      <c r="AV39" s="17"/>
      <c r="AW39" s="17"/>
      <c r="AX39" s="17"/>
      <c r="AY39" s="17"/>
      <c r="AZ39" s="17"/>
      <c r="BA39" s="62"/>
      <c r="BB39" s="567"/>
      <c r="BC39" s="529"/>
      <c r="BD39" s="96"/>
      <c r="BE39" s="96"/>
      <c r="BF39" s="63"/>
      <c r="BG39" s="63"/>
      <c r="BH39" s="63"/>
      <c r="BJ39" s="169"/>
      <c r="BK39" s="242"/>
      <c r="BL39" s="62"/>
      <c r="BM39" s="72">
        <f t="shared" ref="BM39:BO39" si="44">countif($K39:$BL39,BM$2)</f>
        <v>0</v>
      </c>
      <c r="BN39" s="74">
        <f t="shared" si="44"/>
        <v>0</v>
      </c>
      <c r="BO39" s="74">
        <f t="shared" si="44"/>
        <v>0</v>
      </c>
      <c r="BP39" s="81">
        <f>countif($C39:$BL40,"* (s)*")</f>
        <v>0</v>
      </c>
      <c r="BQ39" s="81">
        <f>countif($C39:$BL39,"*" &amp; BQ$2 &amp; "*")</f>
        <v>0</v>
      </c>
      <c r="BR39" s="96"/>
      <c r="BS39" s="96"/>
      <c r="BT39" s="81">
        <f>countif($C39:$BL39,"*SS (l)*") / 2</f>
        <v>0</v>
      </c>
      <c r="BU39" s="96"/>
      <c r="BV39" s="81">
        <f>countif($C39:$BL40,"*" &amp; "CID (s)" &amp; "*")/2</f>
        <v>0</v>
      </c>
      <c r="BW39" s="159">
        <f>countif($C39:$BL39,"*" &amp; "CID (l)" &amp; "*") /2</f>
        <v>0</v>
      </c>
      <c r="BX39" s="162">
        <f t="shared" si="39"/>
        <v>0</v>
      </c>
      <c r="BY39" s="17"/>
      <c r="BZ39" s="17"/>
      <c r="CA39" s="17"/>
      <c r="CB39" s="17"/>
      <c r="CC39" s="17"/>
      <c r="CD39" s="17"/>
    </row>
    <row r="40" ht="15.75" customHeight="1">
      <c r="A40" s="112"/>
      <c r="B40" s="151" t="s">
        <v>408</v>
      </c>
      <c r="K40" s="298"/>
      <c r="L40" s="576"/>
      <c r="M40" s="576"/>
      <c r="P40" s="142"/>
      <c r="Q40" s="112"/>
      <c r="S40" s="298"/>
      <c r="T40" s="419"/>
      <c r="U40" s="420"/>
      <c r="V40" s="420"/>
      <c r="W40" s="420"/>
      <c r="AB40" s="298"/>
      <c r="AE40" s="577"/>
      <c r="AF40" s="577"/>
      <c r="AG40" s="112"/>
      <c r="AH40" s="112"/>
      <c r="AI40" s="577"/>
      <c r="AJ40" s="578"/>
      <c r="AK40" s="298"/>
      <c r="AT40" s="298"/>
      <c r="AU40" s="491"/>
      <c r="AV40" s="287"/>
      <c r="AW40" s="287"/>
      <c r="AX40" s="287"/>
      <c r="AY40" s="287"/>
      <c r="AZ40" s="17"/>
      <c r="BA40" s="298"/>
      <c r="BB40" s="580"/>
      <c r="BC40" s="581"/>
      <c r="BD40" s="112"/>
      <c r="BE40" s="112"/>
      <c r="BF40" s="63"/>
      <c r="BG40" s="63"/>
      <c r="BH40" s="63"/>
      <c r="BI40" s="87"/>
      <c r="BJ40" s="360"/>
      <c r="BK40" s="361"/>
      <c r="BL40" s="298"/>
      <c r="BM40" s="72">
        <f t="shared" ref="BM40:BO40" si="45">countif($K40:$BL40,BM$2)</f>
        <v>0</v>
      </c>
      <c r="BN40" s="74">
        <f t="shared" si="45"/>
        <v>0</v>
      </c>
      <c r="BO40" s="74">
        <f t="shared" si="45"/>
        <v>0</v>
      </c>
      <c r="BP40" s="96"/>
      <c r="BQ40" s="112"/>
      <c r="BR40" s="112"/>
      <c r="BS40" s="112"/>
      <c r="BT40" s="112"/>
      <c r="BU40" s="112"/>
      <c r="BV40" s="112"/>
      <c r="BW40" s="112"/>
      <c r="BX40" s="173">
        <f t="shared" si="39"/>
        <v>0</v>
      </c>
      <c r="BY40" s="17"/>
      <c r="BZ40" s="17"/>
      <c r="CA40" s="17"/>
      <c r="CB40" s="17"/>
      <c r="CC40" s="17"/>
      <c r="CD40" s="17"/>
    </row>
    <row r="41" ht="1.5" customHeight="1">
      <c r="A41" s="6"/>
      <c r="B41" s="304"/>
      <c r="C41" s="247"/>
      <c r="D41" s="248"/>
      <c r="E41" s="248"/>
      <c r="F41" s="248"/>
      <c r="G41" s="248"/>
      <c r="H41" s="248"/>
      <c r="I41" s="248"/>
      <c r="J41" s="248"/>
      <c r="K41" s="305"/>
      <c r="L41" s="356"/>
      <c r="M41" s="358"/>
      <c r="N41" s="358"/>
      <c r="O41" s="358"/>
      <c r="P41" s="358"/>
      <c r="Q41" s="358"/>
      <c r="R41" s="358"/>
      <c r="S41" s="305"/>
      <c r="T41" s="247"/>
      <c r="U41" s="248"/>
      <c r="V41" s="248"/>
      <c r="W41" s="248"/>
      <c r="X41" s="248"/>
      <c r="Y41" s="364"/>
      <c r="Z41" s="364"/>
      <c r="AA41" s="364"/>
      <c r="AB41" s="305"/>
      <c r="AC41" s="247"/>
      <c r="AD41" s="248"/>
      <c r="AE41" s="248"/>
      <c r="AF41" s="248"/>
      <c r="AG41" s="248"/>
      <c r="AH41" s="248"/>
      <c r="AI41" s="249"/>
      <c r="AJ41" s="249"/>
      <c r="AK41" s="305"/>
      <c r="AL41" s="247"/>
      <c r="AM41" s="248"/>
      <c r="AN41" s="248"/>
      <c r="AO41" s="248"/>
      <c r="AP41" s="248"/>
      <c r="AQ41" s="248"/>
      <c r="AR41" s="249"/>
      <c r="AS41" s="249"/>
      <c r="AT41" s="305"/>
      <c r="AU41" s="247"/>
      <c r="AV41" s="248"/>
      <c r="AW41" s="248"/>
      <c r="AX41" s="248"/>
      <c r="AY41" s="248"/>
      <c r="AZ41" s="248"/>
      <c r="BA41" s="305"/>
      <c r="BB41" s="247"/>
      <c r="BC41" s="248"/>
      <c r="BD41" s="248"/>
      <c r="BE41" s="248"/>
      <c r="BF41" s="248"/>
      <c r="BG41" s="248"/>
      <c r="BH41" s="248"/>
      <c r="BI41" s="247"/>
      <c r="BJ41" s="248"/>
      <c r="BK41" s="248"/>
      <c r="BL41" s="305"/>
      <c r="BM41" s="254"/>
      <c r="BN41" s="255"/>
      <c r="BO41" s="255"/>
      <c r="BP41" s="17"/>
      <c r="BQ41" s="310"/>
      <c r="BR41" s="378"/>
      <c r="BS41" s="378"/>
      <c r="BT41" s="379"/>
      <c r="BU41" s="310"/>
      <c r="BV41" s="310"/>
      <c r="BW41" s="255"/>
      <c r="BX41" s="255"/>
      <c r="BY41" s="17"/>
      <c r="BZ41" s="17"/>
      <c r="CA41" s="17"/>
      <c r="CB41" s="17"/>
      <c r="CC41" s="17"/>
      <c r="CD41" s="17"/>
    </row>
    <row r="42" ht="15.75" customHeight="1">
      <c r="A42" s="30" t="s">
        <v>704</v>
      </c>
      <c r="B42" s="40">
        <v>42623.0</v>
      </c>
      <c r="C42" s="122" t="s">
        <v>961</v>
      </c>
      <c r="D42" s="61"/>
      <c r="E42" s="61"/>
      <c r="F42" s="61"/>
      <c r="G42" s="61"/>
      <c r="H42" s="61"/>
      <c r="I42" s="61"/>
      <c r="J42" s="46"/>
      <c r="K42" s="65" t="s">
        <v>248</v>
      </c>
      <c r="L42" s="259" t="s">
        <v>962</v>
      </c>
      <c r="M42" s="61"/>
      <c r="N42" s="61"/>
      <c r="O42" s="61"/>
      <c r="P42" s="61"/>
      <c r="Q42" s="61"/>
      <c r="R42" s="46"/>
      <c r="S42" s="591" t="s">
        <v>245</v>
      </c>
      <c r="T42" s="592"/>
      <c r="U42" s="592"/>
      <c r="V42" s="592"/>
      <c r="W42" s="592"/>
      <c r="X42" s="592"/>
      <c r="Y42" s="592"/>
      <c r="Z42" s="91" t="s">
        <v>594</v>
      </c>
      <c r="AA42" s="91" t="s">
        <v>594</v>
      </c>
      <c r="AB42" s="62"/>
      <c r="AC42" s="259" t="s">
        <v>964</v>
      </c>
      <c r="AD42" s="61"/>
      <c r="AE42" s="61"/>
      <c r="AF42" s="61"/>
      <c r="AG42" s="61"/>
      <c r="AH42" s="61"/>
      <c r="AI42" s="61"/>
      <c r="AJ42" s="46"/>
      <c r="AK42" s="65" t="s">
        <v>246</v>
      </c>
      <c r="AL42" s="91" t="s">
        <v>516</v>
      </c>
      <c r="AM42" s="91" t="s">
        <v>518</v>
      </c>
      <c r="AP42" s="44" t="s">
        <v>393</v>
      </c>
      <c r="AQ42" s="46"/>
      <c r="AR42" s="174" t="s">
        <v>364</v>
      </c>
      <c r="AS42" s="174" t="s">
        <v>286</v>
      </c>
      <c r="AT42" s="62"/>
      <c r="AU42" s="63"/>
      <c r="AV42" s="63"/>
      <c r="AW42" s="594"/>
      <c r="AX42" s="594"/>
      <c r="AY42" s="91" t="s">
        <v>516</v>
      </c>
      <c r="AZ42" s="91" t="s">
        <v>518</v>
      </c>
      <c r="BA42" s="62"/>
      <c r="BI42" s="391"/>
      <c r="BJ42" s="391"/>
      <c r="BK42" s="392"/>
      <c r="BL42" s="62"/>
      <c r="BM42" s="72">
        <f t="shared" ref="BM42:BN42" si="46">countif($L42:$BL42,BM$2)</f>
        <v>1</v>
      </c>
      <c r="BN42" s="74">
        <f t="shared" si="46"/>
        <v>1</v>
      </c>
      <c r="BO42" s="74">
        <f>countif($D42:$BL42,BO$2)</f>
        <v>1</v>
      </c>
      <c r="BP42" s="81">
        <f>countif($C42:$BL43,"* (s)*")</f>
        <v>1</v>
      </c>
      <c r="BQ42" s="81">
        <f>countif($C42:$BL42,"*" &amp; BQ$2 &amp; "*")</f>
        <v>0</v>
      </c>
      <c r="BR42" s="81">
        <f>(countif($C42:$BK44,"*ME (l)*") / 2)</f>
        <v>0</v>
      </c>
      <c r="BS42" s="81">
        <f>INT((countif($C42:$BK44,"*DE (l)*"))/2*100)/100</f>
        <v>0</v>
      </c>
      <c r="BT42" s="81">
        <f>countif($C42:$BL42,"*SS (l)*") / 2</f>
        <v>1</v>
      </c>
      <c r="BU42" s="81">
        <f>(countif($C42:$BK44,"*CCP (l)*") + countif($C42:$BK44,"*CCP (l)*")) / 4</f>
        <v>1</v>
      </c>
      <c r="BV42" s="81">
        <f>countif($C42:$BL43,"*" &amp; "CID (s)" &amp; "*")/2</f>
        <v>0</v>
      </c>
      <c r="BW42" s="159">
        <f>countif($C42:$BL42,"*" &amp; "CID (l)" &amp; "*") /2</f>
        <v>0</v>
      </c>
      <c r="BX42" s="162">
        <f t="shared" ref="BX42:BX46" si="48">countif($L42:$BL42,"*" &amp; BX$2 &amp; "*")</f>
        <v>0</v>
      </c>
      <c r="BY42" s="17"/>
      <c r="BZ42" s="17"/>
      <c r="CA42" s="17"/>
      <c r="CB42" s="17"/>
      <c r="CC42" s="17"/>
      <c r="CD42" s="17"/>
    </row>
    <row r="43" ht="15.75" customHeight="1">
      <c r="A43" s="96"/>
      <c r="B43" s="97">
        <v>42654.0</v>
      </c>
      <c r="C43" s="85"/>
      <c r="D43" s="87"/>
      <c r="E43" s="87"/>
      <c r="F43" s="87"/>
      <c r="G43" s="87"/>
      <c r="H43" s="87"/>
      <c r="I43" s="87"/>
      <c r="J43" s="86"/>
      <c r="K43" s="65" t="s">
        <v>248</v>
      </c>
      <c r="L43" s="85"/>
      <c r="M43" s="87"/>
      <c r="N43" s="87"/>
      <c r="O43" s="87"/>
      <c r="P43" s="87"/>
      <c r="Q43" s="87"/>
      <c r="R43" s="86"/>
      <c r="S43" s="609" t="s">
        <v>245</v>
      </c>
      <c r="T43" s="610"/>
      <c r="U43" s="610"/>
      <c r="V43" s="610"/>
      <c r="W43" s="610"/>
      <c r="X43" s="610"/>
      <c r="Y43" s="610"/>
      <c r="Z43" s="112"/>
      <c r="AA43" s="112"/>
      <c r="AB43" s="62"/>
      <c r="AC43" s="85"/>
      <c r="AD43" s="87"/>
      <c r="AE43" s="87"/>
      <c r="AF43" s="87"/>
      <c r="AG43" s="87"/>
      <c r="AH43" s="87"/>
      <c r="AI43" s="87"/>
      <c r="AJ43" s="86"/>
      <c r="AK43" s="65" t="s">
        <v>246</v>
      </c>
      <c r="AL43" s="96"/>
      <c r="AM43" s="96"/>
      <c r="AP43" s="85"/>
      <c r="AQ43" s="86"/>
      <c r="AR43" s="112"/>
      <c r="AS43" s="112"/>
      <c r="AT43" s="62"/>
      <c r="AU43" s="63"/>
      <c r="AV43" s="63"/>
      <c r="AW43" s="594"/>
      <c r="AX43" s="594"/>
      <c r="AY43" s="96"/>
      <c r="AZ43" s="96"/>
      <c r="BA43" s="62"/>
      <c r="BI43" s="613"/>
      <c r="BJ43" s="613"/>
      <c r="BK43" s="614"/>
      <c r="BL43" s="62"/>
      <c r="BM43" s="72">
        <f t="shared" ref="BM43:BN43" si="47">countif($L43:$BL43,BM$2)</f>
        <v>1</v>
      </c>
      <c r="BN43" s="74">
        <f t="shared" si="47"/>
        <v>1</v>
      </c>
      <c r="BO43" s="74">
        <f>countif($L43:$BI43,BO$2)</f>
        <v>0</v>
      </c>
      <c r="BP43" s="96"/>
      <c r="BQ43" s="112"/>
      <c r="BR43" s="96"/>
      <c r="BS43" s="96"/>
      <c r="BT43" s="112"/>
      <c r="BU43" s="96"/>
      <c r="BV43" s="112"/>
      <c r="BW43" s="112"/>
      <c r="BX43" s="173">
        <f t="shared" si="48"/>
        <v>0</v>
      </c>
      <c r="BY43" s="17"/>
      <c r="BZ43" s="17"/>
      <c r="CA43" s="17"/>
      <c r="CB43" s="17"/>
      <c r="CC43" s="17"/>
      <c r="CD43" s="17"/>
    </row>
    <row r="44" ht="15.75" customHeight="1">
      <c r="A44" s="96"/>
      <c r="B44" s="97">
        <v>42686.0</v>
      </c>
      <c r="C44" s="122" t="s">
        <v>993</v>
      </c>
      <c r="D44" s="61"/>
      <c r="E44" s="61"/>
      <c r="F44" s="61"/>
      <c r="G44" s="61"/>
      <c r="H44" s="61"/>
      <c r="I44" s="61"/>
      <c r="J44" s="46"/>
      <c r="K44" s="65" t="s">
        <v>248</v>
      </c>
      <c r="L44" s="259" t="s">
        <v>996</v>
      </c>
      <c r="M44" s="61"/>
      <c r="N44" s="61"/>
      <c r="O44" s="61"/>
      <c r="P44" s="61"/>
      <c r="Q44" s="61"/>
      <c r="R44" s="46"/>
      <c r="S44" s="609" t="s">
        <v>245</v>
      </c>
      <c r="T44" s="44" t="s">
        <v>350</v>
      </c>
      <c r="U44" s="46"/>
      <c r="X44" s="610"/>
      <c r="Y44" s="610"/>
      <c r="Z44" s="126" t="s">
        <v>299</v>
      </c>
      <c r="AA44" s="46"/>
      <c r="AB44" s="62"/>
      <c r="AC44" s="122" t="s">
        <v>1004</v>
      </c>
      <c r="AD44" s="61"/>
      <c r="AE44" s="61"/>
      <c r="AF44" s="61"/>
      <c r="AG44" s="61"/>
      <c r="AH44" s="61"/>
      <c r="AI44" s="61"/>
      <c r="AJ44" s="46"/>
      <c r="AK44" s="65" t="s">
        <v>246</v>
      </c>
      <c r="AL44" s="112"/>
      <c r="AM44" s="112"/>
      <c r="AN44" s="506"/>
      <c r="AO44" s="506"/>
      <c r="AP44" s="506"/>
      <c r="AQ44" s="506"/>
      <c r="AR44" s="44" t="s">
        <v>393</v>
      </c>
      <c r="AS44" s="46"/>
      <c r="AT44" s="62"/>
      <c r="AU44" s="626"/>
      <c r="AV44" s="626"/>
      <c r="AW44" s="174" t="s">
        <v>364</v>
      </c>
      <c r="AX44" s="174" t="s">
        <v>286</v>
      </c>
      <c r="AY44" s="112"/>
      <c r="AZ44" s="112"/>
      <c r="BA44" s="62"/>
      <c r="BF44" s="628"/>
      <c r="BG44" s="628"/>
      <c r="BI44" s="613"/>
      <c r="BJ44" s="613"/>
      <c r="BK44" s="614"/>
      <c r="BL44" s="62"/>
      <c r="BM44" s="72">
        <f t="shared" ref="BM44:BO44" si="49">countif($L44:$BL44,BM$2)</f>
        <v>1</v>
      </c>
      <c r="BN44" s="74">
        <f t="shared" si="49"/>
        <v>1</v>
      </c>
      <c r="BO44" s="74">
        <f t="shared" si="49"/>
        <v>0</v>
      </c>
      <c r="BP44" s="81">
        <f>countif($C44:$BL45,"* (s)*")</f>
        <v>2</v>
      </c>
      <c r="BQ44" s="81">
        <f>countif($C44:$BL44,"*" &amp; BQ$2 &amp; "*")</f>
        <v>1</v>
      </c>
      <c r="BR44" s="112"/>
      <c r="BS44" s="112"/>
      <c r="BT44" s="81">
        <f>countif($C44:$BL44,"*SS (l)*") / 2</f>
        <v>1</v>
      </c>
      <c r="BU44" s="112"/>
      <c r="BV44" s="81">
        <f>countif($C44:$BL45,"*" &amp; "CID (s)" &amp; "*")/2</f>
        <v>0</v>
      </c>
      <c r="BW44" s="159">
        <f>countif($C44:$BL44,"*" &amp; "CID (l)" &amp; "*") /2</f>
        <v>0</v>
      </c>
      <c r="BX44" s="162">
        <f t="shared" si="48"/>
        <v>0</v>
      </c>
      <c r="BY44" s="17"/>
      <c r="BZ44" s="17"/>
      <c r="CA44" s="17"/>
      <c r="CB44" s="17"/>
      <c r="CC44" s="17"/>
      <c r="CD44" s="17"/>
    </row>
    <row r="45" ht="15.75" customHeight="1">
      <c r="A45" s="96"/>
      <c r="B45" s="97">
        <v>42717.0</v>
      </c>
      <c r="C45" s="85"/>
      <c r="D45" s="87"/>
      <c r="E45" s="87"/>
      <c r="F45" s="87"/>
      <c r="G45" s="87"/>
      <c r="H45" s="87"/>
      <c r="I45" s="87"/>
      <c r="J45" s="86"/>
      <c r="K45" s="65" t="s">
        <v>248</v>
      </c>
      <c r="L45" s="85"/>
      <c r="M45" s="87"/>
      <c r="N45" s="87"/>
      <c r="O45" s="87"/>
      <c r="P45" s="87"/>
      <c r="Q45" s="87"/>
      <c r="R45" s="86"/>
      <c r="S45" s="609" t="s">
        <v>245</v>
      </c>
      <c r="T45" s="85"/>
      <c r="U45" s="86"/>
      <c r="X45" s="610"/>
      <c r="Y45" s="610"/>
      <c r="Z45" s="85"/>
      <c r="AA45" s="86"/>
      <c r="AB45" s="62"/>
      <c r="AC45" s="85"/>
      <c r="AD45" s="87"/>
      <c r="AE45" s="87"/>
      <c r="AF45" s="87"/>
      <c r="AG45" s="87"/>
      <c r="AH45" s="87"/>
      <c r="AI45" s="87"/>
      <c r="AJ45" s="86"/>
      <c r="AK45" s="65" t="s">
        <v>246</v>
      </c>
      <c r="AL45" s="505"/>
      <c r="AM45" s="506"/>
      <c r="AN45" s="506"/>
      <c r="AO45" s="506"/>
      <c r="AP45" s="91" t="s">
        <v>516</v>
      </c>
      <c r="AQ45" s="91" t="s">
        <v>518</v>
      </c>
      <c r="AR45" s="85"/>
      <c r="AS45" s="86"/>
      <c r="AT45" s="62"/>
      <c r="AU45" s="626"/>
      <c r="AV45" s="626"/>
      <c r="AW45" s="112"/>
      <c r="AX45" s="112"/>
      <c r="AY45" s="594"/>
      <c r="AZ45" s="594"/>
      <c r="BA45" s="62"/>
      <c r="BB45" s="63"/>
      <c r="BC45" s="63"/>
      <c r="BD45" s="174" t="s">
        <v>334</v>
      </c>
      <c r="BE45" s="174" t="s">
        <v>491</v>
      </c>
      <c r="BF45" s="91" t="s">
        <v>516</v>
      </c>
      <c r="BG45" s="91" t="s">
        <v>518</v>
      </c>
      <c r="BH45" s="63"/>
      <c r="BI45" s="613"/>
      <c r="BJ45" s="613"/>
      <c r="BK45" s="614"/>
      <c r="BL45" s="62"/>
      <c r="BM45" s="72">
        <f t="shared" ref="BM45:BO45" si="50">countif($L45:$BL45,BM$2)</f>
        <v>1</v>
      </c>
      <c r="BN45" s="74">
        <f t="shared" si="50"/>
        <v>1</v>
      </c>
      <c r="BO45" s="74">
        <f t="shared" si="50"/>
        <v>0</v>
      </c>
      <c r="BP45" s="96"/>
      <c r="BQ45" s="112"/>
      <c r="BR45" s="81">
        <f>(countif($C45:$BK47,"*ME (l)*") / 2)</f>
        <v>0</v>
      </c>
      <c r="BS45" s="81">
        <f>INT((countif($C45:$BK47,"*DE (l)*"))/2*100)/100</f>
        <v>0</v>
      </c>
      <c r="BT45" s="112"/>
      <c r="BU45" s="81">
        <f>(countif($C45:$BK47,"*CCP (l)*") + countif($C45:$BK47,"*CCP (l)*")) / 4</f>
        <v>1</v>
      </c>
      <c r="BV45" s="112"/>
      <c r="BW45" s="112"/>
      <c r="BX45" s="173">
        <f t="shared" si="48"/>
        <v>0</v>
      </c>
      <c r="BY45" s="17"/>
      <c r="BZ45" s="17"/>
      <c r="CA45" s="17"/>
      <c r="CB45" s="17"/>
      <c r="CC45" s="17"/>
      <c r="CD45" s="17"/>
    </row>
    <row r="46" ht="15.75" customHeight="1">
      <c r="A46" s="96"/>
      <c r="B46" s="151" t="s">
        <v>310</v>
      </c>
      <c r="C46" s="683" t="s">
        <v>1107</v>
      </c>
      <c r="D46" s="61"/>
      <c r="E46" s="220" t="s">
        <v>1111</v>
      </c>
      <c r="F46" s="46"/>
      <c r="G46" s="220" t="s">
        <v>1107</v>
      </c>
      <c r="H46" s="61"/>
      <c r="I46" s="61"/>
      <c r="J46" s="61"/>
      <c r="K46" s="275"/>
      <c r="L46" s="122" t="s">
        <v>993</v>
      </c>
      <c r="M46" s="61"/>
      <c r="N46" s="61"/>
      <c r="O46" s="61"/>
      <c r="P46" s="61"/>
      <c r="Q46" s="61"/>
      <c r="R46" s="46"/>
      <c r="S46" s="609" t="s">
        <v>245</v>
      </c>
      <c r="T46" s="44" t="s">
        <v>1122</v>
      </c>
      <c r="U46" s="46"/>
      <c r="V46" s="44" t="s">
        <v>350</v>
      </c>
      <c r="W46" s="46"/>
      <c r="Z46" s="610"/>
      <c r="AA46" s="689"/>
      <c r="AB46" s="62"/>
      <c r="AG46" s="126" t="s">
        <v>472</v>
      </c>
      <c r="AH46" s="46"/>
      <c r="AK46" s="62"/>
      <c r="AP46" s="96"/>
      <c r="AQ46" s="96"/>
      <c r="AR46" s="44" t="s">
        <v>357</v>
      </c>
      <c r="AS46" s="46"/>
      <c r="AT46" s="62"/>
      <c r="AU46" s="274" t="s">
        <v>450</v>
      </c>
      <c r="AV46" s="274" t="s">
        <v>448</v>
      </c>
      <c r="AW46" s="274" t="s">
        <v>271</v>
      </c>
      <c r="AX46" s="274" t="s">
        <v>1135</v>
      </c>
      <c r="AY46" s="126" t="s">
        <v>594</v>
      </c>
      <c r="AZ46" s="126" t="s">
        <v>594</v>
      </c>
      <c r="BA46" s="62"/>
      <c r="BB46" s="63"/>
      <c r="BC46" s="63"/>
      <c r="BD46" s="96"/>
      <c r="BE46" s="96"/>
      <c r="BF46" s="96"/>
      <c r="BG46" s="96"/>
      <c r="BH46" s="63"/>
      <c r="BI46" s="7"/>
      <c r="BJ46" s="7"/>
      <c r="BK46" s="694"/>
      <c r="BL46" s="62"/>
      <c r="BM46" s="72">
        <f t="shared" ref="BM46:BO46" si="51">countif($L46:$BL46,BM$2)</f>
        <v>1</v>
      </c>
      <c r="BN46" s="74">
        <f t="shared" si="51"/>
        <v>0</v>
      </c>
      <c r="BO46" s="74">
        <f t="shared" si="51"/>
        <v>0</v>
      </c>
      <c r="BP46" s="81">
        <f>countif($C46:$BL47,"* (s)*")</f>
        <v>3</v>
      </c>
      <c r="BQ46" s="81">
        <f>countif($C46:$BL46,"*" &amp; BQ$2 &amp; "*")</f>
        <v>2</v>
      </c>
      <c r="BR46" s="96"/>
      <c r="BS46" s="96"/>
      <c r="BT46" s="81">
        <f>countif($C46:$BL46,"*SS (l)*") / 2</f>
        <v>1</v>
      </c>
      <c r="BU46" s="96"/>
      <c r="BV46" s="81">
        <f>countif($C46:$BL47,"*" &amp; "CID (s)" &amp; "*")/2</f>
        <v>0</v>
      </c>
      <c r="BW46" s="159">
        <f>countif($C46:$BL46,"*" &amp; "CID (l)" &amp; "*") /2</f>
        <v>0</v>
      </c>
      <c r="BX46" s="162">
        <f t="shared" si="48"/>
        <v>0</v>
      </c>
      <c r="BY46" s="17"/>
      <c r="BZ46" s="17"/>
      <c r="CA46" s="17"/>
      <c r="CB46" s="17"/>
      <c r="CC46" s="17"/>
      <c r="CD46" s="17"/>
    </row>
    <row r="47" ht="15.75" customHeight="1">
      <c r="A47" s="96"/>
      <c r="B47" s="151" t="s">
        <v>341</v>
      </c>
      <c r="C47" s="85"/>
      <c r="D47" s="87"/>
      <c r="E47" s="85"/>
      <c r="F47" s="86"/>
      <c r="G47" s="85"/>
      <c r="H47" s="87"/>
      <c r="I47" s="87"/>
      <c r="J47" s="87"/>
      <c r="K47" s="236" t="s">
        <v>282</v>
      </c>
      <c r="L47" s="85"/>
      <c r="M47" s="87"/>
      <c r="N47" s="87"/>
      <c r="O47" s="87"/>
      <c r="P47" s="87"/>
      <c r="Q47" s="87"/>
      <c r="R47" s="86"/>
      <c r="S47" s="609" t="s">
        <v>245</v>
      </c>
      <c r="T47" s="85"/>
      <c r="U47" s="86"/>
      <c r="V47" s="85"/>
      <c r="W47" s="86"/>
      <c r="Z47" s="610"/>
      <c r="AA47" s="689"/>
      <c r="AB47" s="62"/>
      <c r="AG47" s="85"/>
      <c r="AH47" s="86"/>
      <c r="AK47" s="62"/>
      <c r="AP47" s="112"/>
      <c r="AQ47" s="112"/>
      <c r="AR47" s="85"/>
      <c r="AS47" s="86"/>
      <c r="AT47" s="62"/>
      <c r="AU47" s="112"/>
      <c r="AV47" s="112"/>
      <c r="AW47" s="112"/>
      <c r="AX47" s="112"/>
      <c r="AY47" s="142"/>
      <c r="AZ47" s="142"/>
      <c r="BA47" s="62"/>
      <c r="BB47" s="63"/>
      <c r="BC47" s="63"/>
      <c r="BD47" s="112"/>
      <c r="BE47" s="112"/>
      <c r="BF47" s="112"/>
      <c r="BG47" s="112"/>
      <c r="BH47" s="63"/>
      <c r="BI47" s="7"/>
      <c r="BJ47" s="7"/>
      <c r="BK47" s="694"/>
      <c r="BL47" s="62"/>
      <c r="BM47" s="72">
        <f t="shared" ref="BM47:BO47" si="52">countif($K47:$BL47,BM$2)</f>
        <v>1</v>
      </c>
      <c r="BN47" s="74">
        <f t="shared" si="52"/>
        <v>0</v>
      </c>
      <c r="BO47" s="74">
        <f t="shared" si="52"/>
        <v>0</v>
      </c>
      <c r="BP47" s="96"/>
      <c r="BQ47" s="112"/>
      <c r="BR47" s="112"/>
      <c r="BS47" s="112"/>
      <c r="BT47" s="112"/>
      <c r="BU47" s="112"/>
      <c r="BV47" s="112"/>
      <c r="BW47" s="112"/>
      <c r="BX47" s="173">
        <f>countif($K47:$BL47,"*" &amp; BX$2 &amp; "*")</f>
        <v>0</v>
      </c>
      <c r="BY47" s="17"/>
      <c r="BZ47" s="17"/>
      <c r="CA47" s="17"/>
      <c r="CB47" s="17"/>
      <c r="CC47" s="17"/>
      <c r="CD47" s="17"/>
    </row>
    <row r="48" ht="15.75" customHeight="1">
      <c r="A48" s="96"/>
      <c r="B48" s="700" t="s">
        <v>342</v>
      </c>
      <c r="C48" s="174" t="s">
        <v>286</v>
      </c>
      <c r="D48" s="174" t="s">
        <v>364</v>
      </c>
      <c r="E48" s="465"/>
      <c r="F48" s="465"/>
      <c r="K48" s="701"/>
      <c r="L48" s="702"/>
      <c r="M48" s="703"/>
      <c r="N48" s="703"/>
      <c r="O48" s="703"/>
      <c r="P48" s="126" t="s">
        <v>472</v>
      </c>
      <c r="Q48" s="46"/>
      <c r="R48" s="703"/>
      <c r="S48" s="704"/>
      <c r="T48" s="91" t="s">
        <v>334</v>
      </c>
      <c r="U48" s="91" t="s">
        <v>491</v>
      </c>
      <c r="V48" s="44" t="s">
        <v>1209</v>
      </c>
      <c r="W48" s="46"/>
      <c r="X48" s="703"/>
      <c r="Y48" s="703"/>
      <c r="Z48" s="703"/>
      <c r="AA48" s="703"/>
      <c r="AB48" s="704"/>
      <c r="AC48" s="703"/>
      <c r="AD48" s="703"/>
      <c r="AE48" s="91" t="s">
        <v>516</v>
      </c>
      <c r="AF48" s="91" t="s">
        <v>518</v>
      </c>
      <c r="AG48" s="703"/>
      <c r="AH48" s="703"/>
      <c r="AI48" s="703"/>
      <c r="AJ48" s="703"/>
      <c r="AK48" s="704"/>
      <c r="AL48" s="688"/>
      <c r="AM48" s="688"/>
      <c r="AN48" s="688"/>
      <c r="AO48" s="688"/>
      <c r="AP48" s="44" t="s">
        <v>357</v>
      </c>
      <c r="AQ48" s="46"/>
      <c r="AR48" s="688"/>
      <c r="AS48" s="688"/>
      <c r="AT48" s="704"/>
      <c r="AU48" s="91" t="s">
        <v>594</v>
      </c>
      <c r="AV48" s="91" t="s">
        <v>594</v>
      </c>
      <c r="AW48" s="126" t="s">
        <v>516</v>
      </c>
      <c r="AX48" s="126" t="s">
        <v>518</v>
      </c>
      <c r="AY48" s="126" t="s">
        <v>1217</v>
      </c>
      <c r="AZ48" s="46"/>
      <c r="BA48" s="704"/>
      <c r="BB48" s="706" t="s">
        <v>1218</v>
      </c>
      <c r="BC48" s="61"/>
      <c r="BD48" s="61"/>
      <c r="BE48" s="61"/>
      <c r="BF48" s="61"/>
      <c r="BG48" s="61"/>
      <c r="BH48" s="46"/>
      <c r="BI48" s="708"/>
      <c r="BJ48" s="709"/>
      <c r="BK48" s="710"/>
      <c r="BL48" s="712" t="s">
        <v>246</v>
      </c>
      <c r="BM48" s="714">
        <f t="shared" ref="BM48:BO48" si="53">countif($E48:$BL48,BM$2)</f>
        <v>0</v>
      </c>
      <c r="BN48" s="716">
        <f t="shared" si="53"/>
        <v>1</v>
      </c>
      <c r="BO48" s="716">
        <f t="shared" si="53"/>
        <v>0</v>
      </c>
      <c r="BP48" s="720">
        <f>countif($E48:$BL49,"* (s)*")</f>
        <v>2</v>
      </c>
      <c r="BQ48" s="720">
        <f>countif($E48:$BL48,"*" &amp; BQ$2 &amp; "*")</f>
        <v>1</v>
      </c>
      <c r="BR48" s="720">
        <f>(countif($C48:$BK50,"*ME (l)*") / 2)</f>
        <v>0</v>
      </c>
      <c r="BS48" s="720">
        <f>INT((countif($C48:$BK50,"*DE (l)*"))/2*100)/100</f>
        <v>0</v>
      </c>
      <c r="BT48" s="720">
        <f>countif($E48:$BL48,"*SS (l)*") / 2</f>
        <v>0</v>
      </c>
      <c r="BU48" s="720">
        <f>(countif($C48:$BK50,"*CCP (l)*") + countif($C48:$BK50,"*CCP (l)*")) / 4</f>
        <v>1</v>
      </c>
      <c r="BV48" s="720">
        <f>countif($E48:$BL49,"*" &amp; "CID (s)" &amp; "*")/2</f>
        <v>0</v>
      </c>
      <c r="BW48" s="730">
        <f>countif($E48:$BL48,"*" &amp; "CID (l)" &amp; "*") /2</f>
        <v>0</v>
      </c>
      <c r="BX48" s="731">
        <f t="shared" ref="BX48:BX49" si="55">countif($E48:$BL48,"*" &amp; BX$2 &amp; "*")</f>
        <v>0</v>
      </c>
      <c r="BY48" s="17"/>
      <c r="BZ48" s="17"/>
      <c r="CA48" s="17"/>
      <c r="CB48" s="17"/>
      <c r="CC48" s="17"/>
      <c r="CD48" s="17"/>
    </row>
    <row r="49" ht="15.75" customHeight="1">
      <c r="A49" s="96"/>
      <c r="B49" s="700" t="s">
        <v>369</v>
      </c>
      <c r="C49" s="112"/>
      <c r="D49" s="112"/>
      <c r="E49" s="465"/>
      <c r="F49" s="465"/>
      <c r="K49" s="701"/>
      <c r="L49" s="702"/>
      <c r="M49" s="703"/>
      <c r="N49" s="703"/>
      <c r="O49" s="703"/>
      <c r="P49" s="85"/>
      <c r="Q49" s="86"/>
      <c r="R49" s="703"/>
      <c r="S49" s="704"/>
      <c r="T49" s="96"/>
      <c r="U49" s="96"/>
      <c r="V49" s="85"/>
      <c r="W49" s="86"/>
      <c r="X49" s="703"/>
      <c r="Y49" s="703"/>
      <c r="Z49" s="703"/>
      <c r="AA49" s="703"/>
      <c r="AB49" s="704"/>
      <c r="AC49" s="703"/>
      <c r="AD49" s="703"/>
      <c r="AE49" s="96"/>
      <c r="AF49" s="96"/>
      <c r="AG49" s="703"/>
      <c r="AH49" s="703"/>
      <c r="AI49" s="703"/>
      <c r="AJ49" s="703"/>
      <c r="AK49" s="704"/>
      <c r="AL49" s="688"/>
      <c r="AM49" s="688"/>
      <c r="AN49" s="688"/>
      <c r="AO49" s="688"/>
      <c r="AP49" s="85"/>
      <c r="AQ49" s="86"/>
      <c r="AR49" s="688"/>
      <c r="AS49" s="688"/>
      <c r="AT49" s="704"/>
      <c r="AU49" s="112"/>
      <c r="AV49" s="112"/>
      <c r="AW49" s="142"/>
      <c r="AX49" s="142"/>
      <c r="AY49" s="142"/>
      <c r="AZ49" s="106"/>
      <c r="BA49" s="704"/>
      <c r="BB49" s="85"/>
      <c r="BC49" s="87"/>
      <c r="BD49" s="87"/>
      <c r="BE49" s="87"/>
      <c r="BF49" s="87"/>
      <c r="BG49" s="87"/>
      <c r="BH49" s="86"/>
      <c r="BI49" s="708"/>
      <c r="BJ49" s="709"/>
      <c r="BK49" s="710"/>
      <c r="BL49" s="735" t="s">
        <v>246</v>
      </c>
      <c r="BM49" s="714">
        <f t="shared" ref="BM49:BO49" si="54">countif($E49:$BL49,BM$2)</f>
        <v>0</v>
      </c>
      <c r="BN49" s="716">
        <f t="shared" si="54"/>
        <v>1</v>
      </c>
      <c r="BO49" s="716">
        <f t="shared" si="54"/>
        <v>0</v>
      </c>
      <c r="BP49" s="96"/>
      <c r="BQ49" s="112"/>
      <c r="BR49" s="96"/>
      <c r="BS49" s="96"/>
      <c r="BT49" s="112"/>
      <c r="BU49" s="96"/>
      <c r="BV49" s="112"/>
      <c r="BW49" s="112"/>
      <c r="BX49" s="738">
        <f t="shared" si="55"/>
        <v>0</v>
      </c>
      <c r="BY49" s="17"/>
      <c r="BZ49" s="17"/>
      <c r="CA49" s="17"/>
      <c r="CB49" s="17"/>
      <c r="CC49" s="17"/>
      <c r="CD49" s="17"/>
    </row>
    <row r="50" ht="15.75" customHeight="1">
      <c r="A50" s="96"/>
      <c r="B50" s="151" t="s">
        <v>375</v>
      </c>
      <c r="K50" s="275"/>
      <c r="L50" s="464"/>
      <c r="M50" s="465"/>
      <c r="N50" s="465"/>
      <c r="O50" s="465"/>
      <c r="P50" s="465"/>
      <c r="Q50" s="465"/>
      <c r="R50" s="465"/>
      <c r="S50" s="62"/>
      <c r="T50" s="112"/>
      <c r="U50" s="112"/>
      <c r="V50" s="610"/>
      <c r="W50" s="610"/>
      <c r="AB50" s="62"/>
      <c r="AE50" s="112"/>
      <c r="AF50" s="112"/>
      <c r="AK50" s="62"/>
      <c r="AL50" s="505"/>
      <c r="AM50" s="506"/>
      <c r="AN50" s="44" t="s">
        <v>357</v>
      </c>
      <c r="AO50" s="46"/>
      <c r="AT50" s="62"/>
      <c r="AU50" s="594"/>
      <c r="AV50" s="594"/>
      <c r="AW50" s="142"/>
      <c r="AX50" s="142"/>
      <c r="AY50" s="126" t="s">
        <v>491</v>
      </c>
      <c r="AZ50" s="46"/>
      <c r="BA50" s="62"/>
      <c r="BB50" s="63"/>
      <c r="BC50" s="63"/>
      <c r="BD50" s="44" t="s">
        <v>350</v>
      </c>
      <c r="BE50" s="46"/>
      <c r="BF50" s="174" t="s">
        <v>364</v>
      </c>
      <c r="BG50" s="174" t="s">
        <v>286</v>
      </c>
      <c r="BH50" s="745" t="s">
        <v>594</v>
      </c>
      <c r="BI50" s="279"/>
      <c r="BJ50" s="169"/>
      <c r="BK50" s="242"/>
      <c r="BL50" s="62"/>
      <c r="BM50" s="72">
        <f t="shared" ref="BM50:BO50" si="56">countif($K50:$BL50,BM$2)</f>
        <v>0</v>
      </c>
      <c r="BN50" s="74">
        <f t="shared" si="56"/>
        <v>0</v>
      </c>
      <c r="BO50" s="74">
        <f t="shared" si="56"/>
        <v>0</v>
      </c>
      <c r="BP50" s="81">
        <f>countif($C50:$BL51,"* (s)*")</f>
        <v>2</v>
      </c>
      <c r="BQ50" s="81">
        <f>countif($C50:$BL50,"*" &amp; BQ$2 &amp; "*")</f>
        <v>0</v>
      </c>
      <c r="BR50" s="112"/>
      <c r="BS50" s="112"/>
      <c r="BT50" s="81">
        <f>countif($C50:$BL50,"*SS (l)*") / 2</f>
        <v>1</v>
      </c>
      <c r="BU50" s="112"/>
      <c r="BV50" s="81">
        <f>countif($C50:$BL51,"*" &amp; "CID (s)" &amp; "*")/2</f>
        <v>0</v>
      </c>
      <c r="BW50" s="159">
        <f>countif($C50:$BL50,"*" &amp; "CID (l)" &amp; "*") /2</f>
        <v>0</v>
      </c>
      <c r="BX50" s="162">
        <f t="shared" ref="BX50:BX51" si="58">countif($K50:$BL50,"*" &amp; BX$2 &amp; "*")</f>
        <v>0</v>
      </c>
      <c r="BY50" s="17"/>
      <c r="BZ50" s="17"/>
      <c r="CA50" s="17"/>
      <c r="CB50" s="17"/>
      <c r="CC50" s="17"/>
      <c r="CD50" s="17"/>
    </row>
    <row r="51" ht="17.25" customHeight="1">
      <c r="A51" s="96"/>
      <c r="B51" s="151" t="s">
        <v>392</v>
      </c>
      <c r="K51" s="478"/>
      <c r="L51" s="464"/>
      <c r="M51" s="465"/>
      <c r="N51" s="465"/>
      <c r="O51" s="465"/>
      <c r="P51" s="465"/>
      <c r="Q51" s="465"/>
      <c r="R51" s="465"/>
      <c r="S51" s="62"/>
      <c r="X51" s="91" t="s">
        <v>334</v>
      </c>
      <c r="Y51" s="91" t="s">
        <v>491</v>
      </c>
      <c r="AB51" s="62"/>
      <c r="AE51" s="17"/>
      <c r="AF51" s="17"/>
      <c r="AK51" s="62"/>
      <c r="AN51" s="85"/>
      <c r="AO51" s="86"/>
      <c r="AP51" s="506"/>
      <c r="AQ51" s="506"/>
      <c r="AR51" s="506"/>
      <c r="AS51" s="474"/>
      <c r="AT51" s="62"/>
      <c r="AU51" s="126" t="s">
        <v>334</v>
      </c>
      <c r="AV51" s="61"/>
      <c r="AW51" s="126" t="s">
        <v>850</v>
      </c>
      <c r="AX51" s="46"/>
      <c r="AY51" s="63"/>
      <c r="AZ51" s="63"/>
      <c r="BA51" s="55"/>
      <c r="BB51" s="63"/>
      <c r="BC51" s="63"/>
      <c r="BD51" s="85"/>
      <c r="BE51" s="86"/>
      <c r="BF51" s="112"/>
      <c r="BG51" s="112"/>
      <c r="BH51" s="112"/>
      <c r="BI51" s="279"/>
      <c r="BJ51" s="169"/>
      <c r="BK51" s="242"/>
      <c r="BL51" s="62"/>
      <c r="BM51" s="72">
        <f t="shared" ref="BM51:BO51" si="57">countif($K51:$BL51,BM$2)</f>
        <v>0</v>
      </c>
      <c r="BN51" s="74">
        <f t="shared" si="57"/>
        <v>0</v>
      </c>
      <c r="BO51" s="74">
        <f t="shared" si="57"/>
        <v>0</v>
      </c>
      <c r="BP51" s="96"/>
      <c r="BQ51" s="112"/>
      <c r="BR51" s="81">
        <f>(countif($C51:$BK53,"*ME (l)*") / 2)</f>
        <v>0</v>
      </c>
      <c r="BS51" s="81">
        <f>INT((countif($C51:$BK53,"*DE (l)*"))/2*100)/100</f>
        <v>0</v>
      </c>
      <c r="BT51" s="112"/>
      <c r="BU51" s="81">
        <f>(countif($C51:$BK53,"*CCP (l)*") + countif($C51:$BK53,"*CCP (l)*")) / 4</f>
        <v>0</v>
      </c>
      <c r="BV51" s="112"/>
      <c r="BW51" s="112"/>
      <c r="BX51" s="173">
        <f t="shared" si="58"/>
        <v>0</v>
      </c>
      <c r="BY51" s="17"/>
      <c r="BZ51" s="17"/>
      <c r="CA51" s="17"/>
      <c r="CB51" s="17"/>
      <c r="CC51" s="17"/>
      <c r="CD51" s="17"/>
    </row>
    <row r="52" ht="15.75" customHeight="1">
      <c r="A52" s="96"/>
      <c r="B52" s="151" t="s">
        <v>398</v>
      </c>
      <c r="C52" s="17"/>
      <c r="D52" s="17"/>
      <c r="F52" s="17"/>
      <c r="G52" s="17"/>
      <c r="H52" s="17"/>
      <c r="I52" s="17"/>
      <c r="J52" s="17"/>
      <c r="K52" s="275"/>
      <c r="L52" s="464"/>
      <c r="M52" s="465"/>
      <c r="N52" s="465"/>
      <c r="O52" s="465"/>
      <c r="P52" s="465"/>
      <c r="Q52" s="465"/>
      <c r="R52" s="465"/>
      <c r="S52" s="62"/>
      <c r="T52" s="752"/>
      <c r="U52" s="610"/>
      <c r="X52" s="96"/>
      <c r="Y52" s="96"/>
      <c r="AB52" s="62"/>
      <c r="AC52" s="17"/>
      <c r="AD52" s="17"/>
      <c r="AE52" s="54"/>
      <c r="AF52" s="54"/>
      <c r="AG52" s="17"/>
      <c r="AH52" s="17"/>
      <c r="AI52" s="17"/>
      <c r="AJ52" s="17"/>
      <c r="AK52" s="62"/>
      <c r="AP52" s="506"/>
      <c r="AQ52" s="506"/>
      <c r="AR52" s="506"/>
      <c r="AS52" s="474"/>
      <c r="AT52" s="62"/>
      <c r="AU52" s="142"/>
      <c r="AW52" s="142"/>
      <c r="AX52" s="106"/>
      <c r="AY52" s="63"/>
      <c r="AZ52" s="63"/>
      <c r="BA52" s="62"/>
      <c r="BB52" s="44" t="s">
        <v>350</v>
      </c>
      <c r="BC52" s="46"/>
      <c r="BD52" s="63"/>
      <c r="BE52" s="63"/>
      <c r="BF52" s="126" t="s">
        <v>594</v>
      </c>
      <c r="BG52" s="46"/>
      <c r="BH52" s="63"/>
      <c r="BI52" s="279"/>
      <c r="BJ52" s="169"/>
      <c r="BK52" s="242"/>
      <c r="BL52" s="62"/>
      <c r="BM52" s="72">
        <f t="shared" ref="BM52:BO52" si="59">countif($E52:$BL52,BM$2)</f>
        <v>0</v>
      </c>
      <c r="BN52" s="74">
        <f t="shared" si="59"/>
        <v>0</v>
      </c>
      <c r="BO52" s="74">
        <f t="shared" si="59"/>
        <v>0</v>
      </c>
      <c r="BP52" s="81">
        <f>countif($C52:$BL53,"* (s)*")</f>
        <v>1</v>
      </c>
      <c r="BQ52" s="81">
        <f>countif($C52:$BL52,"*" &amp; BQ$2 &amp; "*")</f>
        <v>0</v>
      </c>
      <c r="BR52" s="96"/>
      <c r="BS52" s="96"/>
      <c r="BT52" s="81">
        <f>countif($C52:$BL52,"*SS (l)*") / 2</f>
        <v>0</v>
      </c>
      <c r="BU52" s="96"/>
      <c r="BV52" s="81">
        <f>countif($C52:$BL53,"*" &amp; "CID (s)" &amp; "*")/2</f>
        <v>0</v>
      </c>
      <c r="BW52" s="159">
        <f>countif($C52:$BL52,"*" &amp; "CID (l)" &amp; "*") /2</f>
        <v>0</v>
      </c>
      <c r="BX52" s="162">
        <f t="shared" ref="BX52:BX53" si="61">countif($E52:$BL52,"*" &amp; BX$2 &amp; "*")</f>
        <v>0</v>
      </c>
      <c r="BY52" s="17"/>
      <c r="BZ52" s="17"/>
      <c r="CA52" s="17"/>
      <c r="CB52" s="17"/>
      <c r="CC52" s="17"/>
      <c r="CD52" s="17"/>
    </row>
    <row r="53" ht="15.75" customHeight="1">
      <c r="A53" s="112"/>
      <c r="B53" s="151" t="s">
        <v>408</v>
      </c>
      <c r="C53" s="17"/>
      <c r="D53" s="17"/>
      <c r="F53" s="17"/>
      <c r="G53" s="17"/>
      <c r="H53" s="17"/>
      <c r="I53" s="17"/>
      <c r="J53" s="17"/>
      <c r="K53" s="478"/>
      <c r="L53" s="754"/>
      <c r="M53" s="755"/>
      <c r="N53" s="755"/>
      <c r="O53" s="755"/>
      <c r="P53" s="755"/>
      <c r="Q53" s="755"/>
      <c r="R53" s="755"/>
      <c r="S53" s="62"/>
      <c r="T53" s="757"/>
      <c r="U53" s="758"/>
      <c r="X53" s="112"/>
      <c r="Y53" s="112"/>
      <c r="AB53" s="298"/>
      <c r="AC53" s="270"/>
      <c r="AD53" s="54"/>
      <c r="AG53" s="54"/>
      <c r="AH53" s="54"/>
      <c r="AI53" s="54"/>
      <c r="AJ53" s="54"/>
      <c r="AK53" s="298"/>
      <c r="AP53" s="518"/>
      <c r="AQ53" s="518"/>
      <c r="AR53" s="518"/>
      <c r="AS53" s="696"/>
      <c r="AT53" s="298"/>
      <c r="AU53" s="142"/>
      <c r="AW53" s="85"/>
      <c r="AX53" s="86"/>
      <c r="AY53" s="759"/>
      <c r="AZ53" s="759"/>
      <c r="BA53" s="298"/>
      <c r="BB53" s="85"/>
      <c r="BC53" s="86"/>
      <c r="BD53" s="63"/>
      <c r="BE53" s="63"/>
      <c r="BF53" s="85"/>
      <c r="BG53" s="86"/>
      <c r="BH53" s="63"/>
      <c r="BI53" s="760"/>
      <c r="BJ53" s="360"/>
      <c r="BK53" s="361"/>
      <c r="BL53" s="298"/>
      <c r="BM53" s="72">
        <f t="shared" ref="BM53:BO53" si="60">countif($E53:$BL53,BM$2)</f>
        <v>0</v>
      </c>
      <c r="BN53" s="74">
        <f t="shared" si="60"/>
        <v>0</v>
      </c>
      <c r="BO53" s="74">
        <f t="shared" si="60"/>
        <v>0</v>
      </c>
      <c r="BP53" s="96"/>
      <c r="BQ53" s="112"/>
      <c r="BR53" s="112"/>
      <c r="BS53" s="112"/>
      <c r="BT53" s="112"/>
      <c r="BU53" s="112"/>
      <c r="BV53" s="112"/>
      <c r="BW53" s="112"/>
      <c r="BX53" s="173">
        <f t="shared" si="61"/>
        <v>0</v>
      </c>
      <c r="BY53" s="746" t="s">
        <v>827</v>
      </c>
      <c r="BZ53" s="17"/>
      <c r="CA53" s="17"/>
      <c r="CB53" s="17"/>
      <c r="CC53" s="17"/>
      <c r="CD53" s="17"/>
    </row>
    <row r="54" ht="1.5" customHeight="1">
      <c r="A54" s="6"/>
      <c r="B54" s="304"/>
      <c r="C54" s="356"/>
      <c r="D54" s="358"/>
      <c r="E54" s="358"/>
      <c r="F54" s="358"/>
      <c r="G54" s="358"/>
      <c r="H54" s="358"/>
      <c r="I54" s="358"/>
      <c r="J54" s="358"/>
      <c r="K54" s="55"/>
      <c r="L54" s="356"/>
      <c r="M54" s="358"/>
      <c r="N54" s="358"/>
      <c r="O54" s="358"/>
      <c r="P54" s="358"/>
      <c r="Q54" s="358"/>
      <c r="R54" s="358"/>
      <c r="S54" s="305"/>
      <c r="T54" s="356"/>
      <c r="U54" s="358"/>
      <c r="V54" s="257"/>
      <c r="W54" s="358"/>
      <c r="X54" s="358"/>
      <c r="Y54" s="7"/>
      <c r="Z54" s="7"/>
      <c r="AA54" s="7"/>
      <c r="AB54" s="305"/>
      <c r="AC54" s="358"/>
      <c r="AD54" s="358"/>
      <c r="AE54" s="358"/>
      <c r="AF54" s="358"/>
      <c r="AG54" s="358"/>
      <c r="AH54" s="356"/>
      <c r="AI54" s="356"/>
      <c r="AJ54" s="356"/>
      <c r="AK54" s="305"/>
      <c r="AL54" s="356"/>
      <c r="AM54" s="358"/>
      <c r="AN54" s="358"/>
      <c r="AO54" s="358"/>
      <c r="AP54" s="358"/>
      <c r="AQ54" s="358"/>
      <c r="AR54" s="358"/>
      <c r="AS54" s="358"/>
      <c r="AT54" s="305"/>
      <c r="AU54" s="317"/>
      <c r="AV54" s="764"/>
      <c r="AW54" s="764"/>
      <c r="AX54" s="764"/>
      <c r="AY54" s="764"/>
      <c r="AZ54" s="764"/>
      <c r="BA54" s="305"/>
      <c r="BB54" s="356"/>
      <c r="BC54" s="358"/>
      <c r="BD54" s="358"/>
      <c r="BE54" s="358"/>
      <c r="BF54" s="358"/>
      <c r="BG54" s="358"/>
      <c r="BH54" s="358"/>
      <c r="BI54" s="356"/>
      <c r="BJ54" s="358"/>
      <c r="BK54" s="358"/>
      <c r="BL54" s="305"/>
      <c r="BM54" s="254"/>
      <c r="BN54" s="255"/>
      <c r="BO54" s="255"/>
      <c r="BP54" s="75"/>
      <c r="BQ54" s="310"/>
      <c r="BR54" s="378"/>
      <c r="BS54" s="378"/>
      <c r="BT54" s="379"/>
      <c r="BU54" s="310"/>
      <c r="BV54" s="310"/>
      <c r="BW54" s="255"/>
      <c r="BX54" s="255"/>
      <c r="BY54" s="17"/>
      <c r="BZ54" s="17"/>
      <c r="CA54" s="17"/>
      <c r="CB54" s="17"/>
      <c r="CC54" s="17"/>
      <c r="CD54" s="17"/>
    </row>
    <row r="55" ht="15.75" customHeight="1">
      <c r="A55" s="30" t="s">
        <v>828</v>
      </c>
      <c r="B55" s="40">
        <v>42623.0</v>
      </c>
      <c r="C55" s="91" t="s">
        <v>1316</v>
      </c>
      <c r="D55" s="91" t="s">
        <v>889</v>
      </c>
      <c r="G55" s="309" t="s">
        <v>350</v>
      </c>
      <c r="H55" s="46"/>
      <c r="I55" s="91" t="s">
        <v>1318</v>
      </c>
      <c r="J55" s="91" t="s">
        <v>891</v>
      </c>
      <c r="K55" s="765"/>
      <c r="L55" s="174" t="s">
        <v>364</v>
      </c>
      <c r="M55" s="174" t="s">
        <v>286</v>
      </c>
      <c r="N55" s="594"/>
      <c r="O55" s="594"/>
      <c r="S55" s="765"/>
      <c r="T55" s="259" t="s">
        <v>1321</v>
      </c>
      <c r="U55" s="61"/>
      <c r="V55" s="61"/>
      <c r="W55" s="61"/>
      <c r="X55" s="61"/>
      <c r="Y55" s="61"/>
      <c r="Z55" s="61"/>
      <c r="AA55" s="46"/>
      <c r="AB55" s="65" t="s">
        <v>246</v>
      </c>
      <c r="AD55" s="768"/>
      <c r="AE55" s="126" t="s">
        <v>299</v>
      </c>
      <c r="AF55" s="46"/>
      <c r="AG55" s="91" t="s">
        <v>516</v>
      </c>
      <c r="AH55" s="91" t="s">
        <v>518</v>
      </c>
      <c r="AK55" s="765"/>
      <c r="AL55" s="386" t="s">
        <v>588</v>
      </c>
      <c r="AN55" s="91" t="s">
        <v>516</v>
      </c>
      <c r="AO55" s="91" t="s">
        <v>518</v>
      </c>
      <c r="AT55" s="62"/>
      <c r="AU55" s="44" t="s">
        <v>1324</v>
      </c>
      <c r="AV55" s="46"/>
      <c r="AW55" s="44" t="s">
        <v>393</v>
      </c>
      <c r="AX55" s="46"/>
      <c r="AY55" s="772" t="s">
        <v>472</v>
      </c>
      <c r="BA55" s="62"/>
      <c r="BB55" s="102" t="s">
        <v>1326</v>
      </c>
      <c r="BH55" s="106"/>
      <c r="BI55" s="279"/>
      <c r="BJ55" s="169"/>
      <c r="BK55" s="242"/>
      <c r="BL55" s="108" t="s">
        <v>245</v>
      </c>
      <c r="BM55" s="72">
        <f t="shared" ref="BM55:BO55" si="62">countif($N55:$BK55,BM$2)</f>
        <v>0</v>
      </c>
      <c r="BN55" s="74">
        <f t="shared" si="62"/>
        <v>1</v>
      </c>
      <c r="BO55" s="74">
        <f t="shared" si="62"/>
        <v>0</v>
      </c>
      <c r="BP55" s="81">
        <f>countif($C55:$BK56,"* (s)*")</f>
        <v>3</v>
      </c>
      <c r="BQ55" s="81">
        <f>countif($C55:$BK55,"*" &amp; BQ$2 &amp; "*")</f>
        <v>2</v>
      </c>
      <c r="BR55" s="81">
        <f>(countif($C55:$BK57,"*ME (l)*") / 2)</f>
        <v>0</v>
      </c>
      <c r="BS55" s="81">
        <f>INT((countif($C55:$BK57,"*DE (l)*"))/2*100)/100</f>
        <v>0</v>
      </c>
      <c r="BT55" s="81">
        <f>countif($C55:$BK55,"*SS (l)*") / 2</f>
        <v>1</v>
      </c>
      <c r="BU55" s="81">
        <f>(countif($C55:$BK57,"*CCP (l)*") + countif($C55:$BK57,"*CCP (l)*")) / 4</f>
        <v>1</v>
      </c>
      <c r="BV55" s="81">
        <f>countif($C55:$BK56,"*" &amp; "CID (s)" &amp; "*")/2</f>
        <v>0</v>
      </c>
      <c r="BW55" s="159">
        <f>countif($C55:$BK55,"*" &amp; "CID (l)" &amp; "*") /2</f>
        <v>0</v>
      </c>
      <c r="BX55" s="162">
        <f t="shared" ref="BX55:BX56" si="64">countif($N55:$BK55,"*" &amp; BX$2 &amp; "*")</f>
        <v>0</v>
      </c>
      <c r="BY55" s="532" t="s">
        <v>860</v>
      </c>
      <c r="BZ55" s="46"/>
      <c r="CA55" s="533" t="s">
        <v>862</v>
      </c>
      <c r="CB55" s="46"/>
      <c r="CC55" s="17"/>
      <c r="CD55" s="17"/>
    </row>
    <row r="56" ht="15.75" customHeight="1">
      <c r="A56" s="96"/>
      <c r="B56" s="97">
        <v>42654.0</v>
      </c>
      <c r="C56" s="96"/>
      <c r="D56" s="96"/>
      <c r="G56" s="85"/>
      <c r="H56" s="86"/>
      <c r="I56" s="96"/>
      <c r="J56" s="96"/>
      <c r="K56" s="62"/>
      <c r="L56" s="112"/>
      <c r="M56" s="112"/>
      <c r="N56" s="594"/>
      <c r="O56" s="594"/>
      <c r="S56" s="62"/>
      <c r="T56" s="85"/>
      <c r="U56" s="87"/>
      <c r="V56" s="87"/>
      <c r="W56" s="87"/>
      <c r="X56" s="87"/>
      <c r="Y56" s="87"/>
      <c r="Z56" s="87"/>
      <c r="AA56" s="86"/>
      <c r="AB56" s="65" t="s">
        <v>246</v>
      </c>
      <c r="AC56" s="786"/>
      <c r="AD56" s="787"/>
      <c r="AE56" s="85"/>
      <c r="AF56" s="86"/>
      <c r="AG56" s="96"/>
      <c r="AH56" s="96"/>
      <c r="AK56" s="62"/>
      <c r="AL56" s="112"/>
      <c r="AN56" s="96"/>
      <c r="AO56" s="96"/>
      <c r="AT56" s="62"/>
      <c r="AU56" s="85"/>
      <c r="AV56" s="86"/>
      <c r="AW56" s="85"/>
      <c r="AX56" s="86"/>
      <c r="BA56" s="62"/>
      <c r="BB56" s="85"/>
      <c r="BC56" s="87"/>
      <c r="BD56" s="87"/>
      <c r="BE56" s="87"/>
      <c r="BF56" s="87"/>
      <c r="BG56" s="87"/>
      <c r="BH56" s="86"/>
      <c r="BI56" s="279"/>
      <c r="BJ56" s="169"/>
      <c r="BK56" s="242"/>
      <c r="BL56" s="65" t="s">
        <v>245</v>
      </c>
      <c r="BM56" s="72">
        <f t="shared" ref="BM56:BO56" si="63">countif($N56:$BK56,BM$2)</f>
        <v>0</v>
      </c>
      <c r="BN56" s="74">
        <f t="shared" si="63"/>
        <v>1</v>
      </c>
      <c r="BO56" s="74">
        <f t="shared" si="63"/>
        <v>0</v>
      </c>
      <c r="BP56" s="96"/>
      <c r="BQ56" s="112"/>
      <c r="BR56" s="96"/>
      <c r="BS56" s="96"/>
      <c r="BT56" s="112"/>
      <c r="BU56" s="96"/>
      <c r="BV56" s="112"/>
      <c r="BW56" s="112"/>
      <c r="BX56" s="173">
        <f t="shared" si="64"/>
        <v>0</v>
      </c>
      <c r="BY56" s="142"/>
      <c r="BZ56" s="106"/>
      <c r="CA56" s="142"/>
      <c r="CB56" s="106"/>
      <c r="CC56" s="17"/>
      <c r="CD56" s="17"/>
    </row>
    <row r="57" ht="15.75" customHeight="1">
      <c r="A57" s="96"/>
      <c r="B57" s="97">
        <v>42686.0</v>
      </c>
      <c r="C57" s="112"/>
      <c r="D57" s="112"/>
      <c r="I57" s="112"/>
      <c r="J57" s="112"/>
      <c r="K57" s="62"/>
      <c r="L57" s="594"/>
      <c r="M57" s="594"/>
      <c r="N57" s="594"/>
      <c r="O57" s="594"/>
      <c r="S57" s="62"/>
      <c r="T57" s="449" t="s">
        <v>1352</v>
      </c>
      <c r="AA57" s="106"/>
      <c r="AB57" s="65" t="s">
        <v>246</v>
      </c>
      <c r="AC57" s="786"/>
      <c r="AD57" s="787"/>
      <c r="AE57" s="126" t="s">
        <v>1353</v>
      </c>
      <c r="AF57" s="46"/>
      <c r="AG57" s="112"/>
      <c r="AH57" s="112"/>
      <c r="AI57" s="126" t="s">
        <v>299</v>
      </c>
      <c r="AJ57" s="46"/>
      <c r="AK57" s="62"/>
      <c r="AL57" s="174" t="s">
        <v>286</v>
      </c>
      <c r="AM57" s="386" t="s">
        <v>588</v>
      </c>
      <c r="AN57" s="112"/>
      <c r="AO57" s="112"/>
      <c r="AQ57" s="174" t="s">
        <v>364</v>
      </c>
      <c r="AT57" s="62"/>
      <c r="AU57" s="63"/>
      <c r="AV57" s="63"/>
      <c r="AW57" s="44" t="s">
        <v>357</v>
      </c>
      <c r="AX57" s="46"/>
      <c r="AY57" s="44" t="s">
        <v>350</v>
      </c>
      <c r="AZ57" s="46"/>
      <c r="BA57" s="62"/>
      <c r="BB57" s="122" t="s">
        <v>1356</v>
      </c>
      <c r="BC57" s="61"/>
      <c r="BD57" s="61"/>
      <c r="BE57" s="61"/>
      <c r="BF57" s="61"/>
      <c r="BG57" s="61"/>
      <c r="BH57" s="46"/>
      <c r="BI57" s="613"/>
      <c r="BJ57" s="613"/>
      <c r="BK57" s="614"/>
      <c r="BL57" s="65" t="s">
        <v>245</v>
      </c>
      <c r="BM57" s="72">
        <f t="shared" ref="BM57:BO57" si="65">countif($K57:$BK57,BM$2)</f>
        <v>0</v>
      </c>
      <c r="BN57" s="74">
        <f t="shared" si="65"/>
        <v>1</v>
      </c>
      <c r="BO57" s="74">
        <f t="shared" si="65"/>
        <v>0</v>
      </c>
      <c r="BP57" s="81">
        <f>countif($E57:$BK58,"* (s)*")</f>
        <v>2</v>
      </c>
      <c r="BQ57" s="81">
        <f>countif($C57:$BK57,"*" &amp; BQ$2 &amp; "*")</f>
        <v>1</v>
      </c>
      <c r="BR57" s="112"/>
      <c r="BS57" s="112"/>
      <c r="BT57" s="81">
        <f>countif($C57:$BK57,"*SS (l)*") / 2</f>
        <v>1</v>
      </c>
      <c r="BU57" s="112"/>
      <c r="BV57" s="81">
        <f>countif($E57:$BK58,"*" &amp; "CID (s)" &amp; "*")/2</f>
        <v>0</v>
      </c>
      <c r="BW57" s="159">
        <f>countif($C57:$BK57,"*" &amp; "CID (l)" &amp; "*") /2</f>
        <v>0</v>
      </c>
      <c r="BX57" s="81">
        <f t="shared" ref="BX57:BX60" si="67">countif($K57:$BK57,"*" &amp; BX$2 &amp; "*")</f>
        <v>0</v>
      </c>
      <c r="BY57" s="142"/>
      <c r="BZ57" s="106"/>
      <c r="CA57" s="142"/>
      <c r="CB57" s="106"/>
      <c r="CC57" s="17"/>
      <c r="CD57" s="17"/>
    </row>
    <row r="58" ht="15.75" customHeight="1">
      <c r="A58" s="96"/>
      <c r="B58" s="97">
        <v>42717.0</v>
      </c>
      <c r="C58" s="215" t="s">
        <v>518</v>
      </c>
      <c r="D58" s="215" t="s">
        <v>516</v>
      </c>
      <c r="E58" s="91" t="s">
        <v>1318</v>
      </c>
      <c r="F58" s="91" t="s">
        <v>891</v>
      </c>
      <c r="G58" s="91" t="s">
        <v>1316</v>
      </c>
      <c r="H58" s="91" t="s">
        <v>889</v>
      </c>
      <c r="K58" s="62"/>
      <c r="L58" s="91" t="s">
        <v>891</v>
      </c>
      <c r="M58" s="91" t="s">
        <v>889</v>
      </c>
      <c r="O58" s="594"/>
      <c r="P58" s="594"/>
      <c r="Q58" s="594"/>
      <c r="R58" s="792" t="s">
        <v>889</v>
      </c>
      <c r="S58" s="62"/>
      <c r="T58" s="85"/>
      <c r="U58" s="87"/>
      <c r="V58" s="87"/>
      <c r="W58" s="87"/>
      <c r="X58" s="87"/>
      <c r="Y58" s="87"/>
      <c r="Z58" s="87"/>
      <c r="AA58" s="86"/>
      <c r="AB58" s="65" t="s">
        <v>246</v>
      </c>
      <c r="AC58" s="786"/>
      <c r="AD58" s="787"/>
      <c r="AE58" s="85"/>
      <c r="AF58" s="86"/>
      <c r="AI58" s="85"/>
      <c r="AJ58" s="86"/>
      <c r="AK58" s="62"/>
      <c r="AL58" s="112"/>
      <c r="AM58" s="112"/>
      <c r="AQ58" s="112"/>
      <c r="AT58" s="62"/>
      <c r="AU58" s="215" t="s">
        <v>518</v>
      </c>
      <c r="AV58" s="215" t="s">
        <v>516</v>
      </c>
      <c r="AW58" s="85"/>
      <c r="AX58" s="86"/>
      <c r="AY58" s="85"/>
      <c r="AZ58" s="86"/>
      <c r="BA58" s="62"/>
      <c r="BB58" s="85"/>
      <c r="BC58" s="87"/>
      <c r="BD58" s="87"/>
      <c r="BE58" s="87"/>
      <c r="BF58" s="87"/>
      <c r="BG58" s="87"/>
      <c r="BH58" s="86"/>
      <c r="BI58" s="613"/>
      <c r="BJ58" s="613"/>
      <c r="BK58" s="614"/>
      <c r="BL58" s="65" t="s">
        <v>245</v>
      </c>
      <c r="BM58" s="72">
        <f t="shared" ref="BM58:BO58" si="66">countif($K58:$BK58,BM$2)</f>
        <v>0</v>
      </c>
      <c r="BN58" s="74">
        <f t="shared" si="66"/>
        <v>1</v>
      </c>
      <c r="BO58" s="74">
        <f t="shared" si="66"/>
        <v>0</v>
      </c>
      <c r="BP58" s="96"/>
      <c r="BQ58" s="112"/>
      <c r="BR58" s="81">
        <f>(countif($C58:$BK60,"*ME (l)*") / 2)</f>
        <v>0</v>
      </c>
      <c r="BS58" s="81">
        <f>INT((countif($C58:$BK60,"*DE (l)*"))/2*100)/100</f>
        <v>0</v>
      </c>
      <c r="BT58" s="112"/>
      <c r="BU58" s="81">
        <f>(countif($C58:$BK60,"*CCP (l)*") + countif($C58:$BK60,"*CCP (l)*")) / 4</f>
        <v>1</v>
      </c>
      <c r="BV58" s="112"/>
      <c r="BW58" s="112"/>
      <c r="BX58" s="81">
        <f t="shared" si="67"/>
        <v>0</v>
      </c>
      <c r="BY58" s="85"/>
      <c r="BZ58" s="86"/>
      <c r="CA58" s="85"/>
      <c r="CB58" s="86"/>
      <c r="CC58" s="17"/>
      <c r="CD58" s="17"/>
    </row>
    <row r="59" ht="15.75" customHeight="1">
      <c r="A59" s="96"/>
      <c r="B59" s="151" t="s">
        <v>310</v>
      </c>
      <c r="C59" s="96"/>
      <c r="D59" s="96"/>
      <c r="E59" s="96"/>
      <c r="F59" s="96"/>
      <c r="G59" s="96"/>
      <c r="H59" s="96"/>
      <c r="I59" s="44" t="s">
        <v>350</v>
      </c>
      <c r="J59" s="46"/>
      <c r="K59" s="62"/>
      <c r="L59" s="96"/>
      <c r="M59" s="96"/>
      <c r="O59" s="594"/>
      <c r="P59" s="594"/>
      <c r="Q59" s="594"/>
      <c r="R59" s="96"/>
      <c r="S59" s="62"/>
      <c r="T59" s="449" t="s">
        <v>1362</v>
      </c>
      <c r="AA59" s="106"/>
      <c r="AB59" s="65" t="s">
        <v>246</v>
      </c>
      <c r="AC59" s="44" t="s">
        <v>1364</v>
      </c>
      <c r="AD59" s="46"/>
      <c r="AG59" s="44" t="s">
        <v>1365</v>
      </c>
      <c r="AH59" s="46"/>
      <c r="AI59" s="126" t="s">
        <v>1353</v>
      </c>
      <c r="AJ59" s="46"/>
      <c r="AK59" s="62"/>
      <c r="AL59" s="174" t="s">
        <v>299</v>
      </c>
      <c r="AM59" s="174" t="s">
        <v>1366</v>
      </c>
      <c r="AN59" s="386" t="s">
        <v>472</v>
      </c>
      <c r="AO59" s="91" t="s">
        <v>1368</v>
      </c>
      <c r="AS59" s="386" t="s">
        <v>588</v>
      </c>
      <c r="AT59" s="62"/>
      <c r="AU59" s="96"/>
      <c r="AV59" s="96"/>
      <c r="AW59" s="91" t="s">
        <v>594</v>
      </c>
      <c r="AX59" s="91" t="s">
        <v>594</v>
      </c>
      <c r="AY59" s="44" t="s">
        <v>393</v>
      </c>
      <c r="AZ59" s="46"/>
      <c r="BA59" s="55"/>
      <c r="BB59" s="122" t="s">
        <v>1370</v>
      </c>
      <c r="BC59" s="61"/>
      <c r="BD59" s="61"/>
      <c r="BE59" s="61"/>
      <c r="BF59" s="61"/>
      <c r="BG59" s="61"/>
      <c r="BH59" s="46"/>
      <c r="BI59" s="7"/>
      <c r="BJ59" s="7"/>
      <c r="BK59" s="694"/>
      <c r="BL59" s="65" t="s">
        <v>245</v>
      </c>
      <c r="BM59" s="72">
        <f t="shared" ref="BM59:BO59" si="68">countif($K59:$BK59,BM$2)</f>
        <v>0</v>
      </c>
      <c r="BN59" s="74">
        <f t="shared" si="68"/>
        <v>1</v>
      </c>
      <c r="BO59" s="74">
        <f t="shared" si="68"/>
        <v>0</v>
      </c>
      <c r="BP59" s="81">
        <f>countif($K59:$BK60,"* (s)*")</f>
        <v>3</v>
      </c>
      <c r="BQ59" s="81">
        <f>countif($K59:$BK59,"*" &amp; BQ$2 &amp; "*")</f>
        <v>4</v>
      </c>
      <c r="BR59" s="96"/>
      <c r="BS59" s="96"/>
      <c r="BT59" s="81">
        <f>countif($K59:$BK59,"*SS (l)*") / 2</f>
        <v>0.5</v>
      </c>
      <c r="BU59" s="96"/>
      <c r="BV59" s="81">
        <f>countif($K59:$BK60,"*" &amp; "CID (s)" &amp; "*")/2</f>
        <v>0</v>
      </c>
      <c r="BW59" s="159">
        <f>countif($K59:$BK59,"*" &amp; "CID (l)" &amp; "*") /2</f>
        <v>0</v>
      </c>
      <c r="BX59" s="81">
        <f t="shared" si="67"/>
        <v>0</v>
      </c>
      <c r="BY59" s="557" t="s">
        <v>927</v>
      </c>
      <c r="BZ59" s="46"/>
      <c r="CA59" s="533" t="s">
        <v>930</v>
      </c>
      <c r="CB59" s="46"/>
      <c r="CC59" s="17"/>
      <c r="CD59" s="17"/>
    </row>
    <row r="60" ht="15.75" customHeight="1">
      <c r="A60" s="96"/>
      <c r="B60" s="151" t="s">
        <v>341</v>
      </c>
      <c r="C60" s="112"/>
      <c r="D60" s="112"/>
      <c r="E60" s="112"/>
      <c r="F60" s="112"/>
      <c r="G60" s="112"/>
      <c r="H60" s="112"/>
      <c r="I60" s="85"/>
      <c r="J60" s="86"/>
      <c r="K60" s="62"/>
      <c r="L60" s="112"/>
      <c r="M60" s="112"/>
      <c r="P60" s="594"/>
      <c r="Q60" s="594"/>
      <c r="R60" s="112"/>
      <c r="S60" s="62"/>
      <c r="T60" s="85"/>
      <c r="U60" s="87"/>
      <c r="V60" s="87"/>
      <c r="W60" s="87"/>
      <c r="X60" s="87"/>
      <c r="Y60" s="87"/>
      <c r="Z60" s="87"/>
      <c r="AA60" s="86"/>
      <c r="AB60" s="65" t="s">
        <v>246</v>
      </c>
      <c r="AC60" s="85"/>
      <c r="AD60" s="86"/>
      <c r="AG60" s="85"/>
      <c r="AH60" s="86"/>
      <c r="AI60" s="85"/>
      <c r="AJ60" s="86"/>
      <c r="AK60" s="62"/>
      <c r="AL60" s="112"/>
      <c r="AM60" s="112"/>
      <c r="AN60" s="112"/>
      <c r="AO60" s="112"/>
      <c r="AS60" s="112"/>
      <c r="AT60" s="62"/>
      <c r="AU60" s="112"/>
      <c r="AV60" s="112"/>
      <c r="AW60" s="112"/>
      <c r="AX60" s="112"/>
      <c r="AY60" s="85"/>
      <c r="AZ60" s="86"/>
      <c r="BA60" s="55"/>
      <c r="BB60" s="85"/>
      <c r="BC60" s="87"/>
      <c r="BD60" s="87"/>
      <c r="BE60" s="87"/>
      <c r="BF60" s="87"/>
      <c r="BG60" s="87"/>
      <c r="BH60" s="86"/>
      <c r="BI60" s="7"/>
      <c r="BJ60" s="7"/>
      <c r="BK60" s="694"/>
      <c r="BL60" s="65" t="s">
        <v>245</v>
      </c>
      <c r="BM60" s="72">
        <f t="shared" ref="BM60:BO60" si="69">countif($K60:$BK60,BM$2)</f>
        <v>0</v>
      </c>
      <c r="BN60" s="74">
        <f t="shared" si="69"/>
        <v>1</v>
      </c>
      <c r="BO60" s="74">
        <f t="shared" si="69"/>
        <v>0</v>
      </c>
      <c r="BP60" s="96"/>
      <c r="BQ60" s="112"/>
      <c r="BR60" s="112"/>
      <c r="BS60" s="112"/>
      <c r="BT60" s="112"/>
      <c r="BU60" s="112"/>
      <c r="BV60" s="112"/>
      <c r="BW60" s="112"/>
      <c r="BX60" s="81">
        <f t="shared" si="67"/>
        <v>0</v>
      </c>
      <c r="BY60" s="142"/>
      <c r="BZ60" s="106"/>
      <c r="CA60" s="142"/>
      <c r="CB60" s="106"/>
      <c r="CC60" s="17"/>
      <c r="CD60" s="17"/>
    </row>
    <row r="61" ht="15.75" customHeight="1">
      <c r="A61" s="96"/>
      <c r="B61" s="151" t="s">
        <v>342</v>
      </c>
      <c r="C61" s="44" t="s">
        <v>350</v>
      </c>
      <c r="D61" s="46"/>
      <c r="I61" s="91" t="s">
        <v>1383</v>
      </c>
      <c r="J61" s="215" t="s">
        <v>518</v>
      </c>
      <c r="K61" s="62"/>
      <c r="N61" s="274" t="s">
        <v>1385</v>
      </c>
      <c r="O61" s="274" t="s">
        <v>1386</v>
      </c>
      <c r="S61" s="62"/>
      <c r="T61" s="126" t="s">
        <v>299</v>
      </c>
      <c r="U61" s="46"/>
      <c r="V61" s="17"/>
      <c r="W61" s="17"/>
      <c r="X61" s="17"/>
      <c r="AB61" s="62"/>
      <c r="AC61" s="91" t="s">
        <v>334</v>
      </c>
      <c r="AD61" s="91" t="s">
        <v>491</v>
      </c>
      <c r="AI61" s="44" t="s">
        <v>393</v>
      </c>
      <c r="AJ61" s="46"/>
      <c r="AK61" s="62"/>
      <c r="AO61" s="386" t="s">
        <v>588</v>
      </c>
      <c r="AT61" s="62"/>
      <c r="AU61" s="44" t="s">
        <v>1388</v>
      </c>
      <c r="AV61" s="46"/>
      <c r="AW61" s="126" t="s">
        <v>472</v>
      </c>
      <c r="AX61" s="46"/>
      <c r="AY61" s="63"/>
      <c r="AZ61" s="63"/>
      <c r="BA61" s="62"/>
      <c r="BB61" s="54"/>
      <c r="BC61" s="54"/>
      <c r="BH61" s="91" t="s">
        <v>299</v>
      </c>
      <c r="BI61" s="279"/>
      <c r="BJ61" s="169"/>
      <c r="BK61" s="242"/>
      <c r="BL61" s="62"/>
      <c r="BM61" s="72">
        <f t="shared" ref="BM61:BO61" si="70">countif($K61:$BL61,BM$2)</f>
        <v>0</v>
      </c>
      <c r="BN61" s="74">
        <f t="shared" si="70"/>
        <v>0</v>
      </c>
      <c r="BO61" s="74">
        <f t="shared" si="70"/>
        <v>0</v>
      </c>
      <c r="BP61" s="81">
        <f>countif($C61:$BL62,"* (s)*")</f>
        <v>3</v>
      </c>
      <c r="BQ61" s="81">
        <f>countif($C61:$BL61,"*" &amp; BQ$2 &amp; "*")</f>
        <v>3</v>
      </c>
      <c r="BR61" s="81">
        <f>(countif($C61:$BK63,"*ME (l)*") / 2)</f>
        <v>0</v>
      </c>
      <c r="BS61" s="81">
        <f>INT((countif($C61:$BK63,"*DE (l)*"))/2*100)/100</f>
        <v>0.5</v>
      </c>
      <c r="BT61" s="81">
        <f>countif($C61:$BL61,"*SS (l)*") / 2</f>
        <v>0</v>
      </c>
      <c r="BU61" s="81">
        <f>(countif($C61:$BK63,"*CCP (l)*") + countif($C61:$BK63,"*CCP (l)*")) / 4</f>
        <v>0</v>
      </c>
      <c r="BV61" s="81">
        <f>countif($C61:$BL62,"*" &amp; "CID (s)" &amp; "*")/2</f>
        <v>0</v>
      </c>
      <c r="BW61" s="159">
        <f>countif($C61:$BL61,"*" &amp; "CID (l)" &amp; "*") /2</f>
        <v>0</v>
      </c>
      <c r="BX61" s="81">
        <f t="shared" ref="BX61:BX64" si="72">countif($K61:$BL61,"*" &amp; BX$2 &amp; "*")</f>
        <v>0</v>
      </c>
      <c r="BY61" s="142"/>
      <c r="BZ61" s="106"/>
      <c r="CA61" s="142"/>
      <c r="CB61" s="106"/>
      <c r="CC61" s="17"/>
      <c r="CD61" s="17"/>
    </row>
    <row r="62" ht="15.75" customHeight="1">
      <c r="A62" s="96"/>
      <c r="B62" s="151" t="s">
        <v>369</v>
      </c>
      <c r="C62" s="85"/>
      <c r="D62" s="86"/>
      <c r="I62" s="96"/>
      <c r="J62" s="96"/>
      <c r="K62" s="62"/>
      <c r="N62" s="112"/>
      <c r="O62" s="112"/>
      <c r="P62" s="594"/>
      <c r="S62" s="62"/>
      <c r="T62" s="85"/>
      <c r="U62" s="86"/>
      <c r="V62" s="17"/>
      <c r="W62" s="17"/>
      <c r="X62" s="17"/>
      <c r="AB62" s="62"/>
      <c r="AC62" s="96"/>
      <c r="AD62" s="96"/>
      <c r="AI62" s="85"/>
      <c r="AJ62" s="86"/>
      <c r="AK62" s="62"/>
      <c r="AO62" s="112"/>
      <c r="AP62" s="126" t="s">
        <v>334</v>
      </c>
      <c r="AQ62" s="46"/>
      <c r="AR62" s="126" t="s">
        <v>491</v>
      </c>
      <c r="AS62" s="46"/>
      <c r="AT62" s="62"/>
      <c r="AU62" s="85"/>
      <c r="AV62" s="86"/>
      <c r="AW62" s="85"/>
      <c r="AX62" s="86"/>
      <c r="AY62" s="63"/>
      <c r="AZ62" s="63"/>
      <c r="BA62" s="62"/>
      <c r="BB62" s="270"/>
      <c r="BC62" s="54"/>
      <c r="BE62" s="17"/>
      <c r="BH62" s="112"/>
      <c r="BI62" s="279"/>
      <c r="BJ62" s="169"/>
      <c r="BK62" s="242"/>
      <c r="BL62" s="62"/>
      <c r="BM62" s="72">
        <f t="shared" ref="BM62:BO62" si="71">countif($K62:$BL62,BM$2)</f>
        <v>0</v>
      </c>
      <c r="BN62" s="74">
        <f t="shared" si="71"/>
        <v>0</v>
      </c>
      <c r="BO62" s="74">
        <f t="shared" si="71"/>
        <v>0</v>
      </c>
      <c r="BP62" s="96"/>
      <c r="BQ62" s="112"/>
      <c r="BR62" s="96"/>
      <c r="BS62" s="96"/>
      <c r="BT62" s="112"/>
      <c r="BU62" s="96"/>
      <c r="BV62" s="112"/>
      <c r="BW62" s="112"/>
      <c r="BX62" s="81">
        <f t="shared" si="72"/>
        <v>0</v>
      </c>
      <c r="BY62" s="85"/>
      <c r="BZ62" s="86"/>
      <c r="CA62" s="85"/>
      <c r="CB62" s="86"/>
      <c r="CC62" s="17"/>
      <c r="CD62" s="17"/>
    </row>
    <row r="63" ht="15.75" customHeight="1">
      <c r="A63" s="96"/>
      <c r="B63" s="151" t="s">
        <v>375</v>
      </c>
      <c r="G63" s="88"/>
      <c r="H63" s="88"/>
      <c r="I63" s="112"/>
      <c r="J63" s="112"/>
      <c r="K63" s="62"/>
      <c r="N63" s="167" t="s">
        <v>488</v>
      </c>
      <c r="O63" s="167" t="s">
        <v>491</v>
      </c>
      <c r="P63" s="594"/>
      <c r="S63" s="62"/>
      <c r="T63" s="17"/>
      <c r="U63" s="17"/>
      <c r="V63" s="17"/>
      <c r="W63" s="17"/>
      <c r="X63" s="17"/>
      <c r="AB63" s="62"/>
      <c r="AC63" s="112"/>
      <c r="AD63" s="112"/>
      <c r="AI63" s="174" t="s">
        <v>364</v>
      </c>
      <c r="AJ63" s="174" t="s">
        <v>286</v>
      </c>
      <c r="AK63" s="62"/>
      <c r="AP63" s="142"/>
      <c r="AQ63" s="106"/>
      <c r="AR63" s="142"/>
      <c r="AS63" s="106"/>
      <c r="AT63" s="62"/>
      <c r="AU63" s="647"/>
      <c r="AV63" s="649"/>
      <c r="BA63" s="55"/>
      <c r="BF63" s="17"/>
      <c r="BG63" s="17"/>
      <c r="BH63" s="17"/>
      <c r="BI63" s="279"/>
      <c r="BJ63" s="169"/>
      <c r="BK63" s="242"/>
      <c r="BL63" s="62"/>
      <c r="BM63" s="72">
        <f t="shared" ref="BM63:BO63" si="73">countif($K63:$BL63,BM$2)</f>
        <v>0</v>
      </c>
      <c r="BN63" s="74">
        <f t="shared" si="73"/>
        <v>0</v>
      </c>
      <c r="BO63" s="74">
        <f t="shared" si="73"/>
        <v>0</v>
      </c>
      <c r="BP63" s="81">
        <f>countif($C63:$BL64,"* (s)*")</f>
        <v>0</v>
      </c>
      <c r="BQ63" s="81">
        <f>countif($C63:$BL63,"*" &amp; BQ$2 &amp; "*")</f>
        <v>0</v>
      </c>
      <c r="BR63" s="112"/>
      <c r="BS63" s="112"/>
      <c r="BT63" s="81">
        <f>countif($C63:$BL63,"*SS (l)*") / 2</f>
        <v>1</v>
      </c>
      <c r="BU63" s="112"/>
      <c r="BV63" s="81">
        <f>countif($C63:$BL64,"*" &amp; "CID (s)" &amp; "*")/2</f>
        <v>0</v>
      </c>
      <c r="BW63" s="159">
        <f>countif($C63:$BL63,"*" &amp; "CID (l)" &amp; "*") /2</f>
        <v>0</v>
      </c>
      <c r="BX63" s="162">
        <f t="shared" si="72"/>
        <v>0</v>
      </c>
      <c r="BY63" s="587" t="s">
        <v>959</v>
      </c>
      <c r="BZ63" s="46"/>
      <c r="CA63" s="533" t="s">
        <v>960</v>
      </c>
      <c r="CB63" s="46"/>
      <c r="CC63" s="17"/>
      <c r="CD63" s="17"/>
    </row>
    <row r="64" ht="15.75" customHeight="1">
      <c r="A64" s="96"/>
      <c r="B64" s="151" t="s">
        <v>392</v>
      </c>
      <c r="G64" s="88"/>
      <c r="H64" s="88"/>
      <c r="I64" s="88"/>
      <c r="J64" s="88"/>
      <c r="K64" s="55"/>
      <c r="L64" s="594"/>
      <c r="M64" s="594"/>
      <c r="N64" s="594"/>
      <c r="O64" s="594"/>
      <c r="P64" s="594"/>
      <c r="Q64" s="594"/>
      <c r="R64" s="799"/>
      <c r="S64" s="223"/>
      <c r="T64" s="17"/>
      <c r="U64" s="17"/>
      <c r="V64" s="17"/>
      <c r="W64" s="17"/>
      <c r="X64" s="17"/>
      <c r="AB64" s="62"/>
      <c r="AE64" s="787"/>
      <c r="AF64" s="787"/>
      <c r="AI64" s="112"/>
      <c r="AJ64" s="112"/>
      <c r="AK64" s="62"/>
      <c r="AN64" s="801"/>
      <c r="AO64" s="801"/>
      <c r="AP64" s="85"/>
      <c r="AQ64" s="86"/>
      <c r="AR64" s="85"/>
      <c r="AS64" s="86"/>
      <c r="AT64" s="55"/>
      <c r="AU64" s="647"/>
      <c r="AV64" s="649"/>
      <c r="AY64" s="649"/>
      <c r="AZ64" s="649"/>
      <c r="BA64" s="55"/>
      <c r="BB64" s="54"/>
      <c r="BC64" s="54"/>
      <c r="BD64" s="54"/>
      <c r="BE64" s="54"/>
      <c r="BF64" s="17"/>
      <c r="BG64" s="17"/>
      <c r="BH64" s="17"/>
      <c r="BI64" s="279"/>
      <c r="BJ64" s="169"/>
      <c r="BK64" s="242"/>
      <c r="BL64" s="62"/>
      <c r="BM64" s="72">
        <f t="shared" ref="BM64:BO64" si="74">countif($K64:$BL64,BM$2)</f>
        <v>0</v>
      </c>
      <c r="BN64" s="74">
        <f t="shared" si="74"/>
        <v>0</v>
      </c>
      <c r="BO64" s="74">
        <f t="shared" si="74"/>
        <v>0</v>
      </c>
      <c r="BP64" s="96"/>
      <c r="BQ64" s="112"/>
      <c r="BR64" s="81">
        <f>(countif($C64:$BK66,"*ME (l)*") / 2)</f>
        <v>0</v>
      </c>
      <c r="BS64" s="81">
        <f>INT((countif($C64:$BK66,"*DE (l)*"))/2*100)/100</f>
        <v>0</v>
      </c>
      <c r="BT64" s="112"/>
      <c r="BU64" s="81">
        <f>(countif($C64:$BK66,"*CCP (l)*") + countif($C64:$BK66,"*CCP (l)*")) / 4</f>
        <v>0</v>
      </c>
      <c r="BV64" s="112"/>
      <c r="BW64" s="112"/>
      <c r="BX64" s="173">
        <f t="shared" si="72"/>
        <v>0</v>
      </c>
      <c r="BY64" s="142"/>
      <c r="BZ64" s="106"/>
      <c r="CA64" s="142"/>
      <c r="CB64" s="106"/>
      <c r="CC64" s="17"/>
      <c r="CD64" s="17"/>
    </row>
    <row r="65" ht="15.75" customHeight="1">
      <c r="A65" s="96"/>
      <c r="B65" s="151" t="s">
        <v>398</v>
      </c>
      <c r="G65" s="88"/>
      <c r="H65" s="88"/>
      <c r="K65" s="62"/>
      <c r="L65" s="594"/>
      <c r="M65" s="594"/>
      <c r="N65" s="594"/>
      <c r="P65" s="594"/>
      <c r="Q65" s="594"/>
      <c r="R65" s="594"/>
      <c r="S65" s="62"/>
      <c r="T65" s="270"/>
      <c r="U65" s="54"/>
      <c r="V65" s="54"/>
      <c r="W65" s="54"/>
      <c r="X65" s="54"/>
      <c r="AB65" s="62"/>
      <c r="AE65" s="787"/>
      <c r="AF65" s="787"/>
      <c r="AG65" s="787"/>
      <c r="AH65" s="787"/>
      <c r="AI65" s="787"/>
      <c r="AJ65" s="804"/>
      <c r="AK65" s="62"/>
      <c r="AN65" s="801"/>
      <c r="AO65" s="801"/>
      <c r="AT65" s="62"/>
      <c r="AY65" s="649"/>
      <c r="AZ65" s="649"/>
      <c r="BA65" s="62"/>
      <c r="BB65" s="270"/>
      <c r="BC65" s="54"/>
      <c r="BD65" s="54"/>
      <c r="BE65" s="54"/>
      <c r="BF65" s="54"/>
      <c r="BG65" s="54"/>
      <c r="BH65" s="54"/>
      <c r="BI65" s="279"/>
      <c r="BJ65" s="169"/>
      <c r="BK65" s="242"/>
      <c r="BL65" s="62"/>
      <c r="BM65" s="72">
        <f t="shared" ref="BM65:BO65" si="75">countif($I65:$BL65,BM$2)</f>
        <v>0</v>
      </c>
      <c r="BN65" s="74">
        <f t="shared" si="75"/>
        <v>0</v>
      </c>
      <c r="BO65" s="74">
        <f t="shared" si="75"/>
        <v>0</v>
      </c>
      <c r="BP65" s="81">
        <f>countif($C65:$BL66,"* (s)*")</f>
        <v>0</v>
      </c>
      <c r="BQ65" s="81">
        <f>countif($C65:$BL65,"*" &amp; BQ$2 &amp; "*")</f>
        <v>0</v>
      </c>
      <c r="BR65" s="96"/>
      <c r="BS65" s="96"/>
      <c r="BT65" s="81">
        <f>countif($C65:$BL65,"*SS (l)*") / 2</f>
        <v>0</v>
      </c>
      <c r="BU65" s="96"/>
      <c r="BV65" s="81">
        <f>countif($C65:$BL66,"*" &amp; "CID (s)" &amp; "*")/2</f>
        <v>0</v>
      </c>
      <c r="BW65" s="159">
        <f>countif($C65:$BL65,"*" &amp; "CID (l)" &amp; "*") /2</f>
        <v>0</v>
      </c>
      <c r="BX65" s="162">
        <f t="shared" ref="BX65:BX66" si="77">countif($I65:$BL65,"*" &amp; BX$2 &amp; "*")</f>
        <v>0</v>
      </c>
      <c r="BY65" s="142"/>
      <c r="BZ65" s="106"/>
      <c r="CA65" s="142"/>
      <c r="CB65" s="106"/>
      <c r="CC65" s="17"/>
      <c r="CD65" s="17"/>
    </row>
    <row r="66" ht="15.75" customHeight="1">
      <c r="A66" s="112"/>
      <c r="B66" s="151" t="s">
        <v>408</v>
      </c>
      <c r="C66" s="87"/>
      <c r="D66" s="87"/>
      <c r="E66" s="87"/>
      <c r="F66" s="806"/>
      <c r="G66" s="806"/>
      <c r="H66" s="806"/>
      <c r="I66" s="87"/>
      <c r="J66" s="87"/>
      <c r="K66" s="298"/>
      <c r="L66" s="759"/>
      <c r="M66" s="759"/>
      <c r="N66" s="759"/>
      <c r="O66" s="759"/>
      <c r="P66" s="759"/>
      <c r="Q66" s="759"/>
      <c r="R66" s="759"/>
      <c r="S66" s="298"/>
      <c r="T66" s="355"/>
      <c r="U66" s="229"/>
      <c r="V66" s="229"/>
      <c r="W66" s="229"/>
      <c r="X66" s="229"/>
      <c r="Y66" s="229"/>
      <c r="Z66" s="229"/>
      <c r="AA66" s="229"/>
      <c r="AB66" s="298"/>
      <c r="AC66" s="87"/>
      <c r="AD66" s="87"/>
      <c r="AE66" s="809"/>
      <c r="AF66" s="809"/>
      <c r="AG66" s="809"/>
      <c r="AH66" s="809"/>
      <c r="AI66" s="809"/>
      <c r="AJ66" s="812"/>
      <c r="AK66" s="298"/>
      <c r="AL66" s="87"/>
      <c r="AM66" s="87"/>
      <c r="AN66" s="815"/>
      <c r="AO66" s="815"/>
      <c r="AP66" s="87"/>
      <c r="AQ66" s="87"/>
      <c r="AR66" s="87"/>
      <c r="AS66" s="87"/>
      <c r="AT66" s="298"/>
      <c r="AU66" s="816"/>
      <c r="AV66" s="817"/>
      <c r="AW66" s="817"/>
      <c r="AX66" s="817"/>
      <c r="AY66" s="817"/>
      <c r="AZ66" s="817"/>
      <c r="BA66" s="298"/>
      <c r="BB66" s="355"/>
      <c r="BC66" s="229"/>
      <c r="BD66" s="229"/>
      <c r="BE66" s="229"/>
      <c r="BF66" s="229"/>
      <c r="BG66" s="229"/>
      <c r="BH66" s="229"/>
      <c r="BI66" s="760"/>
      <c r="BJ66" s="360"/>
      <c r="BK66" s="361"/>
      <c r="BL66" s="62"/>
      <c r="BM66" s="72">
        <f t="shared" ref="BM66:BO66" si="76">countif($I66:$BL66,BM$2)</f>
        <v>0</v>
      </c>
      <c r="BN66" s="74">
        <f t="shared" si="76"/>
        <v>0</v>
      </c>
      <c r="BO66" s="74">
        <f t="shared" si="76"/>
        <v>0</v>
      </c>
      <c r="BP66" s="112"/>
      <c r="BQ66" s="112"/>
      <c r="BR66" s="112"/>
      <c r="BS66" s="112"/>
      <c r="BT66" s="112"/>
      <c r="BU66" s="112"/>
      <c r="BV66" s="112"/>
      <c r="BW66" s="112"/>
      <c r="BX66" s="173">
        <f t="shared" si="77"/>
        <v>0</v>
      </c>
      <c r="BY66" s="85"/>
      <c r="BZ66" s="86"/>
      <c r="CA66" s="85"/>
      <c r="CB66" s="86"/>
      <c r="CC66" s="17"/>
      <c r="CD66" s="17"/>
    </row>
    <row r="67" hidden="1">
      <c r="A67" s="92"/>
      <c r="B67" s="820"/>
      <c r="C67" s="92"/>
      <c r="D67" s="92"/>
      <c r="E67" s="92"/>
      <c r="F67" s="92"/>
      <c r="G67" s="92"/>
      <c r="H67" s="92"/>
      <c r="I67" s="92"/>
      <c r="J67" s="92"/>
      <c r="K67" s="821"/>
      <c r="L67" s="92"/>
      <c r="M67" s="92"/>
      <c r="N67" s="92"/>
      <c r="O67" s="92"/>
      <c r="P67" s="92"/>
      <c r="Q67" s="92"/>
      <c r="R67" s="764"/>
      <c r="S67" s="821"/>
      <c r="T67" s="92"/>
      <c r="U67" s="92"/>
      <c r="V67" s="92"/>
      <c r="W67" s="92"/>
      <c r="X67" s="92"/>
      <c r="Y67" s="813"/>
      <c r="Z67" s="813"/>
      <c r="AA67" s="813"/>
      <c r="AB67" s="821"/>
      <c r="AC67" s="92"/>
      <c r="AD67" s="92"/>
      <c r="AE67" s="92"/>
      <c r="AF67" s="92"/>
      <c r="AG67" s="92"/>
      <c r="AH67" s="92"/>
      <c r="AI67" s="92"/>
      <c r="AJ67" s="92"/>
      <c r="AK67" s="821"/>
      <c r="AL67" s="92"/>
      <c r="AM67" s="92"/>
      <c r="AN67" s="92"/>
      <c r="AO67" s="92"/>
      <c r="AP67" s="92"/>
      <c r="AQ67" s="92"/>
      <c r="AR67" s="92"/>
      <c r="AS67" s="92"/>
      <c r="AT67" s="821"/>
      <c r="AU67" s="17"/>
      <c r="AV67" s="17"/>
      <c r="AW67" s="17"/>
      <c r="AX67" s="17"/>
      <c r="AY67" s="17"/>
      <c r="AZ67" s="17"/>
      <c r="BA67" s="821"/>
      <c r="BB67" s="92"/>
      <c r="BC67" s="92"/>
      <c r="BD67" s="92"/>
      <c r="BE67" s="92"/>
      <c r="BF67" s="92"/>
      <c r="BG67" s="92"/>
      <c r="BH67" s="92"/>
      <c r="BI67" s="92"/>
      <c r="BJ67" s="92"/>
      <c r="BK67" s="92"/>
      <c r="BL67" s="821"/>
      <c r="BM67" s="92"/>
      <c r="BN67" s="92"/>
      <c r="BO67" s="92"/>
      <c r="BP67" s="92"/>
      <c r="BQ67" s="818"/>
      <c r="BR67" s="54"/>
      <c r="BS67" s="54"/>
      <c r="BT67" s="818"/>
      <c r="BU67" s="818"/>
      <c r="BV67" s="818"/>
      <c r="BW67" s="92"/>
      <c r="BX67" s="92"/>
      <c r="BY67" s="17"/>
      <c r="BZ67" s="17"/>
      <c r="CA67" s="17"/>
      <c r="CB67" s="17"/>
      <c r="CC67" s="17"/>
      <c r="CD67" s="17"/>
    </row>
    <row r="68" hidden="1">
      <c r="A68" s="822" t="s">
        <v>1402</v>
      </c>
      <c r="B68" s="820"/>
      <c r="C68" s="92">
        <f>countif(C$5:C$57,"*" &amp; $A68 &amp; "*")</f>
        <v>0</v>
      </c>
      <c r="D68" s="17"/>
      <c r="E68" s="92"/>
      <c r="F68" s="92"/>
      <c r="G68" s="92"/>
      <c r="H68" s="92"/>
      <c r="I68" s="92"/>
      <c r="J68" s="92"/>
      <c r="K68" s="821"/>
      <c r="L68" s="92" t="str">
        <f t="shared" ref="L68:L69" si="78">countif(L$7:L$96,"*" &amp; $A68 &amp; "*")</f>
        <v>#REF!</v>
      </c>
      <c r="M68" s="92"/>
      <c r="N68" s="92"/>
      <c r="O68" s="92"/>
      <c r="P68" s="92"/>
      <c r="Q68" s="92"/>
      <c r="R68" s="92"/>
      <c r="S68" s="821"/>
      <c r="T68" s="92">
        <f t="shared" ref="T68:T75" si="79">countif(T$7:T$66,"*" &amp; $A68 &amp; "*")</f>
        <v>0</v>
      </c>
      <c r="U68" s="92"/>
      <c r="V68" s="92"/>
      <c r="W68" s="92"/>
      <c r="X68" s="92"/>
      <c r="Y68" s="813"/>
      <c r="Z68" s="813"/>
      <c r="AA68" s="813"/>
      <c r="AB68" s="821"/>
      <c r="AC68" s="92">
        <f t="shared" ref="AC68:AC75" si="80">countif(AC$12:AC$54,"*" &amp; $A68 &amp; "*")</f>
        <v>0</v>
      </c>
      <c r="AD68" s="92"/>
      <c r="AE68" s="92"/>
      <c r="AF68" s="92"/>
      <c r="AG68" s="92"/>
      <c r="AH68" s="92"/>
      <c r="AI68" s="92"/>
      <c r="AJ68" s="92"/>
      <c r="AK68" s="821"/>
      <c r="AL68" s="92">
        <f t="shared" ref="AL68:AL69" si="81">countif(AL$3:AL$45,"*" &amp; $A68 &amp; "*")</f>
        <v>0</v>
      </c>
      <c r="AM68" s="92"/>
      <c r="AN68" s="92"/>
      <c r="AO68" s="92"/>
      <c r="AP68" s="92"/>
      <c r="AQ68" s="92"/>
      <c r="AR68" s="92"/>
      <c r="AS68" s="92"/>
      <c r="AT68" s="821"/>
      <c r="AU68" s="92">
        <f t="shared" ref="AU68:AU75" si="82">countif(AU$7:AU$63,"*" &amp; $A68 &amp; "*")</f>
        <v>0</v>
      </c>
      <c r="AV68" s="17"/>
      <c r="AW68" s="17"/>
      <c r="AX68" s="17"/>
      <c r="AY68" s="17"/>
      <c r="AZ68" s="17"/>
      <c r="BA68" s="821"/>
      <c r="BB68" s="92">
        <f t="shared" ref="BB68:BB75" si="83">countif(BB$7:BB$66,"*" &amp; $A68 &amp; "*")</f>
        <v>1</v>
      </c>
      <c r="BC68" s="92"/>
      <c r="BD68" s="92"/>
      <c r="BE68" s="92"/>
      <c r="BF68" s="92"/>
      <c r="BG68" s="92"/>
      <c r="BH68" s="92"/>
      <c r="BI68" s="92"/>
      <c r="BJ68" s="92"/>
      <c r="BK68" s="92"/>
      <c r="BL68" s="821"/>
      <c r="BM68" s="92"/>
      <c r="BN68" s="92"/>
      <c r="BO68" s="92"/>
      <c r="BP68" s="92"/>
      <c r="BQ68" s="818"/>
      <c r="BR68" s="54"/>
      <c r="BS68" s="54"/>
      <c r="BT68" s="818"/>
      <c r="BU68" s="818"/>
      <c r="BV68" s="818"/>
      <c r="BW68" s="92"/>
      <c r="BX68" s="92"/>
      <c r="BY68" s="17"/>
      <c r="BZ68" s="17"/>
      <c r="CA68" s="17"/>
      <c r="CB68" s="17"/>
      <c r="CC68" s="17"/>
      <c r="CD68" s="17"/>
    </row>
    <row r="69" hidden="1">
      <c r="A69" s="822" t="s">
        <v>1403</v>
      </c>
      <c r="B69" s="820"/>
      <c r="C69" s="92">
        <f t="shared" ref="C69:C70" si="84">countif(C$7:C$57,"*" &amp; $A69 &amp; "*")</f>
        <v>0</v>
      </c>
      <c r="D69" s="17"/>
      <c r="E69" s="92"/>
      <c r="F69" s="92"/>
      <c r="G69" s="92"/>
      <c r="H69" s="92"/>
      <c r="I69" s="824"/>
      <c r="J69" s="824"/>
      <c r="K69" s="821"/>
      <c r="L69" s="92" t="str">
        <f t="shared" si="78"/>
        <v>#REF!</v>
      </c>
      <c r="M69" s="824"/>
      <c r="N69" s="824"/>
      <c r="O69" s="824"/>
      <c r="P69" s="824"/>
      <c r="Q69" s="824"/>
      <c r="R69" s="824"/>
      <c r="S69" s="821"/>
      <c r="T69" s="92">
        <f t="shared" si="79"/>
        <v>0</v>
      </c>
      <c r="U69" s="92"/>
      <c r="V69" s="92"/>
      <c r="W69" s="92"/>
      <c r="X69" s="92"/>
      <c r="Y69" s="813"/>
      <c r="Z69" s="813"/>
      <c r="AA69" s="813"/>
      <c r="AB69" s="821"/>
      <c r="AC69" s="92">
        <f t="shared" si="80"/>
        <v>0</v>
      </c>
      <c r="AD69" s="92"/>
      <c r="AE69" s="92"/>
      <c r="AF69" s="92"/>
      <c r="AG69" s="92"/>
      <c r="AH69" s="92"/>
      <c r="AI69" s="92"/>
      <c r="AJ69" s="92"/>
      <c r="AK69" s="821"/>
      <c r="AL69" s="92">
        <f t="shared" si="81"/>
        <v>0</v>
      </c>
      <c r="AM69" s="92"/>
      <c r="AN69" s="92"/>
      <c r="AO69" s="92"/>
      <c r="AP69" s="92"/>
      <c r="AQ69" s="92"/>
      <c r="AR69" s="92"/>
      <c r="AS69" s="92"/>
      <c r="AT69" s="821"/>
      <c r="AU69" s="92">
        <f t="shared" si="82"/>
        <v>0</v>
      </c>
      <c r="AV69" s="17"/>
      <c r="AW69" s="17"/>
      <c r="AX69" s="17"/>
      <c r="AY69" s="17"/>
      <c r="AZ69" s="17"/>
      <c r="BA69" s="821"/>
      <c r="BB69" s="92">
        <f t="shared" si="83"/>
        <v>0</v>
      </c>
      <c r="BC69" s="92"/>
      <c r="BD69" s="92"/>
      <c r="BE69" s="92"/>
      <c r="BF69" s="92"/>
      <c r="BG69" s="92"/>
      <c r="BH69" s="92"/>
      <c r="BI69" s="92"/>
      <c r="BJ69" s="92"/>
      <c r="BK69" s="92"/>
      <c r="BL69" s="825"/>
      <c r="BM69" s="92"/>
      <c r="BN69" s="92"/>
      <c r="BO69" s="92"/>
      <c r="BP69" s="92"/>
      <c r="BQ69" s="818"/>
      <c r="BR69" s="54"/>
      <c r="BS69" s="54"/>
      <c r="BT69" s="818"/>
      <c r="BU69" s="818"/>
      <c r="BV69" s="818"/>
      <c r="BW69" s="92"/>
      <c r="BX69" s="92"/>
      <c r="BY69" s="17"/>
      <c r="BZ69" s="17"/>
      <c r="CA69" s="17"/>
      <c r="CB69" s="17"/>
      <c r="CC69" s="17"/>
      <c r="CD69" s="17"/>
    </row>
    <row r="70" hidden="1">
      <c r="A70" s="822" t="s">
        <v>1405</v>
      </c>
      <c r="B70" s="820"/>
      <c r="C70" s="92">
        <f t="shared" si="84"/>
        <v>0</v>
      </c>
      <c r="D70" s="17"/>
      <c r="E70" s="92"/>
      <c r="F70" s="92"/>
      <c r="G70" s="92"/>
      <c r="H70" s="92"/>
      <c r="I70" s="17"/>
      <c r="J70" s="17"/>
      <c r="K70" s="821"/>
      <c r="L70" s="92" t="str">
        <f>countif(L$3:L$96,"*" &amp; $A70 &amp; "*")</f>
        <v>#REF!</v>
      </c>
      <c r="M70" s="824"/>
      <c r="N70" s="824"/>
      <c r="O70" s="824"/>
      <c r="P70" s="824"/>
      <c r="Q70" s="824"/>
      <c r="R70" s="824"/>
      <c r="S70" s="821"/>
      <c r="T70" s="92">
        <f t="shared" si="79"/>
        <v>1</v>
      </c>
      <c r="U70" s="92"/>
      <c r="V70" s="92"/>
      <c r="W70" s="92"/>
      <c r="X70" s="92"/>
      <c r="Y70" s="813"/>
      <c r="Z70" s="813"/>
      <c r="AA70" s="813"/>
      <c r="AB70" s="821"/>
      <c r="AC70" s="92">
        <f t="shared" si="80"/>
        <v>1</v>
      </c>
      <c r="AD70" s="92"/>
      <c r="AE70" s="92"/>
      <c r="AF70" s="92"/>
      <c r="AG70" s="92"/>
      <c r="AH70" s="92"/>
      <c r="AI70" s="92"/>
      <c r="AJ70" s="92"/>
      <c r="AK70" s="821"/>
      <c r="AL70" s="92">
        <f>countif(AL$3:AQ$60,"*" &amp; $A70 &amp; "*")</f>
        <v>1</v>
      </c>
      <c r="AM70" s="92"/>
      <c r="AN70" s="92"/>
      <c r="AO70" s="92"/>
      <c r="AP70" s="92"/>
      <c r="AQ70" s="92"/>
      <c r="AR70" s="92"/>
      <c r="AS70" s="92"/>
      <c r="AT70" s="821"/>
      <c r="AU70" s="92">
        <f t="shared" si="82"/>
        <v>1</v>
      </c>
      <c r="AV70" s="17"/>
      <c r="AW70" s="17"/>
      <c r="AX70" s="17"/>
      <c r="AY70" s="17"/>
      <c r="AZ70" s="17"/>
      <c r="BA70" s="821"/>
      <c r="BB70" s="92">
        <f t="shared" si="83"/>
        <v>0</v>
      </c>
      <c r="BC70" s="92"/>
      <c r="BD70" s="92"/>
      <c r="BE70" s="92"/>
      <c r="BF70" s="92"/>
      <c r="BG70" s="92"/>
      <c r="BH70" s="92"/>
      <c r="BI70" s="92"/>
      <c r="BJ70" s="92"/>
      <c r="BK70" s="92"/>
      <c r="BL70" s="825"/>
      <c r="BM70" s="92"/>
      <c r="BN70" s="92"/>
      <c r="BO70" s="92"/>
      <c r="BP70" s="92"/>
      <c r="BQ70" s="818"/>
      <c r="BR70" s="54"/>
      <c r="BS70" s="54"/>
      <c r="BT70" s="818"/>
      <c r="BU70" s="818"/>
      <c r="BV70" s="818"/>
      <c r="BW70" s="92"/>
      <c r="BX70" s="92"/>
      <c r="BY70" s="17"/>
      <c r="BZ70" s="17"/>
      <c r="CA70" s="17"/>
      <c r="CB70" s="17"/>
      <c r="CC70" s="17"/>
      <c r="CD70" s="17"/>
    </row>
    <row r="71" hidden="1">
      <c r="A71" s="822" t="s">
        <v>1406</v>
      </c>
      <c r="B71" s="820"/>
      <c r="C71" s="92">
        <f>countif(C$5:C$57,"*" &amp; $A71 &amp; "*")</f>
        <v>1</v>
      </c>
      <c r="D71" s="17"/>
      <c r="E71" s="92"/>
      <c r="F71" s="92"/>
      <c r="G71" s="92"/>
      <c r="H71" s="92"/>
      <c r="I71" s="17"/>
      <c r="J71" s="17"/>
      <c r="K71" s="821"/>
      <c r="L71" s="92" t="str">
        <f>countif(L$7:L$96,"*" &amp; $A71 &amp; "*")</f>
        <v>#REF!</v>
      </c>
      <c r="M71" s="824"/>
      <c r="N71" s="824"/>
      <c r="O71" s="824"/>
      <c r="P71" s="824"/>
      <c r="Q71" s="824"/>
      <c r="R71" s="824"/>
      <c r="S71" s="821"/>
      <c r="T71" s="92">
        <f t="shared" si="79"/>
        <v>1</v>
      </c>
      <c r="U71" s="92"/>
      <c r="V71" s="92"/>
      <c r="W71" s="92"/>
      <c r="X71" s="92"/>
      <c r="Y71" s="813"/>
      <c r="Z71" s="813"/>
      <c r="AA71" s="813"/>
      <c r="AB71" s="821"/>
      <c r="AC71" s="92">
        <f t="shared" si="80"/>
        <v>1</v>
      </c>
      <c r="AD71" s="92"/>
      <c r="AE71" s="92"/>
      <c r="AF71" s="92"/>
      <c r="AG71" s="92"/>
      <c r="AH71" s="92"/>
      <c r="AI71" s="92"/>
      <c r="AJ71" s="92"/>
      <c r="AK71" s="821"/>
      <c r="AL71" s="92">
        <f t="shared" ref="AL71:AL75" si="85">countif(AL$3:AL$45,"*" &amp; $A71 &amp; "*")</f>
        <v>1</v>
      </c>
      <c r="AM71" s="92"/>
      <c r="AN71" s="92"/>
      <c r="AO71" s="92"/>
      <c r="AP71" s="92"/>
      <c r="AQ71" s="92"/>
      <c r="AR71" s="92"/>
      <c r="AS71" s="92"/>
      <c r="AT71" s="821"/>
      <c r="AU71" s="92">
        <f t="shared" si="82"/>
        <v>1</v>
      </c>
      <c r="AV71" s="17"/>
      <c r="AW71" s="17"/>
      <c r="AX71" s="17"/>
      <c r="AY71" s="17"/>
      <c r="AZ71" s="17"/>
      <c r="BA71" s="821"/>
      <c r="BB71" s="92">
        <f t="shared" si="83"/>
        <v>0</v>
      </c>
      <c r="BC71" s="92"/>
      <c r="BD71" s="92"/>
      <c r="BE71" s="92"/>
      <c r="BF71" s="92"/>
      <c r="BG71" s="92"/>
      <c r="BH71" s="92"/>
      <c r="BI71" s="92"/>
      <c r="BJ71" s="92"/>
      <c r="BK71" s="92"/>
      <c r="BL71" s="825"/>
      <c r="BM71" s="92"/>
      <c r="BN71" s="92"/>
      <c r="BO71" s="92"/>
      <c r="BP71" s="92"/>
      <c r="BQ71" s="818"/>
      <c r="BR71" s="54"/>
      <c r="BS71" s="54"/>
      <c r="BT71" s="818"/>
      <c r="BU71" s="818"/>
      <c r="BV71" s="818"/>
      <c r="BW71" s="92"/>
      <c r="BX71" s="92"/>
      <c r="BY71" s="17"/>
      <c r="BZ71" s="17"/>
      <c r="CA71" s="17"/>
      <c r="CB71" s="17"/>
      <c r="CC71" s="17"/>
      <c r="CD71" s="17"/>
    </row>
    <row r="72" hidden="1">
      <c r="A72" s="822" t="s">
        <v>1408</v>
      </c>
      <c r="B72" s="820"/>
      <c r="C72" s="92">
        <f>countif(C$7:C$57,"*" &amp; $A72 &amp; "*")</f>
        <v>0</v>
      </c>
      <c r="D72" s="17"/>
      <c r="E72" s="92"/>
      <c r="F72" s="92"/>
      <c r="G72" s="92"/>
      <c r="H72" s="92"/>
      <c r="I72" s="824"/>
      <c r="J72" s="824"/>
      <c r="K72" s="821"/>
      <c r="L72" s="92" t="str">
        <f>countif(L$3:L$96,"*" &amp; $A72 &amp; "*")</f>
        <v>#REF!</v>
      </c>
      <c r="M72" s="824"/>
      <c r="N72" s="824"/>
      <c r="O72" s="824"/>
      <c r="P72" s="824"/>
      <c r="Q72" s="824"/>
      <c r="R72" s="824"/>
      <c r="S72" s="821"/>
      <c r="T72" s="92">
        <f t="shared" si="79"/>
        <v>0</v>
      </c>
      <c r="U72" s="92"/>
      <c r="V72" s="92"/>
      <c r="W72" s="92"/>
      <c r="X72" s="92"/>
      <c r="Y72" s="813"/>
      <c r="Z72" s="813"/>
      <c r="AA72" s="813"/>
      <c r="AB72" s="821"/>
      <c r="AC72" s="92">
        <f t="shared" si="80"/>
        <v>0</v>
      </c>
      <c r="AD72" s="92"/>
      <c r="AE72" s="92"/>
      <c r="AF72" s="92"/>
      <c r="AG72" s="92"/>
      <c r="AH72" s="92"/>
      <c r="AI72" s="92"/>
      <c r="AJ72" s="92"/>
      <c r="AK72" s="821"/>
      <c r="AL72" s="92">
        <f t="shared" si="85"/>
        <v>0</v>
      </c>
      <c r="AM72" s="92"/>
      <c r="AN72" s="92"/>
      <c r="AO72" s="92"/>
      <c r="AP72" s="92"/>
      <c r="AQ72" s="92"/>
      <c r="AR72" s="92"/>
      <c r="AS72" s="92"/>
      <c r="AT72" s="821"/>
      <c r="AU72" s="92">
        <f t="shared" si="82"/>
        <v>0</v>
      </c>
      <c r="AV72" s="17"/>
      <c r="AW72" s="17"/>
      <c r="AX72" s="17"/>
      <c r="AY72" s="17"/>
      <c r="AZ72" s="17"/>
      <c r="BA72" s="821"/>
      <c r="BB72" s="92">
        <f t="shared" si="83"/>
        <v>0</v>
      </c>
      <c r="BC72" s="92"/>
      <c r="BD72" s="92"/>
      <c r="BE72" s="92"/>
      <c r="BF72" s="92"/>
      <c r="BG72" s="92"/>
      <c r="BH72" s="92"/>
      <c r="BI72" s="92"/>
      <c r="BJ72" s="92"/>
      <c r="BK72" s="92"/>
      <c r="BL72" s="825"/>
      <c r="BM72" s="92"/>
      <c r="BN72" s="92"/>
      <c r="BO72" s="92"/>
      <c r="BP72" s="92"/>
      <c r="BQ72" s="818"/>
      <c r="BR72" s="54"/>
      <c r="BS72" s="54"/>
      <c r="BT72" s="818"/>
      <c r="BU72" s="818"/>
      <c r="BV72" s="818"/>
      <c r="BW72" s="92"/>
      <c r="BX72" s="92"/>
      <c r="BY72" s="17"/>
      <c r="BZ72" s="17"/>
      <c r="CA72" s="17"/>
      <c r="CB72" s="17"/>
      <c r="CC72" s="17"/>
      <c r="CD72" s="17"/>
    </row>
    <row r="73" hidden="1">
      <c r="A73" s="828" t="s">
        <v>1412</v>
      </c>
      <c r="B73" s="820"/>
      <c r="C73" s="92">
        <f>countif(C$5:C$57,"*" &amp; $A73 &amp; "*")</f>
        <v>0</v>
      </c>
      <c r="D73" s="17"/>
      <c r="E73" s="92"/>
      <c r="F73" s="92"/>
      <c r="G73" s="92"/>
      <c r="H73" s="92"/>
      <c r="I73" s="824"/>
      <c r="J73" s="824"/>
      <c r="K73" s="821"/>
      <c r="L73" s="92" t="str">
        <f t="shared" ref="L73:L75" si="86">countif(L$7:L$96,"*" &amp; $A73 &amp; "*")</f>
        <v>#REF!</v>
      </c>
      <c r="M73" s="824"/>
      <c r="N73" s="824"/>
      <c r="O73" s="824"/>
      <c r="P73" s="824"/>
      <c r="Q73" s="824"/>
      <c r="R73" s="824"/>
      <c r="S73" s="821"/>
      <c r="T73" s="92">
        <f t="shared" si="79"/>
        <v>0</v>
      </c>
      <c r="U73" s="92"/>
      <c r="V73" s="92"/>
      <c r="W73" s="92"/>
      <c r="X73" s="92"/>
      <c r="Y73" s="813"/>
      <c r="Z73" s="813"/>
      <c r="AA73" s="813"/>
      <c r="AB73" s="821"/>
      <c r="AC73" s="92">
        <f t="shared" si="80"/>
        <v>0</v>
      </c>
      <c r="AD73" s="92"/>
      <c r="AE73" s="92"/>
      <c r="AF73" s="92"/>
      <c r="AG73" s="92"/>
      <c r="AH73" s="92"/>
      <c r="AI73" s="92"/>
      <c r="AJ73" s="92"/>
      <c r="AK73" s="821"/>
      <c r="AL73" s="92">
        <f t="shared" si="85"/>
        <v>0</v>
      </c>
      <c r="AM73" s="92"/>
      <c r="AN73" s="92"/>
      <c r="AO73" s="92"/>
      <c r="AP73" s="92"/>
      <c r="AQ73" s="92"/>
      <c r="AR73" s="92"/>
      <c r="AS73" s="92"/>
      <c r="AT73" s="821"/>
      <c r="AU73" s="92">
        <f t="shared" si="82"/>
        <v>0</v>
      </c>
      <c r="AV73" s="17"/>
      <c r="AW73" s="17"/>
      <c r="AX73" s="17"/>
      <c r="AY73" s="17"/>
      <c r="AZ73" s="17"/>
      <c r="BA73" s="821"/>
      <c r="BB73" s="92">
        <f t="shared" si="83"/>
        <v>0</v>
      </c>
      <c r="BC73" s="92"/>
      <c r="BD73" s="92"/>
      <c r="BE73" s="92"/>
      <c r="BF73" s="92"/>
      <c r="BG73" s="92"/>
      <c r="BH73" s="92"/>
      <c r="BI73" s="92"/>
      <c r="BJ73" s="92"/>
      <c r="BK73" s="92"/>
      <c r="BL73" s="825"/>
      <c r="BM73" s="92"/>
      <c r="BN73" s="92"/>
      <c r="BO73" s="92"/>
      <c r="BP73" s="92"/>
      <c r="BQ73" s="818"/>
      <c r="BR73" s="54"/>
      <c r="BS73" s="54"/>
      <c r="BT73" s="818"/>
      <c r="BU73" s="818"/>
      <c r="BV73" s="818"/>
      <c r="BW73" s="92"/>
      <c r="BX73" s="92"/>
      <c r="BY73" s="17"/>
      <c r="BZ73" s="17"/>
      <c r="CA73" s="17"/>
      <c r="CB73" s="17"/>
      <c r="CC73" s="17"/>
      <c r="CD73" s="17"/>
    </row>
    <row r="74" hidden="1">
      <c r="A74" s="828" t="s">
        <v>1416</v>
      </c>
      <c r="B74" s="820"/>
      <c r="C74" s="92">
        <f t="shared" ref="C74:C75" si="87">countif(C$7:C$57,"*" &amp; $A74 &amp; "*")</f>
        <v>0</v>
      </c>
      <c r="D74" s="17"/>
      <c r="E74" s="92"/>
      <c r="F74" s="92"/>
      <c r="G74" s="92"/>
      <c r="H74" s="92"/>
      <c r="I74" s="824"/>
      <c r="J74" s="824"/>
      <c r="K74" s="821"/>
      <c r="L74" s="92" t="str">
        <f t="shared" si="86"/>
        <v>#REF!</v>
      </c>
      <c r="M74" s="824"/>
      <c r="N74" s="824"/>
      <c r="O74" s="824"/>
      <c r="P74" s="824"/>
      <c r="Q74" s="824"/>
      <c r="R74" s="824"/>
      <c r="S74" s="821"/>
      <c r="T74" s="92">
        <f t="shared" si="79"/>
        <v>0</v>
      </c>
      <c r="U74" s="92"/>
      <c r="V74" s="92"/>
      <c r="W74" s="92"/>
      <c r="X74" s="92"/>
      <c r="Y74" s="813"/>
      <c r="Z74" s="813"/>
      <c r="AA74" s="813"/>
      <c r="AB74" s="821"/>
      <c r="AC74" s="92">
        <f t="shared" si="80"/>
        <v>0</v>
      </c>
      <c r="AD74" s="92"/>
      <c r="AE74" s="92"/>
      <c r="AF74" s="92"/>
      <c r="AG74" s="92"/>
      <c r="AH74" s="92"/>
      <c r="AI74" s="92"/>
      <c r="AJ74" s="92"/>
      <c r="AK74" s="821"/>
      <c r="AL74" s="92">
        <f t="shared" si="85"/>
        <v>0</v>
      </c>
      <c r="AM74" s="92"/>
      <c r="AN74" s="92"/>
      <c r="AO74" s="92"/>
      <c r="AP74" s="92"/>
      <c r="AQ74" s="92"/>
      <c r="AR74" s="92"/>
      <c r="AS74" s="92"/>
      <c r="AT74" s="821"/>
      <c r="AU74" s="92">
        <f t="shared" si="82"/>
        <v>0</v>
      </c>
      <c r="AV74" s="17"/>
      <c r="AW74" s="17"/>
      <c r="AX74" s="17"/>
      <c r="AY74" s="17"/>
      <c r="AZ74" s="17"/>
      <c r="BA74" s="821"/>
      <c r="BB74" s="92">
        <f t="shared" si="83"/>
        <v>0</v>
      </c>
      <c r="BC74" s="92"/>
      <c r="BD74" s="92"/>
      <c r="BE74" s="92"/>
      <c r="BF74" s="92"/>
      <c r="BG74" s="92"/>
      <c r="BH74" s="92"/>
      <c r="BI74" s="92"/>
      <c r="BJ74" s="92"/>
      <c r="BK74" s="92"/>
      <c r="BL74" s="825"/>
      <c r="BM74" s="92"/>
      <c r="BN74" s="92"/>
      <c r="BO74" s="92"/>
      <c r="BP74" s="92"/>
      <c r="BQ74" s="818"/>
      <c r="BR74" s="54"/>
      <c r="BS74" s="54"/>
      <c r="BT74" s="818"/>
      <c r="BU74" s="818"/>
      <c r="BV74" s="818"/>
      <c r="BW74" s="92"/>
      <c r="BX74" s="92"/>
      <c r="BY74" s="17"/>
      <c r="BZ74" s="17"/>
      <c r="CA74" s="17"/>
      <c r="CB74" s="17"/>
      <c r="CC74" s="17"/>
      <c r="CD74" s="17"/>
    </row>
    <row r="75" hidden="1">
      <c r="A75" s="828" t="s">
        <v>1418</v>
      </c>
      <c r="B75" s="820"/>
      <c r="C75" s="92">
        <f t="shared" si="87"/>
        <v>1</v>
      </c>
      <c r="D75" s="17"/>
      <c r="E75" s="92"/>
      <c r="F75" s="92"/>
      <c r="G75" s="92"/>
      <c r="H75" s="92"/>
      <c r="I75" s="824"/>
      <c r="J75" s="824"/>
      <c r="K75" s="821"/>
      <c r="L75" s="92" t="str">
        <f t="shared" si="86"/>
        <v>#REF!</v>
      </c>
      <c r="M75" s="824"/>
      <c r="N75" s="824"/>
      <c r="O75" s="824"/>
      <c r="P75" s="824"/>
      <c r="Q75" s="824"/>
      <c r="R75" s="824"/>
      <c r="S75" s="821"/>
      <c r="T75" s="92">
        <f t="shared" si="79"/>
        <v>1</v>
      </c>
      <c r="U75" s="92"/>
      <c r="V75" s="92"/>
      <c r="W75" s="92"/>
      <c r="X75" s="92"/>
      <c r="Y75" s="813"/>
      <c r="Z75" s="813"/>
      <c r="AA75" s="813"/>
      <c r="AB75" s="821"/>
      <c r="AC75" s="92">
        <f t="shared" si="80"/>
        <v>1</v>
      </c>
      <c r="AD75" s="92"/>
      <c r="AE75" s="92"/>
      <c r="AF75" s="92"/>
      <c r="AG75" s="92"/>
      <c r="AH75" s="92"/>
      <c r="AI75" s="92"/>
      <c r="AJ75" s="92"/>
      <c r="AK75" s="821"/>
      <c r="AL75" s="92">
        <f t="shared" si="85"/>
        <v>1</v>
      </c>
      <c r="AM75" s="92"/>
      <c r="AN75" s="92"/>
      <c r="AO75" s="92"/>
      <c r="AP75" s="92"/>
      <c r="AQ75" s="92"/>
      <c r="AR75" s="92"/>
      <c r="AS75" s="92"/>
      <c r="AT75" s="821"/>
      <c r="AU75" s="92">
        <f t="shared" si="82"/>
        <v>1</v>
      </c>
      <c r="AV75" s="17"/>
      <c r="AW75" s="17"/>
      <c r="AX75" s="17"/>
      <c r="AY75" s="17"/>
      <c r="AZ75" s="17"/>
      <c r="BA75" s="821"/>
      <c r="BB75" s="92">
        <f t="shared" si="83"/>
        <v>1</v>
      </c>
      <c r="BC75" s="92"/>
      <c r="BD75" s="92"/>
      <c r="BE75" s="92"/>
      <c r="BF75" s="92"/>
      <c r="BG75" s="92"/>
      <c r="BH75" s="92"/>
      <c r="BI75" s="92"/>
      <c r="BJ75" s="92"/>
      <c r="BK75" s="92"/>
      <c r="BL75" s="825"/>
      <c r="BM75" s="92"/>
      <c r="BN75" s="92"/>
      <c r="BO75" s="92"/>
      <c r="BP75" s="92"/>
      <c r="BQ75" s="818"/>
      <c r="BR75" s="54"/>
      <c r="BS75" s="54"/>
      <c r="BT75" s="818"/>
      <c r="BU75" s="818"/>
      <c r="BV75" s="818"/>
      <c r="BW75" s="92"/>
      <c r="BX75" s="92"/>
      <c r="BY75" s="17"/>
      <c r="BZ75" s="17"/>
      <c r="CA75" s="17"/>
      <c r="CB75" s="17"/>
      <c r="CC75" s="17"/>
      <c r="CD75" s="17"/>
    </row>
    <row r="76" hidden="1">
      <c r="A76" s="822"/>
      <c r="B76" s="820"/>
      <c r="C76" s="92"/>
      <c r="D76" s="92"/>
      <c r="E76" s="92"/>
      <c r="F76" s="92"/>
      <c r="G76" s="92"/>
      <c r="H76" s="92"/>
      <c r="I76" s="92"/>
      <c r="J76" s="92"/>
      <c r="K76" s="821"/>
      <c r="L76" s="92"/>
      <c r="M76" s="92"/>
      <c r="N76" s="92"/>
      <c r="O76" s="92"/>
      <c r="P76" s="92"/>
      <c r="Q76" s="92"/>
      <c r="R76" s="92"/>
      <c r="S76" s="821"/>
      <c r="T76" s="92"/>
      <c r="U76" s="92"/>
      <c r="V76" s="92"/>
      <c r="W76" s="92"/>
      <c r="X76" s="92"/>
      <c r="Y76" s="813"/>
      <c r="Z76" s="813"/>
      <c r="AA76" s="813"/>
      <c r="AB76" s="821"/>
      <c r="AC76" s="92"/>
      <c r="AD76" s="92"/>
      <c r="AE76" s="92"/>
      <c r="AF76" s="92"/>
      <c r="AG76" s="92"/>
      <c r="AH76" s="92"/>
      <c r="AI76" s="92"/>
      <c r="AJ76" s="92"/>
      <c r="AK76" s="821"/>
      <c r="AL76" s="92"/>
      <c r="AM76" s="92"/>
      <c r="AN76" s="92"/>
      <c r="AO76" s="92"/>
      <c r="AP76" s="92"/>
      <c r="AQ76" s="92"/>
      <c r="AR76" s="92"/>
      <c r="AS76" s="92"/>
      <c r="AT76" s="821"/>
      <c r="AU76" s="92"/>
      <c r="AV76" s="92"/>
      <c r="AW76" s="92"/>
      <c r="AX76" s="92"/>
      <c r="AY76" s="92"/>
      <c r="AZ76" s="92"/>
      <c r="BA76" s="821"/>
      <c r="BB76" s="92"/>
      <c r="BC76" s="92"/>
      <c r="BD76" s="92"/>
      <c r="BE76" s="92"/>
      <c r="BF76" s="92"/>
      <c r="BG76" s="92"/>
      <c r="BH76" s="92"/>
      <c r="BI76" s="92"/>
      <c r="BJ76" s="92"/>
      <c r="BK76" s="92"/>
      <c r="BL76" s="825"/>
      <c r="BM76" s="92"/>
      <c r="BN76" s="92"/>
      <c r="BO76" s="92"/>
      <c r="BP76" s="92"/>
      <c r="BQ76" s="818"/>
      <c r="BR76" s="54"/>
      <c r="BS76" s="54"/>
      <c r="BT76" s="818"/>
      <c r="BU76" s="818"/>
      <c r="BV76" s="818"/>
      <c r="BW76" s="92"/>
      <c r="BX76" s="92"/>
      <c r="BY76" s="17"/>
      <c r="BZ76" s="17"/>
      <c r="CA76" s="17"/>
      <c r="CB76" s="17"/>
      <c r="CC76" s="17"/>
      <c r="CD76" s="17"/>
    </row>
    <row r="77" hidden="1">
      <c r="A77" s="822" t="s">
        <v>1421</v>
      </c>
      <c r="B77" s="828" t="s">
        <v>1422</v>
      </c>
      <c r="C77" s="92">
        <f t="shared" ref="C77:C84" si="88">countif(C$5:C$57,"*" &amp; $A77 &amp; "*")</f>
        <v>0</v>
      </c>
      <c r="E77" s="92">
        <f t="shared" ref="E77:E83" si="89">countif(E$7:E$60,"*" &amp; $A77 &amp; "*")</f>
        <v>0</v>
      </c>
      <c r="G77" s="92">
        <f t="shared" ref="G77:G84" si="90">countif(G$9:G$60,"*" &amp; $A77 &amp; "*")</f>
        <v>1</v>
      </c>
      <c r="I77" s="92"/>
      <c r="J77" s="92"/>
      <c r="K77" s="821"/>
      <c r="L77" s="92" t="str">
        <f t="shared" ref="L77:L83" si="91">countif(L$3:L$96,"*" &amp; $A77 &amp; "*")</f>
        <v>#REF!</v>
      </c>
      <c r="N77" s="92" t="str">
        <f t="shared" ref="N77:N80" si="92">countif(N$3:N$96,"*" &amp; $A77 &amp; "*")</f>
        <v>#REF!</v>
      </c>
      <c r="P77" s="92">
        <f t="shared" ref="P77:P83" si="93">countif(P$3:P$62,"*" &amp; $A77 &amp; "*")</f>
        <v>1</v>
      </c>
      <c r="R77" s="92" t="str">
        <f t="shared" ref="R77:R83" si="94">countif(R$3:R$96,"*" &amp; $A77 &amp; "*")</f>
        <v>#REF!</v>
      </c>
      <c r="S77" s="821"/>
      <c r="T77" s="92">
        <f t="shared" ref="T77:T83" si="95">countif(T$7:T$66,"*" &amp; $A77 &amp; "*")</f>
        <v>1</v>
      </c>
      <c r="V77" s="92">
        <f t="shared" ref="V77:V83" si="96">countif(V$3:V$66,"*" &amp; $A77 &amp; "*")</f>
        <v>1</v>
      </c>
      <c r="X77" s="92">
        <f t="shared" ref="X77:X83" si="97">countif(X$7:X$66,"*" &amp; $A77 &amp; "*")</f>
        <v>0</v>
      </c>
      <c r="Y77" s="813"/>
      <c r="Z77" s="813"/>
      <c r="AA77" s="813"/>
      <c r="AB77" s="821"/>
      <c r="AC77" s="92">
        <f t="shared" ref="AC77:AC83" si="98">countif(AC$7:AC$54,"*" &amp; $A77 &amp; "*")</f>
        <v>1</v>
      </c>
      <c r="AE77" s="92">
        <f t="shared" ref="AE77:AE83" si="99">countif(AE$9:AE$60,"*" &amp; $A77 &amp; "*")</f>
        <v>1</v>
      </c>
      <c r="AG77" s="92"/>
      <c r="AH77" s="92"/>
      <c r="AI77" s="92"/>
      <c r="AJ77" s="92"/>
      <c r="AK77" s="821"/>
      <c r="AL77" s="92">
        <f t="shared" ref="AL77:AL79" si="100">countif(AL$3:AL$45,"*" &amp; $A77 &amp; "*")</f>
        <v>1</v>
      </c>
      <c r="AN77" s="92">
        <f>countif(AN$3:AN$10,"*" &amp; $A77 &amp; "*")</f>
        <v>0</v>
      </c>
      <c r="AP77" s="92">
        <f t="shared" ref="AP77:AP83" si="101">countif(AP$3:AP$64,"*" &amp; $A77 &amp; "*")</f>
        <v>1</v>
      </c>
      <c r="AR77" s="92"/>
      <c r="AS77" s="92"/>
      <c r="AT77" s="821"/>
      <c r="AU77" s="92">
        <f t="shared" ref="AU77:AU81" si="102">countif(AU$3:AU$63,"*" &amp; $A77 &amp; "*")</f>
        <v>1</v>
      </c>
      <c r="AW77" s="92">
        <f t="shared" ref="AW77:AW80" si="103">countif(AW$3:AW$66,"*" &amp; $A77 &amp; "*")</f>
        <v>1</v>
      </c>
      <c r="AY77" s="92">
        <f t="shared" ref="AY77:AY80" si="104">countif(AY$5:AY$66,"*" &amp; $A77 &amp; "*")</f>
        <v>1</v>
      </c>
      <c r="AZ77" s="92"/>
      <c r="BA77" s="821"/>
      <c r="BB77" s="92">
        <f t="shared" ref="BB77:BB84" si="105">countif(BB$3:BB$66,"*" &amp; $A77 &amp; "*")</f>
        <v>1</v>
      </c>
      <c r="BD77" s="92">
        <f t="shared" ref="BD77:BD84" si="106">countif(BD$3:BD$66,"*" &amp; $A77 &amp; "*")</f>
        <v>1</v>
      </c>
      <c r="BF77" s="92">
        <f>countif(BF$3:BF$66,"*" &amp; $A77 &amp; "*")</f>
        <v>1</v>
      </c>
      <c r="BI77" s="92"/>
      <c r="BJ77" s="92">
        <f t="shared" ref="BJ77:BJ80" si="107">countif(BJ$3:BJ$66,"*" &amp; $A77 &amp; "*")</f>
        <v>0</v>
      </c>
      <c r="BL77" s="825"/>
      <c r="BM77" s="92"/>
      <c r="BN77" s="92"/>
      <c r="BO77" s="92"/>
      <c r="BP77" s="92"/>
      <c r="BQ77" s="818"/>
      <c r="BR77" s="54"/>
      <c r="BS77" s="54"/>
      <c r="BT77" s="818"/>
      <c r="BU77" s="818"/>
      <c r="BV77" s="818"/>
      <c r="BW77" s="92"/>
      <c r="BX77" s="92"/>
      <c r="BY77" s="17"/>
      <c r="BZ77" s="17"/>
      <c r="CA77" s="17"/>
      <c r="CB77" s="17"/>
      <c r="CC77" s="17"/>
      <c r="CD77" s="17"/>
    </row>
    <row r="78" hidden="1">
      <c r="A78" s="828" t="s">
        <v>1425</v>
      </c>
      <c r="B78" s="828" t="s">
        <v>1426</v>
      </c>
      <c r="C78" s="92">
        <f t="shared" si="88"/>
        <v>1</v>
      </c>
      <c r="E78" s="92">
        <f t="shared" si="89"/>
        <v>1</v>
      </c>
      <c r="G78" s="92">
        <f t="shared" si="90"/>
        <v>1</v>
      </c>
      <c r="I78" s="92"/>
      <c r="J78" s="92"/>
      <c r="K78" s="821"/>
      <c r="L78" s="92" t="str">
        <f t="shared" si="91"/>
        <v>#REF!</v>
      </c>
      <c r="N78" s="92" t="str">
        <f t="shared" si="92"/>
        <v>#REF!</v>
      </c>
      <c r="P78" s="92">
        <f t="shared" si="93"/>
        <v>1</v>
      </c>
      <c r="R78" s="92" t="str">
        <f t="shared" si="94"/>
        <v>#REF!</v>
      </c>
      <c r="S78" s="821"/>
      <c r="T78" s="92">
        <f t="shared" si="95"/>
        <v>1</v>
      </c>
      <c r="V78" s="92">
        <f t="shared" si="96"/>
        <v>1</v>
      </c>
      <c r="X78" s="92">
        <f t="shared" si="97"/>
        <v>1</v>
      </c>
      <c r="Y78" s="813"/>
      <c r="Z78" s="813"/>
      <c r="AA78" s="813"/>
      <c r="AB78" s="821"/>
      <c r="AC78" s="92">
        <f t="shared" si="98"/>
        <v>0</v>
      </c>
      <c r="AE78" s="92">
        <f t="shared" si="99"/>
        <v>1</v>
      </c>
      <c r="AG78" s="92"/>
      <c r="AH78" s="92"/>
      <c r="AI78" s="92"/>
      <c r="AJ78" s="92"/>
      <c r="AK78" s="821"/>
      <c r="AL78" s="92">
        <f t="shared" si="100"/>
        <v>1</v>
      </c>
      <c r="AP78" s="92">
        <f t="shared" si="101"/>
        <v>1</v>
      </c>
      <c r="AR78" s="92"/>
      <c r="AS78" s="92"/>
      <c r="AT78" s="821"/>
      <c r="AU78" s="92">
        <f t="shared" si="102"/>
        <v>1</v>
      </c>
      <c r="AW78" s="92">
        <f t="shared" si="103"/>
        <v>1</v>
      </c>
      <c r="AY78" s="92">
        <f t="shared" si="104"/>
        <v>1</v>
      </c>
      <c r="AZ78" s="92"/>
      <c r="BA78" s="821"/>
      <c r="BB78" s="92">
        <f t="shared" si="105"/>
        <v>1</v>
      </c>
      <c r="BD78" s="92">
        <f t="shared" si="106"/>
        <v>1</v>
      </c>
      <c r="BF78" s="92">
        <f>countif(BF$3:BF$66,"*" &amp; $A78 &amp; "*")+countif(BF$3:BF$66,"*" &amp; $B78 &amp; "*")</f>
        <v>1</v>
      </c>
      <c r="BI78" s="92"/>
      <c r="BJ78" s="92">
        <f t="shared" si="107"/>
        <v>0</v>
      </c>
      <c r="BL78" s="825"/>
      <c r="BM78" s="92"/>
      <c r="BN78" s="92"/>
      <c r="BO78" s="92"/>
      <c r="BP78" s="92"/>
      <c r="BQ78" s="818"/>
      <c r="BR78" s="54"/>
      <c r="BS78" s="54"/>
      <c r="BT78" s="818"/>
      <c r="BU78" s="818"/>
      <c r="BV78" s="818"/>
      <c r="BW78" s="92"/>
      <c r="BX78" s="92"/>
      <c r="BY78" s="17"/>
      <c r="BZ78" s="17"/>
      <c r="CA78" s="17"/>
      <c r="CB78" s="17"/>
      <c r="CC78" s="17"/>
      <c r="CD78" s="17"/>
    </row>
    <row r="79" hidden="1">
      <c r="A79" s="822" t="s">
        <v>257</v>
      </c>
      <c r="B79" s="822" t="s">
        <v>257</v>
      </c>
      <c r="C79" s="92">
        <f t="shared" si="88"/>
        <v>1</v>
      </c>
      <c r="E79" s="92">
        <f t="shared" si="89"/>
        <v>1</v>
      </c>
      <c r="G79" s="92">
        <f t="shared" si="90"/>
        <v>1</v>
      </c>
      <c r="I79" s="92"/>
      <c r="J79" s="92"/>
      <c r="K79" s="821"/>
      <c r="L79" s="92" t="str">
        <f t="shared" si="91"/>
        <v>#REF!</v>
      </c>
      <c r="N79" s="92" t="str">
        <f t="shared" si="92"/>
        <v>#REF!</v>
      </c>
      <c r="P79" s="92">
        <f t="shared" si="93"/>
        <v>1</v>
      </c>
      <c r="R79" s="92" t="str">
        <f t="shared" si="94"/>
        <v>#REF!</v>
      </c>
      <c r="S79" s="821"/>
      <c r="T79" s="92">
        <f t="shared" si="95"/>
        <v>1</v>
      </c>
      <c r="V79" s="92">
        <f t="shared" si="96"/>
        <v>1</v>
      </c>
      <c r="X79" s="92">
        <f t="shared" si="97"/>
        <v>1</v>
      </c>
      <c r="Y79" s="813"/>
      <c r="Z79" s="813"/>
      <c r="AA79" s="813"/>
      <c r="AB79" s="821"/>
      <c r="AC79" s="92">
        <f t="shared" si="98"/>
        <v>1</v>
      </c>
      <c r="AE79" s="92">
        <f t="shared" si="99"/>
        <v>1</v>
      </c>
      <c r="AG79" s="92"/>
      <c r="AH79" s="92"/>
      <c r="AI79" s="92"/>
      <c r="AJ79" s="92"/>
      <c r="AK79" s="821"/>
      <c r="AL79" s="92">
        <f t="shared" si="100"/>
        <v>0</v>
      </c>
      <c r="AN79" s="92">
        <f>countif(AN$3:AN$10,"*" &amp; $A79 &amp; "*")</f>
        <v>0</v>
      </c>
      <c r="AP79" s="92">
        <f t="shared" si="101"/>
        <v>1</v>
      </c>
      <c r="AR79" s="92"/>
      <c r="AS79" s="92"/>
      <c r="AT79" s="821"/>
      <c r="AU79" s="92">
        <f t="shared" si="102"/>
        <v>1</v>
      </c>
      <c r="AW79" s="92">
        <f t="shared" si="103"/>
        <v>1</v>
      </c>
      <c r="AY79" s="92">
        <f t="shared" si="104"/>
        <v>1</v>
      </c>
      <c r="AZ79" s="92"/>
      <c r="BA79" s="821"/>
      <c r="BB79" s="92">
        <f t="shared" si="105"/>
        <v>1</v>
      </c>
      <c r="BD79" s="92">
        <f t="shared" si="106"/>
        <v>1</v>
      </c>
      <c r="BF79" s="92">
        <f t="shared" ref="BF79:BF83" si="108">countif(BF$3:BF$66,"*" &amp; $A79 &amp; "*")</f>
        <v>1</v>
      </c>
      <c r="BI79" s="92"/>
      <c r="BJ79" s="92">
        <f t="shared" si="107"/>
        <v>0</v>
      </c>
      <c r="BL79" s="825"/>
      <c r="BM79" s="92"/>
      <c r="BN79" s="92"/>
      <c r="BO79" s="92"/>
      <c r="BP79" s="92"/>
      <c r="BQ79" s="818"/>
      <c r="BR79" s="54"/>
      <c r="BS79" s="54"/>
      <c r="BT79" s="818"/>
      <c r="BU79" s="818"/>
      <c r="BV79" s="818"/>
      <c r="BW79" s="92"/>
      <c r="BX79" s="92"/>
      <c r="BY79" s="17"/>
      <c r="BZ79" s="17"/>
      <c r="CA79" s="17"/>
      <c r="CB79" s="17"/>
      <c r="CC79" s="17"/>
      <c r="CD79" s="17"/>
    </row>
    <row r="80" hidden="1">
      <c r="A80" s="822" t="s">
        <v>260</v>
      </c>
      <c r="B80" s="822" t="s">
        <v>260</v>
      </c>
      <c r="C80" s="92">
        <f t="shared" si="88"/>
        <v>0</v>
      </c>
      <c r="E80" s="92">
        <f t="shared" si="89"/>
        <v>1</v>
      </c>
      <c r="G80" s="92">
        <f t="shared" si="90"/>
        <v>1</v>
      </c>
      <c r="I80" s="92"/>
      <c r="J80" s="92"/>
      <c r="K80" s="821"/>
      <c r="L80" s="92" t="str">
        <f t="shared" si="91"/>
        <v>#REF!</v>
      </c>
      <c r="N80" s="92" t="str">
        <f t="shared" si="92"/>
        <v>#REF!</v>
      </c>
      <c r="P80" s="92">
        <f t="shared" si="93"/>
        <v>0</v>
      </c>
      <c r="R80" s="92" t="str">
        <f t="shared" si="94"/>
        <v>#REF!</v>
      </c>
      <c r="S80" s="821"/>
      <c r="T80" s="92">
        <f t="shared" si="95"/>
        <v>0</v>
      </c>
      <c r="V80" s="92">
        <f t="shared" si="96"/>
        <v>1</v>
      </c>
      <c r="X80" s="92">
        <f t="shared" si="97"/>
        <v>1</v>
      </c>
      <c r="Y80" s="813"/>
      <c r="Z80" s="813"/>
      <c r="AA80" s="813"/>
      <c r="AB80" s="821"/>
      <c r="AC80" s="92">
        <f t="shared" si="98"/>
        <v>0</v>
      </c>
      <c r="AE80" s="92">
        <f t="shared" si="99"/>
        <v>1</v>
      </c>
      <c r="AG80" s="92"/>
      <c r="AH80" s="92"/>
      <c r="AI80" s="92"/>
      <c r="AJ80" s="92"/>
      <c r="AK80" s="821"/>
      <c r="AL80" s="92">
        <f t="shared" ref="AL80:AL82" si="110">countif(AL$3:AL$61,"*" &amp; $A80 &amp; "*")</f>
        <v>1</v>
      </c>
      <c r="AN80" s="92">
        <f t="shared" ref="AN80:AN82" si="111">countif(AN$3:AN$66,"*" &amp; $A80 &amp; "*")</f>
        <v>1</v>
      </c>
      <c r="AP80" s="92">
        <f t="shared" si="101"/>
        <v>1</v>
      </c>
      <c r="AR80" s="92"/>
      <c r="AS80" s="92"/>
      <c r="AT80" s="821"/>
      <c r="AU80" s="92">
        <f t="shared" si="102"/>
        <v>0</v>
      </c>
      <c r="AW80" s="92">
        <f t="shared" si="103"/>
        <v>1</v>
      </c>
      <c r="AY80" s="92">
        <f t="shared" si="104"/>
        <v>1</v>
      </c>
      <c r="AZ80" s="92"/>
      <c r="BA80" s="821"/>
      <c r="BB80" s="92">
        <f t="shared" si="105"/>
        <v>1</v>
      </c>
      <c r="BD80" s="92">
        <f t="shared" si="106"/>
        <v>1</v>
      </c>
      <c r="BF80" s="92">
        <f t="shared" si="108"/>
        <v>1</v>
      </c>
      <c r="BI80" s="92"/>
      <c r="BJ80" s="92">
        <f t="shared" si="107"/>
        <v>0</v>
      </c>
      <c r="BL80" s="825"/>
      <c r="BM80" s="92"/>
      <c r="BN80" s="92"/>
      <c r="BO80" s="92"/>
      <c r="BP80" s="92"/>
      <c r="BQ80" s="818"/>
      <c r="BR80" s="54"/>
      <c r="BS80" s="54"/>
      <c r="BT80" s="818"/>
      <c r="BU80" s="818"/>
      <c r="BV80" s="818"/>
      <c r="BW80" s="92"/>
      <c r="BX80" s="92"/>
      <c r="BY80" s="17"/>
      <c r="BZ80" s="17"/>
      <c r="CA80" s="17"/>
      <c r="CB80" s="17"/>
      <c r="CC80" s="17"/>
      <c r="CD80" s="17"/>
    </row>
    <row r="81" hidden="1">
      <c r="A81" s="822" t="s">
        <v>1429</v>
      </c>
      <c r="B81" s="822" t="s">
        <v>1429</v>
      </c>
      <c r="C81" s="92">
        <f t="shared" si="88"/>
        <v>0</v>
      </c>
      <c r="E81" s="92">
        <f t="shared" si="89"/>
        <v>0</v>
      </c>
      <c r="G81" s="92">
        <f t="shared" si="90"/>
        <v>0</v>
      </c>
      <c r="I81" s="92"/>
      <c r="J81" s="92"/>
      <c r="K81" s="821"/>
      <c r="L81" s="92" t="str">
        <f t="shared" si="91"/>
        <v>#REF!</v>
      </c>
      <c r="M81" s="92" t="str">
        <f t="shared" ref="M81:O81" si="109">countif(M$3:M$96,"*" &amp; $A81 &amp; "*")</f>
        <v>#REF!</v>
      </c>
      <c r="N81" s="92" t="str">
        <f t="shared" si="109"/>
        <v>#REF!</v>
      </c>
      <c r="O81" s="92" t="str">
        <f t="shared" si="109"/>
        <v>#REF!</v>
      </c>
      <c r="P81" s="92">
        <f t="shared" si="93"/>
        <v>0</v>
      </c>
      <c r="Q81" s="92">
        <f>countif(Q$3:Q$36,"*" &amp; $A81 &amp; "*")</f>
        <v>0</v>
      </c>
      <c r="R81" s="92" t="str">
        <f t="shared" si="94"/>
        <v>#REF!</v>
      </c>
      <c r="S81" s="821"/>
      <c r="T81" s="92">
        <f t="shared" si="95"/>
        <v>0</v>
      </c>
      <c r="V81" s="92">
        <f t="shared" si="96"/>
        <v>0</v>
      </c>
      <c r="X81" s="92">
        <f t="shared" si="97"/>
        <v>0</v>
      </c>
      <c r="Y81" s="813"/>
      <c r="Z81" s="813"/>
      <c r="AA81" s="813"/>
      <c r="AB81" s="821"/>
      <c r="AC81" s="92">
        <f t="shared" si="98"/>
        <v>0</v>
      </c>
      <c r="AD81" s="92">
        <f>countif(AD$7:AD$54,"*" &amp; $A81 &amp; "*")</f>
        <v>0</v>
      </c>
      <c r="AE81" s="92">
        <f t="shared" si="99"/>
        <v>0</v>
      </c>
      <c r="AF81" s="92">
        <f>countif(AF$7:AF$60,"*" &amp; $A81 &amp; "*")</f>
        <v>0</v>
      </c>
      <c r="AG81" s="92"/>
      <c r="AH81" s="92"/>
      <c r="AI81" s="92"/>
      <c r="AJ81" s="92"/>
      <c r="AK81" s="821"/>
      <c r="AL81" s="92">
        <f t="shared" si="110"/>
        <v>0</v>
      </c>
      <c r="AM81" s="92">
        <f>countif(AM$3:AM$61,"*" &amp; $A81 &amp; "*")</f>
        <v>0</v>
      </c>
      <c r="AN81" s="92">
        <f t="shared" si="111"/>
        <v>0</v>
      </c>
      <c r="AO81" s="92">
        <f>countif(AO$3:AO$66,"*" &amp; $A81 &amp; "*")</f>
        <v>0</v>
      </c>
      <c r="AP81" s="92">
        <f t="shared" si="101"/>
        <v>0</v>
      </c>
      <c r="AQ81" s="92">
        <f>countif(AQ$3:AQ$64,"*" &amp; $A81 &amp; "*")</f>
        <v>0</v>
      </c>
      <c r="AR81" s="92"/>
      <c r="AS81" s="92"/>
      <c r="AT81" s="821"/>
      <c r="AU81" s="92">
        <f t="shared" si="102"/>
        <v>0</v>
      </c>
      <c r="AV81" s="92">
        <f>countif(AV$3:AV$60,"*" &amp; $A81 &amp; "*")</f>
        <v>0</v>
      </c>
      <c r="AW81" s="92">
        <f t="shared" ref="AW81:AX81" si="112">countif(AW$3:AW$62,"*" &amp; $A81 &amp; "*")</f>
        <v>0</v>
      </c>
      <c r="AX81" s="92">
        <f t="shared" si="112"/>
        <v>0</v>
      </c>
      <c r="AY81" s="92">
        <f t="shared" ref="AY81:AZ81" si="113">countif(AY$5:AY$60,"*" &amp; $A81 &amp; "*")</f>
        <v>0</v>
      </c>
      <c r="AZ81" s="92">
        <f t="shared" si="113"/>
        <v>0</v>
      </c>
      <c r="BA81" s="821"/>
      <c r="BB81" s="92">
        <f t="shared" si="105"/>
        <v>0</v>
      </c>
      <c r="BD81" s="92">
        <f t="shared" si="106"/>
        <v>0</v>
      </c>
      <c r="BF81" s="92">
        <f t="shared" si="108"/>
        <v>0</v>
      </c>
      <c r="BI81" s="92"/>
      <c r="BJ81" s="92">
        <f>countif(BJ$7:BJ$66,"*" &amp; $A81 &amp; "*")</f>
        <v>0</v>
      </c>
      <c r="BL81" s="825"/>
      <c r="BM81" s="92"/>
      <c r="BN81" s="92"/>
      <c r="BO81" s="92"/>
      <c r="BP81" s="92"/>
      <c r="BQ81" s="818"/>
      <c r="BR81" s="54"/>
      <c r="BS81" s="54"/>
      <c r="BT81" s="818"/>
      <c r="BU81" s="818"/>
      <c r="BV81" s="818"/>
      <c r="BW81" s="92"/>
      <c r="BX81" s="92"/>
      <c r="BY81" s="17"/>
      <c r="BZ81" s="17"/>
      <c r="CA81" s="17"/>
      <c r="CB81" s="17"/>
      <c r="CC81" s="17"/>
      <c r="CD81" s="17"/>
    </row>
    <row r="82" hidden="1">
      <c r="A82" s="828" t="s">
        <v>253</v>
      </c>
      <c r="B82" s="828" t="s">
        <v>253</v>
      </c>
      <c r="C82" s="92">
        <f t="shared" si="88"/>
        <v>0</v>
      </c>
      <c r="E82" s="92">
        <f t="shared" si="89"/>
        <v>0</v>
      </c>
      <c r="G82" s="92">
        <f t="shared" si="90"/>
        <v>0</v>
      </c>
      <c r="I82" s="92"/>
      <c r="J82" s="92"/>
      <c r="K82" s="821"/>
      <c r="L82" s="92" t="str">
        <f t="shared" si="91"/>
        <v>#REF!</v>
      </c>
      <c r="N82" s="92" t="str">
        <f t="shared" ref="N82:N83" si="114">countif(N$3:N$96,"*" &amp; $A82 &amp; "*")</f>
        <v>#REF!</v>
      </c>
      <c r="P82" s="92">
        <f t="shared" si="93"/>
        <v>0</v>
      </c>
      <c r="R82" s="92" t="str">
        <f t="shared" si="94"/>
        <v>#REF!</v>
      </c>
      <c r="S82" s="821"/>
      <c r="T82" s="92">
        <f t="shared" si="95"/>
        <v>0</v>
      </c>
      <c r="V82" s="92">
        <f t="shared" si="96"/>
        <v>0</v>
      </c>
      <c r="X82" s="92">
        <f t="shared" si="97"/>
        <v>0</v>
      </c>
      <c r="Y82" s="813"/>
      <c r="Z82" s="813"/>
      <c r="AA82" s="813"/>
      <c r="AB82" s="821"/>
      <c r="AC82" s="92">
        <f t="shared" si="98"/>
        <v>0</v>
      </c>
      <c r="AE82" s="92">
        <f t="shared" si="99"/>
        <v>0</v>
      </c>
      <c r="AG82" s="92"/>
      <c r="AH82" s="92"/>
      <c r="AI82" s="92"/>
      <c r="AJ82" s="92"/>
      <c r="AK82" s="821"/>
      <c r="AL82" s="92">
        <f t="shared" si="110"/>
        <v>0</v>
      </c>
      <c r="AN82" s="92">
        <f t="shared" si="111"/>
        <v>0</v>
      </c>
      <c r="AP82" s="92">
        <f t="shared" si="101"/>
        <v>0</v>
      </c>
      <c r="AR82" s="92"/>
      <c r="AS82" s="92"/>
      <c r="AT82" s="821"/>
      <c r="AU82" s="92">
        <f t="shared" ref="AU82:AU84" si="115">countif(AU$3:AU$67,"*" &amp; $A82 &amp; "*")</f>
        <v>0</v>
      </c>
      <c r="AW82" s="92">
        <f t="shared" ref="AW82:AW84" si="116">countif(AW$3:AW$67,"*" &amp; $A82 &amp; "*")</f>
        <v>0</v>
      </c>
      <c r="AY82" s="92">
        <f t="shared" ref="AY82:AY84" si="117">countif(AY$5:AY$67,"*" &amp; $A82 &amp; "*")</f>
        <v>0</v>
      </c>
      <c r="AZ82" s="92"/>
      <c r="BA82" s="821"/>
      <c r="BB82" s="92">
        <f t="shared" si="105"/>
        <v>0</v>
      </c>
      <c r="BD82" s="92">
        <f t="shared" si="106"/>
        <v>0</v>
      </c>
      <c r="BF82" s="92">
        <f t="shared" si="108"/>
        <v>0</v>
      </c>
      <c r="BI82" s="92"/>
      <c r="BJ82" s="92">
        <f t="shared" ref="BJ82:BJ83" si="118">countif(BJ$3:BJ$66,"*" &amp; $A82 &amp; "*")</f>
        <v>0</v>
      </c>
      <c r="BL82" s="825"/>
      <c r="BM82" s="92"/>
      <c r="BN82" s="92"/>
      <c r="BO82" s="92"/>
      <c r="BP82" s="92"/>
      <c r="BQ82" s="818"/>
      <c r="BR82" s="54"/>
      <c r="BS82" s="54"/>
      <c r="BT82" s="818"/>
      <c r="BU82" s="818"/>
      <c r="BV82" s="818"/>
      <c r="BW82" s="92"/>
      <c r="BX82" s="92"/>
      <c r="BY82" s="17"/>
      <c r="BZ82" s="17"/>
      <c r="CA82" s="17"/>
      <c r="CB82" s="17"/>
      <c r="CC82" s="17"/>
      <c r="CD82" s="17"/>
    </row>
    <row r="83" hidden="1">
      <c r="A83" s="828" t="s">
        <v>255</v>
      </c>
      <c r="B83" s="828" t="s">
        <v>255</v>
      </c>
      <c r="C83" s="92">
        <f t="shared" si="88"/>
        <v>0</v>
      </c>
      <c r="E83" s="92">
        <f t="shared" si="89"/>
        <v>0</v>
      </c>
      <c r="G83" s="92">
        <f t="shared" si="90"/>
        <v>0</v>
      </c>
      <c r="I83" s="92"/>
      <c r="J83" s="92"/>
      <c r="K83" s="821"/>
      <c r="L83" s="92" t="str">
        <f t="shared" si="91"/>
        <v>#REF!</v>
      </c>
      <c r="N83" s="92" t="str">
        <f t="shared" si="114"/>
        <v>#REF!</v>
      </c>
      <c r="P83" s="92">
        <f t="shared" si="93"/>
        <v>0</v>
      </c>
      <c r="R83" s="92" t="str">
        <f t="shared" si="94"/>
        <v>#REF!</v>
      </c>
      <c r="S83" s="821"/>
      <c r="T83" s="92">
        <f t="shared" si="95"/>
        <v>0</v>
      </c>
      <c r="V83" s="92">
        <f t="shared" si="96"/>
        <v>0</v>
      </c>
      <c r="X83" s="92">
        <f t="shared" si="97"/>
        <v>0</v>
      </c>
      <c r="Y83" s="813"/>
      <c r="Z83" s="813"/>
      <c r="AA83" s="813"/>
      <c r="AB83" s="821"/>
      <c r="AC83" s="92">
        <f t="shared" si="98"/>
        <v>0</v>
      </c>
      <c r="AE83" s="92">
        <f t="shared" si="99"/>
        <v>0</v>
      </c>
      <c r="AG83" s="92"/>
      <c r="AH83" s="92"/>
      <c r="AI83" s="92"/>
      <c r="AJ83" s="92"/>
      <c r="AK83" s="821"/>
      <c r="AL83" s="92">
        <f>countif(AL$3:AL$45,"*" &amp; $A83 &amp; "*")</f>
        <v>0</v>
      </c>
      <c r="AN83" s="92">
        <f>countif(AN$3:AN$10,"*" &amp; $A83 &amp; "*")</f>
        <v>0</v>
      </c>
      <c r="AP83" s="92">
        <f t="shared" si="101"/>
        <v>0</v>
      </c>
      <c r="AR83" s="92"/>
      <c r="AS83" s="92"/>
      <c r="AT83" s="821"/>
      <c r="AU83" s="92">
        <f t="shared" si="115"/>
        <v>0</v>
      </c>
      <c r="AW83" s="92">
        <f t="shared" si="116"/>
        <v>0</v>
      </c>
      <c r="AY83" s="92">
        <f t="shared" si="117"/>
        <v>0</v>
      </c>
      <c r="AZ83" s="92"/>
      <c r="BA83" s="821"/>
      <c r="BB83" s="92">
        <f t="shared" si="105"/>
        <v>0</v>
      </c>
      <c r="BD83" s="92">
        <f t="shared" si="106"/>
        <v>0</v>
      </c>
      <c r="BF83" s="92">
        <f t="shared" si="108"/>
        <v>0</v>
      </c>
      <c r="BI83" s="92"/>
      <c r="BJ83" s="92">
        <f t="shared" si="118"/>
        <v>0</v>
      </c>
      <c r="BL83" s="825"/>
      <c r="BM83" s="92"/>
      <c r="BN83" s="92"/>
      <c r="BO83" s="92"/>
      <c r="BP83" s="92"/>
      <c r="BQ83" s="818"/>
      <c r="BR83" s="54"/>
      <c r="BS83" s="54"/>
      <c r="BT83" s="818"/>
      <c r="BU83" s="818"/>
      <c r="BV83" s="818"/>
      <c r="BW83" s="92"/>
      <c r="BX83" s="92"/>
      <c r="BY83" s="17"/>
      <c r="BZ83" s="17"/>
      <c r="CA83" s="17"/>
      <c r="CB83" s="17"/>
      <c r="CC83" s="17"/>
      <c r="CD83" s="17"/>
    </row>
    <row r="84" hidden="1">
      <c r="A84" s="828" t="s">
        <v>1458</v>
      </c>
      <c r="B84" s="828" t="s">
        <v>1458</v>
      </c>
      <c r="C84" s="92">
        <f t="shared" si="88"/>
        <v>0</v>
      </c>
      <c r="E84" s="92">
        <f>countif(E$7:E$66,"*" &amp; $A84 &amp; "*")</f>
        <v>0</v>
      </c>
      <c r="G84" s="92">
        <f t="shared" si="90"/>
        <v>0</v>
      </c>
      <c r="I84" s="92"/>
      <c r="J84" s="92"/>
      <c r="K84" s="821"/>
      <c r="L84" s="92" t="str">
        <f>countif(L$3:M$96,"*" &amp; $A$84 &amp; "*")</f>
        <v>#REF!</v>
      </c>
      <c r="N84" s="92" t="str">
        <f>countif(N$3:O$96,"*" &amp; $A$84 &amp; "*")</f>
        <v>#REF!</v>
      </c>
      <c r="P84" s="92">
        <f>countif(P$3:Q$62,"*" &amp; $A$84 &amp; "*")</f>
        <v>0</v>
      </c>
      <c r="R84" s="92" t="str">
        <f>countif(R$3:R$96,"*" &amp; $A$84 &amp; "*")</f>
        <v>#REF!</v>
      </c>
      <c r="S84" s="821"/>
      <c r="T84" s="92">
        <f>countif(T$7:U$66,"*" &amp; $A$84 &amp; "*")</f>
        <v>0</v>
      </c>
      <c r="V84" s="92">
        <f>countif(V$3:W$66,"*" &amp; $A$84 &amp; "*")</f>
        <v>0</v>
      </c>
      <c r="X84" s="92">
        <f>countif(X$7:X$66,"*" &amp; $A$84 &amp; "*")</f>
        <v>0</v>
      </c>
      <c r="Y84" s="813"/>
      <c r="Z84" s="813"/>
      <c r="AA84" s="813"/>
      <c r="AB84" s="821"/>
      <c r="AC84" s="92">
        <f>countif(AC$7:AD$54,"*" &amp; $A$84 &amp; "*")</f>
        <v>0</v>
      </c>
      <c r="AE84" s="92">
        <f>countif(AE$7:AF$60,"*" &amp; $A$84 &amp; "*")</f>
        <v>0</v>
      </c>
      <c r="AG84" s="92"/>
      <c r="AH84" s="92"/>
      <c r="AI84" s="92"/>
      <c r="AJ84" s="92"/>
      <c r="AK84" s="821"/>
      <c r="AL84" s="92">
        <f>countif(AL$3:AM$50,"*" &amp; $A$84 &amp; "*")</f>
        <v>0</v>
      </c>
      <c r="AN84" s="92">
        <f>countif(AN$3:AO$58,"*" &amp; $A$84 &amp; "*")</f>
        <v>0</v>
      </c>
      <c r="AP84" s="92">
        <f>countif(AP$3:AQ$64,"*" &amp; $A$84 &amp; "*")</f>
        <v>0</v>
      </c>
      <c r="AR84" s="92"/>
      <c r="AS84" s="92"/>
      <c r="AT84" s="821"/>
      <c r="AU84" s="92">
        <f t="shared" si="115"/>
        <v>0</v>
      </c>
      <c r="AW84" s="92">
        <f t="shared" si="116"/>
        <v>0</v>
      </c>
      <c r="AY84" s="92">
        <f t="shared" si="117"/>
        <v>0</v>
      </c>
      <c r="AZ84" s="92"/>
      <c r="BA84" s="821"/>
      <c r="BB84" s="92">
        <f t="shared" si="105"/>
        <v>0</v>
      </c>
      <c r="BD84" s="92">
        <f t="shared" si="106"/>
        <v>0</v>
      </c>
      <c r="BF84" s="92">
        <f>countif(BF$7:BH$66,"*" &amp; $A$84 &amp; "*")</f>
        <v>0</v>
      </c>
      <c r="BI84" s="92"/>
      <c r="BJ84" s="92">
        <f>countif(BJ$3:BK$66,"*" &amp; $A$84 &amp; "*")</f>
        <v>0</v>
      </c>
      <c r="BL84" s="825"/>
      <c r="BM84" s="92"/>
      <c r="BN84" s="92"/>
      <c r="BO84" s="92"/>
      <c r="BP84" s="92"/>
      <c r="BQ84" s="818"/>
      <c r="BR84" s="54"/>
      <c r="BS84" s="54"/>
      <c r="BT84" s="818"/>
      <c r="BU84" s="818"/>
      <c r="BV84" s="818"/>
      <c r="BW84" s="92"/>
      <c r="BX84" s="92"/>
      <c r="BY84" s="17"/>
      <c r="BZ84" s="17"/>
      <c r="CA84" s="17"/>
      <c r="CB84" s="17"/>
      <c r="CC84" s="17"/>
      <c r="CD84" s="17"/>
    </row>
    <row r="85" hidden="1">
      <c r="A85" s="92"/>
      <c r="B85" s="820"/>
      <c r="C85" s="17"/>
      <c r="D85" s="17"/>
      <c r="E85" s="17"/>
      <c r="F85" s="17"/>
      <c r="G85" s="17"/>
      <c r="H85" s="17"/>
      <c r="I85" s="38"/>
      <c r="J85" s="38"/>
      <c r="K85" s="854"/>
      <c r="L85" s="38"/>
      <c r="M85" s="38"/>
      <c r="N85" s="38"/>
      <c r="O85" s="38"/>
      <c r="P85" s="38"/>
      <c r="Q85" s="38"/>
      <c r="R85" s="38"/>
      <c r="S85" s="854"/>
      <c r="T85" s="38"/>
      <c r="U85" s="92"/>
      <c r="V85" s="92"/>
      <c r="W85" s="92"/>
      <c r="X85" s="92"/>
      <c r="Y85" s="856"/>
      <c r="Z85" s="856"/>
      <c r="AA85" s="856"/>
      <c r="AB85" s="854"/>
      <c r="AC85" s="92"/>
      <c r="AD85" s="92"/>
      <c r="AE85" s="92"/>
      <c r="AF85" s="92"/>
      <c r="AG85" s="92"/>
      <c r="AH85" s="92"/>
      <c r="AI85" s="92"/>
      <c r="AJ85" s="92"/>
      <c r="AK85" s="854"/>
      <c r="AL85" s="92"/>
      <c r="AM85" s="92"/>
      <c r="AN85" s="92"/>
      <c r="AO85" s="92"/>
      <c r="AP85" s="92"/>
      <c r="AQ85" s="92"/>
      <c r="AR85" s="92"/>
      <c r="AS85" s="92"/>
      <c r="AT85" s="821"/>
      <c r="AU85" s="17"/>
      <c r="AV85" s="17"/>
      <c r="AW85" s="17"/>
      <c r="AX85" s="17"/>
      <c r="AY85" s="17"/>
      <c r="AZ85" s="17"/>
      <c r="BA85" s="821"/>
      <c r="BB85" s="92"/>
      <c r="BC85" s="92"/>
      <c r="BD85" s="92"/>
      <c r="BE85" s="92"/>
      <c r="BF85" s="92"/>
      <c r="BG85" s="92"/>
      <c r="BH85" s="92"/>
      <c r="BI85" s="92"/>
      <c r="BJ85" s="92"/>
      <c r="BK85" s="92"/>
      <c r="BL85" s="825"/>
      <c r="BM85" s="92"/>
      <c r="BN85" s="92"/>
      <c r="BO85" s="92"/>
      <c r="BP85" s="92"/>
      <c r="BQ85" s="818"/>
      <c r="BR85" s="54"/>
      <c r="BS85" s="54"/>
      <c r="BT85" s="818"/>
      <c r="BU85" s="818"/>
      <c r="BV85" s="818"/>
      <c r="BW85" s="92"/>
      <c r="BX85" s="92"/>
      <c r="BY85" s="17"/>
      <c r="BZ85" s="17"/>
      <c r="CA85" s="17"/>
      <c r="CB85" s="17"/>
      <c r="CC85" s="17"/>
      <c r="CD85" s="17"/>
    </row>
    <row r="86" hidden="1">
      <c r="A86" s="92"/>
      <c r="B86" s="820"/>
      <c r="C86" s="17"/>
      <c r="D86" s="17"/>
      <c r="E86" s="17"/>
      <c r="F86" s="17"/>
      <c r="G86" s="17"/>
      <c r="H86" s="17"/>
      <c r="I86" s="17"/>
      <c r="J86" s="17"/>
      <c r="K86" s="821"/>
      <c r="L86" s="17"/>
      <c r="M86" s="17"/>
      <c r="N86" s="17"/>
      <c r="O86" s="17"/>
      <c r="P86" s="17"/>
      <c r="Q86" s="17"/>
      <c r="R86" s="17"/>
      <c r="S86" s="821"/>
      <c r="T86" s="17"/>
      <c r="U86" s="92"/>
      <c r="V86" s="92"/>
      <c r="W86" s="92"/>
      <c r="X86" s="92"/>
      <c r="Y86" s="813"/>
      <c r="Z86" s="813"/>
      <c r="AA86" s="813"/>
      <c r="AB86" s="821"/>
      <c r="AC86" s="92"/>
      <c r="AD86" s="92"/>
      <c r="AE86" s="92"/>
      <c r="AF86" s="92"/>
      <c r="AG86" s="92"/>
      <c r="AH86" s="92"/>
      <c r="AI86" s="92"/>
      <c r="AJ86" s="92"/>
      <c r="AK86" s="821"/>
      <c r="AL86" s="92"/>
      <c r="AM86" s="92"/>
      <c r="AN86" s="92"/>
      <c r="AO86" s="92"/>
      <c r="AP86" s="92"/>
      <c r="AQ86" s="92"/>
      <c r="AR86" s="92"/>
      <c r="AS86" s="92"/>
      <c r="AT86" s="821"/>
      <c r="AU86" s="17"/>
      <c r="AV86" s="17"/>
      <c r="AW86" s="17"/>
      <c r="AX86" s="17"/>
      <c r="AY86" s="17"/>
      <c r="AZ86" s="17"/>
      <c r="BA86" s="821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825"/>
      <c r="BM86" s="92"/>
      <c r="BN86" s="92"/>
      <c r="BO86" s="92"/>
      <c r="BP86" s="92"/>
      <c r="BQ86" s="818"/>
      <c r="BR86" s="54"/>
      <c r="BS86" s="54"/>
      <c r="BT86" s="818"/>
      <c r="BU86" s="818"/>
      <c r="BV86" s="818"/>
      <c r="BW86" s="92"/>
      <c r="BX86" s="92"/>
      <c r="BY86" s="17"/>
      <c r="BZ86" s="17"/>
      <c r="CA86" s="17"/>
      <c r="CB86" s="17"/>
      <c r="CC86" s="17"/>
      <c r="CD86" s="17"/>
    </row>
    <row r="87" hidden="1">
      <c r="A87" s="92"/>
      <c r="B87" s="820"/>
      <c r="C87" s="17"/>
      <c r="D87" s="17"/>
      <c r="E87" s="17"/>
      <c r="F87" s="38"/>
      <c r="G87" s="38"/>
      <c r="H87" s="38"/>
      <c r="I87" s="38"/>
      <c r="J87" s="38"/>
      <c r="K87" s="821"/>
      <c r="L87" s="17"/>
      <c r="M87" s="17"/>
      <c r="N87" s="17"/>
      <c r="O87" s="17"/>
      <c r="P87" s="17"/>
      <c r="Q87" s="17"/>
      <c r="R87" s="17"/>
      <c r="S87" s="821"/>
      <c r="T87" s="17"/>
      <c r="U87" s="92"/>
      <c r="V87" s="92"/>
      <c r="W87" s="92"/>
      <c r="X87" s="92"/>
      <c r="Y87" s="813"/>
      <c r="Z87" s="813"/>
      <c r="AA87" s="813"/>
      <c r="AB87" s="821"/>
      <c r="AC87" s="92"/>
      <c r="AD87" s="92"/>
      <c r="AE87" s="92"/>
      <c r="AF87" s="92"/>
      <c r="AG87" s="92"/>
      <c r="AH87" s="92"/>
      <c r="AI87" s="92"/>
      <c r="AJ87" s="92"/>
      <c r="AK87" s="821"/>
      <c r="AL87" s="92"/>
      <c r="AM87" s="92"/>
      <c r="AN87" s="92"/>
      <c r="AO87" s="92"/>
      <c r="AP87" s="92"/>
      <c r="AQ87" s="92"/>
      <c r="AR87" s="92"/>
      <c r="AS87" s="92"/>
      <c r="AT87" s="821"/>
      <c r="AU87" s="17"/>
      <c r="AV87" s="17"/>
      <c r="AW87" s="17"/>
      <c r="AX87" s="17"/>
      <c r="AY87" s="17"/>
      <c r="AZ87" s="17"/>
      <c r="BA87" s="821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825"/>
      <c r="BM87" s="92"/>
      <c r="BN87" s="92"/>
      <c r="BO87" s="92"/>
      <c r="BP87" s="92"/>
      <c r="BQ87" s="818"/>
      <c r="BR87" s="54"/>
      <c r="BS87" s="54"/>
      <c r="BT87" s="818"/>
      <c r="BU87" s="818"/>
      <c r="BV87" s="818"/>
      <c r="BW87" s="92"/>
      <c r="BX87" s="92"/>
      <c r="BY87" s="17"/>
      <c r="BZ87" s="17"/>
      <c r="CA87" s="17"/>
      <c r="CB87" s="17"/>
      <c r="CC87" s="17"/>
      <c r="CD87" s="17"/>
    </row>
    <row r="88">
      <c r="A88" s="92"/>
      <c r="B88" s="820"/>
      <c r="E88" s="641"/>
      <c r="F88" s="641"/>
      <c r="K88" s="862"/>
      <c r="L88" s="17"/>
      <c r="M88" s="17"/>
      <c r="N88" s="17"/>
      <c r="O88" s="17"/>
      <c r="P88" s="17"/>
      <c r="Q88" s="17"/>
      <c r="R88" s="17"/>
      <c r="S88" s="813"/>
      <c r="T88" s="17"/>
      <c r="U88" s="92"/>
      <c r="V88" s="92"/>
      <c r="W88" s="92"/>
      <c r="X88" s="92"/>
      <c r="Y88" s="813"/>
      <c r="Z88" s="813"/>
      <c r="AA88" s="813"/>
      <c r="AB88" s="813"/>
      <c r="AC88" s="92"/>
      <c r="AD88" s="92"/>
      <c r="AE88" s="92"/>
      <c r="AF88" s="92"/>
      <c r="AG88" s="92"/>
      <c r="AH88" s="92"/>
      <c r="AI88" s="92"/>
      <c r="AJ88" s="92"/>
      <c r="AK88" s="813"/>
      <c r="AQ88" s="863"/>
      <c r="AR88" s="863"/>
      <c r="AS88" s="863"/>
      <c r="AT88" s="813"/>
      <c r="AU88" s="17"/>
      <c r="AV88" s="17"/>
      <c r="AW88" s="17"/>
      <c r="AX88" s="17"/>
      <c r="AY88" s="17"/>
      <c r="AZ88" s="17"/>
      <c r="BA88" s="813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92"/>
      <c r="BM88" s="92"/>
      <c r="BN88" s="92"/>
      <c r="BO88" s="92"/>
      <c r="BP88" s="92"/>
      <c r="BQ88" s="818"/>
      <c r="BR88" s="54"/>
      <c r="BS88" s="54"/>
      <c r="BT88" s="818"/>
      <c r="BU88" s="818"/>
      <c r="BV88" s="818"/>
      <c r="BW88" s="92"/>
      <c r="BX88" s="92"/>
      <c r="BY88" s="17"/>
      <c r="BZ88" s="17"/>
      <c r="CA88" s="17"/>
      <c r="CB88" s="17"/>
      <c r="CC88" s="17"/>
      <c r="CD88" s="17"/>
    </row>
    <row r="89">
      <c r="A89" s="92"/>
      <c r="B89" s="820"/>
      <c r="BI89" s="17"/>
      <c r="BJ89" s="17"/>
      <c r="BK89" s="17"/>
      <c r="BL89" s="92"/>
      <c r="BM89" s="92"/>
      <c r="BN89" s="92"/>
      <c r="BO89" s="92"/>
      <c r="BP89" s="92"/>
      <c r="BQ89" s="818"/>
      <c r="BR89" s="54"/>
      <c r="BS89" s="54"/>
      <c r="BT89" s="818"/>
      <c r="BU89" s="818"/>
      <c r="BV89" s="818"/>
      <c r="BW89" s="92"/>
      <c r="BX89" s="92"/>
      <c r="BY89" s="17"/>
      <c r="BZ89" s="17"/>
      <c r="CA89" s="17"/>
      <c r="CB89" s="17"/>
      <c r="CC89" s="17"/>
      <c r="CD89" s="17"/>
    </row>
    <row r="90">
      <c r="A90" s="92"/>
      <c r="B90" s="820"/>
      <c r="BI90" s="17"/>
      <c r="BJ90" s="17"/>
      <c r="BK90" s="17"/>
      <c r="BL90" s="92"/>
      <c r="BM90" s="92"/>
      <c r="BN90" s="92"/>
      <c r="BO90" s="92"/>
      <c r="BP90" s="92"/>
      <c r="BQ90" s="818"/>
      <c r="BR90" s="54"/>
      <c r="BS90" s="54"/>
      <c r="BT90" s="818"/>
      <c r="BU90" s="818"/>
      <c r="BV90" s="818"/>
      <c r="BW90" s="92"/>
      <c r="BX90" s="92"/>
      <c r="BY90" s="17"/>
      <c r="BZ90" s="17"/>
      <c r="CA90" s="17"/>
      <c r="CB90" s="17"/>
      <c r="CC90" s="17"/>
      <c r="CD90" s="17"/>
    </row>
    <row r="91">
      <c r="A91" s="92"/>
      <c r="B91" s="820"/>
      <c r="BI91" s="17"/>
      <c r="BJ91" s="17"/>
      <c r="BK91" s="17"/>
      <c r="BL91" s="92"/>
      <c r="BM91" s="92"/>
      <c r="BN91" s="92"/>
      <c r="BO91" s="92"/>
      <c r="BP91" s="92"/>
      <c r="BQ91" s="818"/>
      <c r="BR91" s="54"/>
      <c r="BS91" s="54"/>
      <c r="BT91" s="818"/>
      <c r="BU91" s="818"/>
      <c r="BV91" s="818"/>
      <c r="BW91" s="92"/>
      <c r="BX91" s="92"/>
      <c r="BY91" s="17"/>
      <c r="BZ91" s="17"/>
      <c r="CA91" s="17"/>
      <c r="CB91" s="17"/>
      <c r="CC91" s="17"/>
      <c r="CD91" s="17"/>
    </row>
    <row r="92">
      <c r="A92" s="92"/>
      <c r="B92" s="820"/>
      <c r="C92" s="872" t="str">
        <f t="shared" ref="C92:J92" si="119">C2</f>
        <v>421Aa</v>
      </c>
      <c r="D92" s="872" t="str">
        <f t="shared" si="119"/>
        <v>421Ab</v>
      </c>
      <c r="E92" s="872" t="str">
        <f t="shared" si="119"/>
        <v>422Aa</v>
      </c>
      <c r="F92" s="872" t="str">
        <f t="shared" si="119"/>
        <v>422Ab</v>
      </c>
      <c r="G92" s="872" t="str">
        <f t="shared" si="119"/>
        <v>423Aa</v>
      </c>
      <c r="H92" s="872" t="str">
        <f t="shared" si="119"/>
        <v>423Ab</v>
      </c>
      <c r="I92" s="872" t="str">
        <f t="shared" si="119"/>
        <v>424Aa</v>
      </c>
      <c r="J92" s="872" t="str">
        <f t="shared" si="119"/>
        <v>424Ab</v>
      </c>
      <c r="K92" s="872"/>
      <c r="L92" s="872" t="str">
        <f t="shared" ref="L92:R92" si="120">L2</f>
        <v>421Ba</v>
      </c>
      <c r="M92" s="872" t="str">
        <f t="shared" si="120"/>
        <v>421Bb</v>
      </c>
      <c r="N92" s="872" t="str">
        <f t="shared" si="120"/>
        <v>422Ba</v>
      </c>
      <c r="O92" s="872" t="str">
        <f t="shared" si="120"/>
        <v>422Bb</v>
      </c>
      <c r="P92" s="872" t="str">
        <f t="shared" si="120"/>
        <v>423Ba</v>
      </c>
      <c r="Q92" s="872" t="str">
        <f t="shared" si="120"/>
        <v>423Bb</v>
      </c>
      <c r="R92" s="872" t="str">
        <f t="shared" si="120"/>
        <v>424Ba</v>
      </c>
      <c r="S92" s="872"/>
      <c r="T92" s="872" t="str">
        <f t="shared" ref="T92:AA92" si="121">T2</f>
        <v>421Ca</v>
      </c>
      <c r="U92" s="872" t="str">
        <f t="shared" si="121"/>
        <v>421Cb</v>
      </c>
      <c r="V92" s="872" t="str">
        <f t="shared" si="121"/>
        <v>422Ca</v>
      </c>
      <c r="W92" s="872" t="str">
        <f t="shared" si="121"/>
        <v>422Cb</v>
      </c>
      <c r="X92" s="872" t="str">
        <f t="shared" si="121"/>
        <v>423Ca</v>
      </c>
      <c r="Y92" s="872" t="str">
        <f t="shared" si="121"/>
        <v>423Cb</v>
      </c>
      <c r="Z92" s="872" t="str">
        <f t="shared" si="121"/>
        <v>424Ca</v>
      </c>
      <c r="AA92" s="872" t="str">
        <f t="shared" si="121"/>
        <v>424Cb</v>
      </c>
      <c r="AB92" s="872"/>
      <c r="AC92" s="872" t="str">
        <f t="shared" ref="AC92:AJ92" si="122">AC2</f>
        <v>421Da</v>
      </c>
      <c r="AD92" s="872" t="str">
        <f t="shared" si="122"/>
        <v>421Db</v>
      </c>
      <c r="AE92" s="872" t="str">
        <f t="shared" si="122"/>
        <v>422Da</v>
      </c>
      <c r="AF92" s="872" t="str">
        <f t="shared" si="122"/>
        <v>422Db</v>
      </c>
      <c r="AG92" s="872" t="str">
        <f t="shared" si="122"/>
        <v>423Da</v>
      </c>
      <c r="AH92" s="872" t="str">
        <f t="shared" si="122"/>
        <v>423Db</v>
      </c>
      <c r="AI92" s="872" t="str">
        <f t="shared" si="122"/>
        <v>424Da</v>
      </c>
      <c r="AJ92" s="872" t="str">
        <f t="shared" si="122"/>
        <v>424Db</v>
      </c>
      <c r="AK92" s="872"/>
      <c r="AL92" s="872" t="str">
        <f t="shared" ref="AL92:AS92" si="123">AL2</f>
        <v>421Ea</v>
      </c>
      <c r="AM92" s="872" t="str">
        <f t="shared" si="123"/>
        <v>421Eb</v>
      </c>
      <c r="AN92" s="872" t="str">
        <f t="shared" si="123"/>
        <v>422Ea</v>
      </c>
      <c r="AO92" s="872" t="str">
        <f t="shared" si="123"/>
        <v>422Eb</v>
      </c>
      <c r="AP92" s="872" t="str">
        <f t="shared" si="123"/>
        <v>423Ea</v>
      </c>
      <c r="AQ92" s="872" t="str">
        <f t="shared" si="123"/>
        <v>423Eb</v>
      </c>
      <c r="AR92" s="872" t="str">
        <f t="shared" si="123"/>
        <v>424Ea</v>
      </c>
      <c r="AS92" s="872" t="str">
        <f t="shared" si="123"/>
        <v>424Eb</v>
      </c>
      <c r="AT92" s="872"/>
      <c r="AU92" s="872" t="str">
        <f t="shared" ref="AU92:AZ92" si="124">AU2</f>
        <v>421Fa</v>
      </c>
      <c r="AV92" s="872" t="str">
        <f t="shared" si="124"/>
        <v>421Fb</v>
      </c>
      <c r="AW92" s="872" t="str">
        <f t="shared" si="124"/>
        <v>422Fa</v>
      </c>
      <c r="AX92" s="872" t="str">
        <f t="shared" si="124"/>
        <v>422Fb</v>
      </c>
      <c r="AY92" s="872" t="str">
        <f t="shared" si="124"/>
        <v>423Fa</v>
      </c>
      <c r="AZ92" s="872" t="str">
        <f t="shared" si="124"/>
        <v>423Fb</v>
      </c>
      <c r="BA92" s="872"/>
      <c r="BB92" s="872" t="str">
        <f t="shared" ref="BB92:BH92" si="125">BB2</f>
        <v>421Ga</v>
      </c>
      <c r="BC92" s="872" t="str">
        <f t="shared" si="125"/>
        <v>421Gb</v>
      </c>
      <c r="BD92" s="872" t="str">
        <f t="shared" si="125"/>
        <v>422Ga</v>
      </c>
      <c r="BE92" s="872" t="str">
        <f t="shared" si="125"/>
        <v>422Gb</v>
      </c>
      <c r="BF92" s="872" t="str">
        <f t="shared" si="125"/>
        <v>423Ga</v>
      </c>
      <c r="BG92" s="872" t="str">
        <f t="shared" si="125"/>
        <v>423Gb</v>
      </c>
      <c r="BH92" s="872" t="str">
        <f t="shared" si="125"/>
        <v>424Ga</v>
      </c>
      <c r="BI92" s="17"/>
      <c r="BJ92" s="17"/>
      <c r="BK92" s="17"/>
      <c r="BL92" s="92"/>
      <c r="BM92" s="92"/>
      <c r="BN92" s="92"/>
      <c r="BO92" s="92"/>
      <c r="BP92" s="92"/>
      <c r="BQ92" s="818"/>
      <c r="BR92" s="54"/>
      <c r="BS92" s="54"/>
      <c r="BT92" s="818"/>
      <c r="BU92" s="818"/>
      <c r="BV92" s="818"/>
      <c r="BW92" s="92"/>
      <c r="BX92" s="92"/>
      <c r="BY92" s="17"/>
      <c r="BZ92" s="17"/>
      <c r="CA92" s="17"/>
      <c r="CB92" s="17"/>
      <c r="CC92" s="17"/>
      <c r="CD92" s="17"/>
    </row>
    <row r="93">
      <c r="A93" s="92"/>
      <c r="B93" s="873" t="s">
        <v>1538</v>
      </c>
      <c r="C93" s="874" t="s">
        <v>1539</v>
      </c>
      <c r="D93" s="874" t="s">
        <v>1539</v>
      </c>
      <c r="E93" s="874" t="s">
        <v>1539</v>
      </c>
      <c r="F93" s="874" t="s">
        <v>1539</v>
      </c>
      <c r="G93" s="874" t="s">
        <v>1539</v>
      </c>
      <c r="H93" s="874" t="s">
        <v>1539</v>
      </c>
      <c r="I93" s="874" t="s">
        <v>1539</v>
      </c>
      <c r="J93" s="874" t="s">
        <v>1539</v>
      </c>
      <c r="K93" s="876"/>
      <c r="L93" s="874" t="s">
        <v>1539</v>
      </c>
      <c r="M93" s="874" t="s">
        <v>1539</v>
      </c>
      <c r="N93" s="874" t="s">
        <v>1539</v>
      </c>
      <c r="O93" s="874" t="s">
        <v>1539</v>
      </c>
      <c r="P93" s="874" t="s">
        <v>1539</v>
      </c>
      <c r="Q93" s="874" t="s">
        <v>1539</v>
      </c>
      <c r="R93" s="874" t="s">
        <v>1539</v>
      </c>
      <c r="S93" s="876"/>
      <c r="T93" s="874" t="s">
        <v>1539</v>
      </c>
      <c r="U93" s="874" t="s">
        <v>1539</v>
      </c>
      <c r="V93" s="874" t="s">
        <v>1539</v>
      </c>
      <c r="W93" s="874" t="s">
        <v>1539</v>
      </c>
      <c r="X93" s="874" t="s">
        <v>1539</v>
      </c>
      <c r="Y93" s="874" t="s">
        <v>1539</v>
      </c>
      <c r="Z93" s="874" t="s">
        <v>1539</v>
      </c>
      <c r="AA93" s="874" t="s">
        <v>1539</v>
      </c>
      <c r="AB93" s="876"/>
      <c r="AC93" s="874" t="s">
        <v>1539</v>
      </c>
      <c r="AD93" s="874" t="s">
        <v>1539</v>
      </c>
      <c r="AE93" s="874" t="s">
        <v>1539</v>
      </c>
      <c r="AF93" s="874" t="s">
        <v>1539</v>
      </c>
      <c r="AG93" s="874" t="s">
        <v>1539</v>
      </c>
      <c r="AH93" s="874" t="s">
        <v>1539</v>
      </c>
      <c r="AI93" s="874" t="s">
        <v>1539</v>
      </c>
      <c r="AJ93" s="874" t="s">
        <v>1539</v>
      </c>
      <c r="AK93" s="876"/>
      <c r="AL93" s="874" t="s">
        <v>1539</v>
      </c>
      <c r="AM93" s="874" t="s">
        <v>1539</v>
      </c>
      <c r="AN93" s="874" t="s">
        <v>1539</v>
      </c>
      <c r="AO93" s="874" t="s">
        <v>1539</v>
      </c>
      <c r="AP93" s="874" t="s">
        <v>1539</v>
      </c>
      <c r="AQ93" s="874" t="s">
        <v>1539</v>
      </c>
      <c r="AR93" s="874" t="s">
        <v>1539</v>
      </c>
      <c r="AS93" s="874" t="s">
        <v>1539</v>
      </c>
      <c r="AT93" s="876"/>
      <c r="AU93" s="874" t="s">
        <v>1539</v>
      </c>
      <c r="AV93" s="874" t="s">
        <v>1539</v>
      </c>
      <c r="AW93" s="874" t="s">
        <v>1539</v>
      </c>
      <c r="AX93" s="874" t="s">
        <v>1539</v>
      </c>
      <c r="AY93" s="874" t="s">
        <v>1539</v>
      </c>
      <c r="AZ93" s="874" t="s">
        <v>1539</v>
      </c>
      <c r="BA93" s="876"/>
      <c r="BB93" s="874" t="s">
        <v>1539</v>
      </c>
      <c r="BC93" s="874" t="s">
        <v>1539</v>
      </c>
      <c r="BD93" s="874" t="s">
        <v>1539</v>
      </c>
      <c r="BE93" s="874" t="s">
        <v>1539</v>
      </c>
      <c r="BF93" s="874" t="s">
        <v>1539</v>
      </c>
      <c r="BG93" s="874" t="s">
        <v>1539</v>
      </c>
      <c r="BH93" s="874" t="s">
        <v>1539</v>
      </c>
      <c r="BI93" s="92"/>
      <c r="BJ93" s="92"/>
      <c r="BK93" s="818"/>
      <c r="BL93" s="54"/>
      <c r="BM93" s="54"/>
      <c r="BN93" s="818"/>
      <c r="BO93" s="818"/>
      <c r="BP93" s="818"/>
      <c r="BQ93" s="92"/>
      <c r="BR93" s="92"/>
      <c r="BS93" s="17"/>
      <c r="BT93" s="818"/>
      <c r="BU93" s="818"/>
      <c r="BV93" s="818"/>
      <c r="BW93" s="92"/>
      <c r="BX93" s="92"/>
      <c r="BY93" s="17"/>
      <c r="BZ93" s="17"/>
      <c r="CA93" s="17"/>
      <c r="CB93" s="17"/>
      <c r="CC93" s="17"/>
      <c r="CD93" s="17"/>
    </row>
    <row r="94">
      <c r="A94" s="92"/>
      <c r="B94" s="873" t="s">
        <v>1541</v>
      </c>
      <c r="C94" s="874" t="s">
        <v>1539</v>
      </c>
      <c r="D94" s="874" t="s">
        <v>1539</v>
      </c>
      <c r="E94" s="874" t="s">
        <v>1539</v>
      </c>
      <c r="F94" s="874" t="s">
        <v>1539</v>
      </c>
      <c r="G94" s="874" t="s">
        <v>1539</v>
      </c>
      <c r="H94" s="874" t="s">
        <v>1539</v>
      </c>
      <c r="I94" s="874" t="s">
        <v>1539</v>
      </c>
      <c r="J94" s="874" t="s">
        <v>1539</v>
      </c>
      <c r="K94" s="876"/>
      <c r="L94" s="874" t="s">
        <v>1539</v>
      </c>
      <c r="M94" s="874" t="s">
        <v>1539</v>
      </c>
      <c r="N94" s="874" t="s">
        <v>1539</v>
      </c>
      <c r="O94" s="874" t="s">
        <v>1539</v>
      </c>
      <c r="P94" s="874" t="s">
        <v>1539</v>
      </c>
      <c r="Q94" s="874" t="s">
        <v>1539</v>
      </c>
      <c r="R94" s="874" t="s">
        <v>1539</v>
      </c>
      <c r="S94" s="876"/>
      <c r="T94" s="874" t="s">
        <v>1539</v>
      </c>
      <c r="U94" s="874" t="s">
        <v>1539</v>
      </c>
      <c r="V94" s="874" t="s">
        <v>1539</v>
      </c>
      <c r="W94" s="874" t="s">
        <v>1539</v>
      </c>
      <c r="X94" s="874" t="s">
        <v>1539</v>
      </c>
      <c r="Y94" s="874" t="s">
        <v>1539</v>
      </c>
      <c r="Z94" s="874" t="s">
        <v>1539</v>
      </c>
      <c r="AA94" s="874" t="s">
        <v>1539</v>
      </c>
      <c r="AB94" s="876"/>
      <c r="AC94" s="874" t="s">
        <v>1539</v>
      </c>
      <c r="AD94" s="874" t="s">
        <v>1539</v>
      </c>
      <c r="AE94" s="874" t="s">
        <v>1539</v>
      </c>
      <c r="AF94" s="874" t="s">
        <v>1539</v>
      </c>
      <c r="AG94" s="874" t="s">
        <v>1539</v>
      </c>
      <c r="AH94" s="874" t="s">
        <v>1539</v>
      </c>
      <c r="AI94" s="874" t="s">
        <v>1539</v>
      </c>
      <c r="AJ94" s="874" t="s">
        <v>1539</v>
      </c>
      <c r="AK94" s="876"/>
      <c r="AL94" s="874" t="s">
        <v>1539</v>
      </c>
      <c r="AM94" s="874" t="s">
        <v>1539</v>
      </c>
      <c r="AN94" s="874" t="s">
        <v>1539</v>
      </c>
      <c r="AO94" s="874" t="s">
        <v>1539</v>
      </c>
      <c r="AP94" s="874" t="s">
        <v>1539</v>
      </c>
      <c r="AQ94" s="874" t="s">
        <v>1539</v>
      </c>
      <c r="AR94" s="874" t="s">
        <v>1539</v>
      </c>
      <c r="AS94" s="874" t="s">
        <v>1539</v>
      </c>
      <c r="AT94" s="876"/>
      <c r="AU94" s="874" t="s">
        <v>1539</v>
      </c>
      <c r="AV94" s="874" t="s">
        <v>1539</v>
      </c>
      <c r="AW94" s="874" t="s">
        <v>1539</v>
      </c>
      <c r="AX94" s="874" t="s">
        <v>1539</v>
      </c>
      <c r="AY94" s="874" t="s">
        <v>1539</v>
      </c>
      <c r="AZ94" s="874" t="s">
        <v>1539</v>
      </c>
      <c r="BA94" s="876"/>
      <c r="BB94" s="874" t="s">
        <v>1539</v>
      </c>
      <c r="BC94" s="874" t="s">
        <v>1539</v>
      </c>
      <c r="BD94" s="874" t="s">
        <v>1539</v>
      </c>
      <c r="BE94" s="874" t="s">
        <v>1539</v>
      </c>
      <c r="BF94" s="874" t="s">
        <v>1539</v>
      </c>
      <c r="BG94" s="874" t="s">
        <v>1539</v>
      </c>
      <c r="BH94" s="874" t="s">
        <v>1539</v>
      </c>
      <c r="BI94" s="92"/>
      <c r="BJ94" s="92"/>
      <c r="BK94" s="818"/>
      <c r="BL94" s="54"/>
      <c r="BM94" s="54"/>
      <c r="BN94" s="818"/>
      <c r="BO94" s="818"/>
      <c r="BP94" s="818"/>
      <c r="BQ94" s="92"/>
      <c r="BR94" s="92"/>
      <c r="BS94" s="17"/>
      <c r="BT94" s="818"/>
      <c r="BU94" s="818"/>
      <c r="BV94" s="818"/>
      <c r="BW94" s="92"/>
      <c r="BX94" s="92"/>
      <c r="BY94" s="17"/>
      <c r="BZ94" s="17"/>
      <c r="CA94" s="17"/>
      <c r="CB94" s="17"/>
      <c r="CC94" s="17"/>
      <c r="CD94" s="17"/>
    </row>
    <row r="95">
      <c r="A95" s="92"/>
      <c r="B95" s="882" t="s">
        <v>1549</v>
      </c>
      <c r="C95" s="874" t="s">
        <v>1539</v>
      </c>
      <c r="D95" s="874" t="s">
        <v>1539</v>
      </c>
      <c r="E95" s="874" t="s">
        <v>1539</v>
      </c>
      <c r="F95" s="874" t="s">
        <v>1539</v>
      </c>
      <c r="G95" s="874" t="s">
        <v>1539</v>
      </c>
      <c r="H95" s="874" t="s">
        <v>1539</v>
      </c>
      <c r="I95" s="874" t="s">
        <v>1539</v>
      </c>
      <c r="J95" s="874" t="s">
        <v>1539</v>
      </c>
      <c r="K95" s="876"/>
      <c r="L95" s="874" t="s">
        <v>1539</v>
      </c>
      <c r="M95" s="884" t="s">
        <v>1539</v>
      </c>
      <c r="N95" s="874" t="s">
        <v>1539</v>
      </c>
      <c r="O95" s="874" t="s">
        <v>1539</v>
      </c>
      <c r="P95" s="874" t="s">
        <v>1539</v>
      </c>
      <c r="Q95" s="884" t="s">
        <v>1539</v>
      </c>
      <c r="R95" s="874" t="s">
        <v>1539</v>
      </c>
      <c r="S95" s="876"/>
      <c r="T95" s="874" t="s">
        <v>1539</v>
      </c>
      <c r="U95" s="874" t="s">
        <v>1539</v>
      </c>
      <c r="V95" s="874" t="s">
        <v>1539</v>
      </c>
      <c r="W95" s="874" t="s">
        <v>1539</v>
      </c>
      <c r="X95" s="874" t="s">
        <v>1539</v>
      </c>
      <c r="Y95" s="874" t="s">
        <v>1539</v>
      </c>
      <c r="Z95" s="874" t="s">
        <v>1539</v>
      </c>
      <c r="AA95" s="874" t="s">
        <v>1539</v>
      </c>
      <c r="AB95" s="876"/>
      <c r="AC95" s="874" t="s">
        <v>1539</v>
      </c>
      <c r="AD95" s="874" t="s">
        <v>1539</v>
      </c>
      <c r="AE95" s="874" t="s">
        <v>1539</v>
      </c>
      <c r="AF95" s="874" t="s">
        <v>1539</v>
      </c>
      <c r="AG95" s="874" t="s">
        <v>1539</v>
      </c>
      <c r="AH95" s="874" t="s">
        <v>1539</v>
      </c>
      <c r="AI95" s="874" t="s">
        <v>1539</v>
      </c>
      <c r="AJ95" s="874" t="s">
        <v>1539</v>
      </c>
      <c r="AK95" s="874"/>
      <c r="AL95" s="874" t="s">
        <v>1539</v>
      </c>
      <c r="AM95" s="874" t="s">
        <v>1539</v>
      </c>
      <c r="AN95" s="874" t="s">
        <v>1539</v>
      </c>
      <c r="AO95" s="874" t="s">
        <v>1539</v>
      </c>
      <c r="AP95" s="874" t="s">
        <v>1539</v>
      </c>
      <c r="AQ95" s="874" t="s">
        <v>1539</v>
      </c>
      <c r="AR95" s="874" t="s">
        <v>1539</v>
      </c>
      <c r="AS95" s="874" t="s">
        <v>1539</v>
      </c>
      <c r="AT95" s="876"/>
      <c r="AU95" s="874" t="s">
        <v>1539</v>
      </c>
      <c r="AV95" s="874" t="s">
        <v>1539</v>
      </c>
      <c r="AW95" s="874" t="s">
        <v>1539</v>
      </c>
      <c r="AX95" s="874" t="s">
        <v>1539</v>
      </c>
      <c r="AY95" s="874" t="s">
        <v>1539</v>
      </c>
      <c r="AZ95" s="874" t="s">
        <v>1539</v>
      </c>
      <c r="BA95" s="876"/>
      <c r="BB95" s="874" t="s">
        <v>1539</v>
      </c>
      <c r="BC95" s="874" t="s">
        <v>1539</v>
      </c>
      <c r="BD95" s="874" t="s">
        <v>1539</v>
      </c>
      <c r="BE95" s="874" t="s">
        <v>1539</v>
      </c>
      <c r="BF95" s="874" t="s">
        <v>1539</v>
      </c>
      <c r="BG95" s="884" t="s">
        <v>1539</v>
      </c>
      <c r="BH95" s="874" t="s">
        <v>1539</v>
      </c>
      <c r="BI95" s="250"/>
      <c r="BJ95" s="250"/>
      <c r="BK95" s="250"/>
      <c r="BL95" s="250"/>
      <c r="BM95" s="250"/>
      <c r="BN95" s="250"/>
      <c r="BO95" s="250"/>
      <c r="BP95" s="250"/>
      <c r="BQ95" s="250"/>
      <c r="BR95" s="250"/>
      <c r="BS95" s="250"/>
      <c r="BT95" s="250"/>
      <c r="BU95" s="250"/>
      <c r="BV95" s="818"/>
      <c r="BW95" s="92"/>
      <c r="BX95" s="92"/>
      <c r="BY95" s="17"/>
      <c r="BZ95" s="17"/>
      <c r="CA95" s="17"/>
      <c r="CB95" s="17"/>
      <c r="CC95" s="17"/>
      <c r="CD95" s="17"/>
    </row>
    <row r="96">
      <c r="A96" s="92"/>
      <c r="B96" s="882" t="s">
        <v>1552</v>
      </c>
      <c r="C96" s="874" t="s">
        <v>1539</v>
      </c>
      <c r="D96" s="874" t="s">
        <v>1539</v>
      </c>
      <c r="E96" s="874" t="s">
        <v>1539</v>
      </c>
      <c r="F96" s="874" t="s">
        <v>1539</v>
      </c>
      <c r="G96" s="874" t="s">
        <v>1539</v>
      </c>
      <c r="H96" s="874" t="s">
        <v>1539</v>
      </c>
      <c r="I96" s="874" t="s">
        <v>1539</v>
      </c>
      <c r="J96" s="874" t="s">
        <v>1539</v>
      </c>
      <c r="K96" s="876"/>
      <c r="L96" s="874" t="s">
        <v>1539</v>
      </c>
      <c r="M96" s="884" t="s">
        <v>1539</v>
      </c>
      <c r="N96" s="874" t="s">
        <v>1539</v>
      </c>
      <c r="O96" s="874" t="s">
        <v>1539</v>
      </c>
      <c r="P96" s="874" t="s">
        <v>1539</v>
      </c>
      <c r="Q96" s="884" t="s">
        <v>1539</v>
      </c>
      <c r="R96" s="874" t="s">
        <v>1539</v>
      </c>
      <c r="S96" s="876"/>
      <c r="T96" s="874" t="s">
        <v>1539</v>
      </c>
      <c r="U96" s="874" t="s">
        <v>1539</v>
      </c>
      <c r="V96" s="874" t="s">
        <v>1539</v>
      </c>
      <c r="W96" s="874" t="s">
        <v>1539</v>
      </c>
      <c r="X96" s="874" t="s">
        <v>1539</v>
      </c>
      <c r="Y96" s="874" t="s">
        <v>1539</v>
      </c>
      <c r="Z96" s="874" t="s">
        <v>1539</v>
      </c>
      <c r="AA96" s="874" t="s">
        <v>1539</v>
      </c>
      <c r="AB96" s="876"/>
      <c r="AC96" s="874" t="s">
        <v>1539</v>
      </c>
      <c r="AD96" s="874" t="s">
        <v>1539</v>
      </c>
      <c r="AE96" s="874" t="s">
        <v>1539</v>
      </c>
      <c r="AF96" s="874" t="s">
        <v>1539</v>
      </c>
      <c r="AG96" s="874" t="s">
        <v>1539</v>
      </c>
      <c r="AH96" s="874" t="s">
        <v>1539</v>
      </c>
      <c r="AI96" s="874" t="s">
        <v>1539</v>
      </c>
      <c r="AJ96" s="874" t="s">
        <v>1539</v>
      </c>
      <c r="AK96" s="874"/>
      <c r="AL96" s="874" t="s">
        <v>1539</v>
      </c>
      <c r="AM96" s="874" t="s">
        <v>1539</v>
      </c>
      <c r="AN96" s="874" t="s">
        <v>1539</v>
      </c>
      <c r="AO96" s="874" t="s">
        <v>1539</v>
      </c>
      <c r="AP96" s="874" t="s">
        <v>1539</v>
      </c>
      <c r="AQ96" s="874" t="s">
        <v>1539</v>
      </c>
      <c r="AR96" s="874" t="s">
        <v>1539</v>
      </c>
      <c r="AS96" s="874" t="s">
        <v>1539</v>
      </c>
      <c r="AT96" s="876"/>
      <c r="AU96" s="874" t="s">
        <v>1539</v>
      </c>
      <c r="AV96" s="874" t="s">
        <v>1539</v>
      </c>
      <c r="AW96" s="874" t="s">
        <v>1539</v>
      </c>
      <c r="AX96" s="874" t="s">
        <v>1539</v>
      </c>
      <c r="AY96" s="874" t="s">
        <v>1539</v>
      </c>
      <c r="AZ96" s="874" t="s">
        <v>1539</v>
      </c>
      <c r="BA96" s="876"/>
      <c r="BB96" s="874" t="s">
        <v>1539</v>
      </c>
      <c r="BC96" s="874" t="s">
        <v>1539</v>
      </c>
      <c r="BD96" s="874" t="s">
        <v>1539</v>
      </c>
      <c r="BE96" s="874" t="s">
        <v>1539</v>
      </c>
      <c r="BF96" s="874" t="s">
        <v>1539</v>
      </c>
      <c r="BG96" s="884" t="s">
        <v>1539</v>
      </c>
      <c r="BH96" s="874" t="s">
        <v>1539</v>
      </c>
      <c r="BI96" s="250"/>
      <c r="BJ96" s="250"/>
      <c r="BK96" s="250"/>
      <c r="BL96" s="250"/>
      <c r="BM96" s="250"/>
      <c r="BN96" s="250"/>
      <c r="BO96" s="250"/>
      <c r="BP96" s="250"/>
      <c r="BQ96" s="250"/>
      <c r="BR96" s="250"/>
      <c r="BS96" s="250"/>
      <c r="BT96" s="250"/>
      <c r="BU96" s="250"/>
      <c r="BV96" s="818"/>
      <c r="BW96" s="92"/>
      <c r="BX96" s="92"/>
      <c r="BY96" s="17"/>
      <c r="BZ96" s="17"/>
      <c r="CA96" s="17"/>
      <c r="CB96" s="17"/>
      <c r="CC96" s="17"/>
      <c r="CD96" s="17"/>
    </row>
    <row r="97">
      <c r="A97" s="92"/>
      <c r="B97" s="882" t="s">
        <v>1563</v>
      </c>
      <c r="C97" s="874" t="s">
        <v>1539</v>
      </c>
      <c r="D97" s="874" t="s">
        <v>1539</v>
      </c>
      <c r="E97" s="874" t="s">
        <v>1539</v>
      </c>
      <c r="F97" s="874" t="s">
        <v>1539</v>
      </c>
      <c r="G97" s="874" t="s">
        <v>1539</v>
      </c>
      <c r="H97" s="874" t="s">
        <v>1539</v>
      </c>
      <c r="I97" s="874" t="s">
        <v>1539</v>
      </c>
      <c r="J97" s="874" t="s">
        <v>1539</v>
      </c>
      <c r="K97" s="876"/>
      <c r="L97" s="874" t="s">
        <v>1539</v>
      </c>
      <c r="M97" s="874" t="s">
        <v>1539</v>
      </c>
      <c r="N97" s="874" t="s">
        <v>1539</v>
      </c>
      <c r="O97" s="874" t="s">
        <v>1539</v>
      </c>
      <c r="P97" s="874" t="s">
        <v>1539</v>
      </c>
      <c r="Q97" s="874" t="s">
        <v>1539</v>
      </c>
      <c r="R97" s="874" t="s">
        <v>1539</v>
      </c>
      <c r="S97" s="876"/>
      <c r="T97" s="874" t="s">
        <v>1539</v>
      </c>
      <c r="U97" s="874" t="s">
        <v>1539</v>
      </c>
      <c r="V97" s="874" t="s">
        <v>1539</v>
      </c>
      <c r="W97" s="874" t="s">
        <v>1539</v>
      </c>
      <c r="X97" s="874" t="s">
        <v>1539</v>
      </c>
      <c r="Y97" s="874" t="s">
        <v>1539</v>
      </c>
      <c r="Z97" s="874" t="s">
        <v>1539</v>
      </c>
      <c r="AA97" s="874" t="s">
        <v>1539</v>
      </c>
      <c r="AB97" s="876"/>
      <c r="AC97" s="874" t="s">
        <v>1539</v>
      </c>
      <c r="AD97" s="874" t="s">
        <v>1539</v>
      </c>
      <c r="AE97" s="874" t="s">
        <v>1539</v>
      </c>
      <c r="AF97" s="874" t="s">
        <v>1539</v>
      </c>
      <c r="AG97" s="874" t="s">
        <v>1539</v>
      </c>
      <c r="AH97" s="874" t="s">
        <v>1539</v>
      </c>
      <c r="AI97" s="874" t="s">
        <v>1539</v>
      </c>
      <c r="AJ97" s="874" t="s">
        <v>1539</v>
      </c>
      <c r="AK97" s="876"/>
      <c r="AL97" s="874" t="s">
        <v>1539</v>
      </c>
      <c r="AM97" s="874" t="s">
        <v>1539</v>
      </c>
      <c r="AN97" s="874" t="s">
        <v>1539</v>
      </c>
      <c r="AO97" s="874" t="s">
        <v>1539</v>
      </c>
      <c r="AP97" s="874" t="s">
        <v>1539</v>
      </c>
      <c r="AQ97" s="874" t="s">
        <v>1539</v>
      </c>
      <c r="AR97" s="874" t="s">
        <v>1539</v>
      </c>
      <c r="AS97" s="874" t="s">
        <v>1539</v>
      </c>
      <c r="AT97" s="876"/>
      <c r="AU97" s="874" t="s">
        <v>1539</v>
      </c>
      <c r="AV97" s="874" t="s">
        <v>1539</v>
      </c>
      <c r="AW97" s="874" t="s">
        <v>1539</v>
      </c>
      <c r="AX97" s="874" t="s">
        <v>1539</v>
      </c>
      <c r="AY97" s="874" t="s">
        <v>1539</v>
      </c>
      <c r="AZ97" s="874" t="s">
        <v>1539</v>
      </c>
      <c r="BA97" s="876"/>
      <c r="BB97" s="874" t="s">
        <v>1539</v>
      </c>
      <c r="BC97" s="874" t="s">
        <v>1539</v>
      </c>
      <c r="BD97" s="874" t="s">
        <v>1539</v>
      </c>
      <c r="BE97" s="874" t="s">
        <v>1539</v>
      </c>
      <c r="BF97" s="874" t="s">
        <v>1539</v>
      </c>
      <c r="BG97" s="874" t="s">
        <v>1539</v>
      </c>
      <c r="BH97" s="874" t="s">
        <v>1539</v>
      </c>
      <c r="BI97" s="17"/>
      <c r="BJ97" s="17"/>
      <c r="BK97" s="17"/>
      <c r="BL97" s="92"/>
      <c r="BM97" s="92"/>
      <c r="BN97" s="92"/>
      <c r="BO97" s="92"/>
      <c r="BP97" s="92"/>
      <c r="BQ97" s="818"/>
      <c r="BR97" s="54"/>
      <c r="BS97" s="54"/>
      <c r="BT97" s="818"/>
      <c r="BU97" s="818"/>
      <c r="BV97" s="818"/>
      <c r="BW97" s="92"/>
      <c r="BX97" s="92"/>
      <c r="BY97" s="17"/>
      <c r="BZ97" s="17"/>
      <c r="CA97" s="17"/>
      <c r="CB97" s="17"/>
      <c r="CC97" s="17"/>
      <c r="CD97" s="17"/>
    </row>
    <row r="98">
      <c r="A98" s="92"/>
      <c r="B98" s="882" t="s">
        <v>1573</v>
      </c>
      <c r="C98" s="874" t="s">
        <v>1539</v>
      </c>
      <c r="D98" s="874" t="s">
        <v>1539</v>
      </c>
      <c r="E98" s="874" t="s">
        <v>1539</v>
      </c>
      <c r="F98" s="874" t="s">
        <v>1539</v>
      </c>
      <c r="G98" s="874" t="s">
        <v>1539</v>
      </c>
      <c r="H98" s="874" t="s">
        <v>1539</v>
      </c>
      <c r="I98" s="874" t="s">
        <v>1539</v>
      </c>
      <c r="J98" s="874" t="s">
        <v>1539</v>
      </c>
      <c r="K98" s="876"/>
      <c r="L98" s="874" t="s">
        <v>1539</v>
      </c>
      <c r="M98" s="874" t="s">
        <v>1539</v>
      </c>
      <c r="N98" s="874" t="s">
        <v>1539</v>
      </c>
      <c r="O98" s="874" t="s">
        <v>1539</v>
      </c>
      <c r="P98" s="874" t="s">
        <v>1539</v>
      </c>
      <c r="Q98" s="874" t="s">
        <v>1539</v>
      </c>
      <c r="R98" s="874" t="s">
        <v>1539</v>
      </c>
      <c r="S98" s="876"/>
      <c r="T98" s="874" t="s">
        <v>1539</v>
      </c>
      <c r="U98" s="874" t="s">
        <v>1539</v>
      </c>
      <c r="V98" s="874" t="s">
        <v>1539</v>
      </c>
      <c r="W98" s="874" t="s">
        <v>1539</v>
      </c>
      <c r="X98" s="874" t="s">
        <v>1539</v>
      </c>
      <c r="Y98" s="874" t="s">
        <v>1539</v>
      </c>
      <c r="Z98" s="874" t="s">
        <v>1539</v>
      </c>
      <c r="AA98" s="874" t="s">
        <v>1539</v>
      </c>
      <c r="AB98" s="876"/>
      <c r="AC98" s="874" t="s">
        <v>1539</v>
      </c>
      <c r="AD98" s="874" t="s">
        <v>1539</v>
      </c>
      <c r="AE98" s="874" t="s">
        <v>1539</v>
      </c>
      <c r="AF98" s="874" t="s">
        <v>1539</v>
      </c>
      <c r="AG98" s="874" t="s">
        <v>1539</v>
      </c>
      <c r="AH98" s="874" t="s">
        <v>1539</v>
      </c>
      <c r="AI98" s="874" t="s">
        <v>1539</v>
      </c>
      <c r="AJ98" s="874" t="s">
        <v>1539</v>
      </c>
      <c r="AK98" s="876"/>
      <c r="AL98" s="874" t="s">
        <v>1539</v>
      </c>
      <c r="AM98" s="874" t="s">
        <v>1539</v>
      </c>
      <c r="AN98" s="874" t="s">
        <v>1539</v>
      </c>
      <c r="AO98" s="874" t="s">
        <v>1539</v>
      </c>
      <c r="AP98" s="874" t="s">
        <v>1539</v>
      </c>
      <c r="AQ98" s="874" t="s">
        <v>1539</v>
      </c>
      <c r="AR98" s="874" t="s">
        <v>1539</v>
      </c>
      <c r="AS98" s="874" t="s">
        <v>1539</v>
      </c>
      <c r="AT98" s="876"/>
      <c r="AU98" s="874" t="s">
        <v>1539</v>
      </c>
      <c r="AV98" s="874" t="s">
        <v>1539</v>
      </c>
      <c r="AW98" s="874" t="s">
        <v>1539</v>
      </c>
      <c r="AX98" s="874" t="s">
        <v>1539</v>
      </c>
      <c r="AY98" s="874" t="s">
        <v>1539</v>
      </c>
      <c r="AZ98" s="874" t="s">
        <v>1539</v>
      </c>
      <c r="BA98" s="876"/>
      <c r="BB98" s="874" t="s">
        <v>1539</v>
      </c>
      <c r="BC98" s="874" t="s">
        <v>1539</v>
      </c>
      <c r="BD98" s="874" t="s">
        <v>1539</v>
      </c>
      <c r="BE98" s="874" t="s">
        <v>1539</v>
      </c>
      <c r="BF98" s="874" t="s">
        <v>1539</v>
      </c>
      <c r="BG98" s="874" t="s">
        <v>1539</v>
      </c>
      <c r="BH98" s="874" t="s">
        <v>1539</v>
      </c>
      <c r="BI98" s="17"/>
      <c r="BJ98" s="17"/>
      <c r="BK98" s="17"/>
      <c r="BL98" s="92"/>
      <c r="BM98" s="92"/>
      <c r="BN98" s="92"/>
      <c r="BO98" s="92"/>
      <c r="BP98" s="92"/>
      <c r="BQ98" s="818"/>
      <c r="BR98" s="54"/>
      <c r="BS98" s="54"/>
      <c r="BT98" s="818"/>
      <c r="BU98" s="818"/>
      <c r="BV98" s="818"/>
      <c r="BW98" s="92"/>
      <c r="BX98" s="92"/>
      <c r="BY98" s="17"/>
      <c r="BZ98" s="17"/>
      <c r="CA98" s="17"/>
      <c r="CB98" s="17"/>
      <c r="CC98" s="17"/>
      <c r="CD98" s="17"/>
    </row>
    <row r="99">
      <c r="A99" s="92"/>
      <c r="B99" s="882" t="s">
        <v>1579</v>
      </c>
      <c r="C99" s="874" t="s">
        <v>1539</v>
      </c>
      <c r="D99" s="874" t="s">
        <v>1539</v>
      </c>
      <c r="E99" s="874" t="s">
        <v>1539</v>
      </c>
      <c r="F99" s="874" t="s">
        <v>1539</v>
      </c>
      <c r="G99" s="874" t="s">
        <v>1539</v>
      </c>
      <c r="H99" s="874" t="s">
        <v>1539</v>
      </c>
      <c r="I99" s="874" t="s">
        <v>1539</v>
      </c>
      <c r="J99" s="874" t="s">
        <v>1539</v>
      </c>
      <c r="K99" s="876"/>
      <c r="L99" s="874" t="s">
        <v>1539</v>
      </c>
      <c r="M99" s="874" t="s">
        <v>1539</v>
      </c>
      <c r="N99" s="874" t="s">
        <v>1539</v>
      </c>
      <c r="O99" s="874" t="s">
        <v>1539</v>
      </c>
      <c r="P99" s="874" t="s">
        <v>1539</v>
      </c>
      <c r="Q99" s="874" t="s">
        <v>1539</v>
      </c>
      <c r="R99" s="874" t="s">
        <v>1539</v>
      </c>
      <c r="S99" s="876"/>
      <c r="T99" s="874" t="s">
        <v>1539</v>
      </c>
      <c r="U99" s="874" t="s">
        <v>1539</v>
      </c>
      <c r="V99" s="874" t="s">
        <v>1539</v>
      </c>
      <c r="W99" s="874" t="s">
        <v>1539</v>
      </c>
      <c r="X99" s="874" t="s">
        <v>1539</v>
      </c>
      <c r="Y99" s="874" t="s">
        <v>1539</v>
      </c>
      <c r="Z99" s="874" t="s">
        <v>1539</v>
      </c>
      <c r="AA99" s="874" t="s">
        <v>1539</v>
      </c>
      <c r="AB99" s="876"/>
      <c r="AC99" s="874" t="s">
        <v>1539</v>
      </c>
      <c r="AD99" s="874" t="s">
        <v>1539</v>
      </c>
      <c r="AE99" s="874" t="s">
        <v>1539</v>
      </c>
      <c r="AF99" s="874" t="s">
        <v>1539</v>
      </c>
      <c r="AG99" s="874" t="s">
        <v>1539</v>
      </c>
      <c r="AH99" s="874" t="s">
        <v>1539</v>
      </c>
      <c r="AI99" s="874" t="s">
        <v>1539</v>
      </c>
      <c r="AJ99" s="874" t="s">
        <v>1539</v>
      </c>
      <c r="AK99" s="876"/>
      <c r="AL99" s="874" t="s">
        <v>1539</v>
      </c>
      <c r="AM99" s="874" t="s">
        <v>1539</v>
      </c>
      <c r="AN99" s="874" t="s">
        <v>1539</v>
      </c>
      <c r="AO99" s="874" t="s">
        <v>1539</v>
      </c>
      <c r="AP99" s="874" t="s">
        <v>1539</v>
      </c>
      <c r="AQ99" s="874" t="s">
        <v>1539</v>
      </c>
      <c r="AR99" s="874" t="s">
        <v>1539</v>
      </c>
      <c r="AS99" s="874" t="s">
        <v>1539</v>
      </c>
      <c r="AT99" s="876"/>
      <c r="AU99" s="874" t="s">
        <v>1539</v>
      </c>
      <c r="AV99" s="874" t="s">
        <v>1539</v>
      </c>
      <c r="AW99" s="874" t="s">
        <v>1539</v>
      </c>
      <c r="AX99" s="874" t="s">
        <v>1539</v>
      </c>
      <c r="AY99" s="874" t="s">
        <v>1539</v>
      </c>
      <c r="AZ99" s="874" t="s">
        <v>1539</v>
      </c>
      <c r="BA99" s="876"/>
      <c r="BB99" s="874" t="s">
        <v>1539</v>
      </c>
      <c r="BC99" s="874" t="s">
        <v>1539</v>
      </c>
      <c r="BD99" s="874" t="s">
        <v>1539</v>
      </c>
      <c r="BE99" s="874" t="s">
        <v>1539</v>
      </c>
      <c r="BF99" s="874" t="s">
        <v>1539</v>
      </c>
      <c r="BG99" s="874" t="s">
        <v>1539</v>
      </c>
      <c r="BH99" s="874" t="s">
        <v>1539</v>
      </c>
      <c r="BI99" s="17"/>
      <c r="BJ99" s="17"/>
      <c r="BK99" s="17"/>
      <c r="BL99" s="92"/>
      <c r="BM99" s="92"/>
      <c r="BN99" s="92"/>
      <c r="BO99" s="92"/>
      <c r="BP99" s="92"/>
      <c r="BQ99" s="818"/>
      <c r="BR99" s="54"/>
      <c r="BS99" s="54"/>
      <c r="BT99" s="818"/>
      <c r="BU99" s="818"/>
      <c r="BV99" s="818"/>
      <c r="BW99" s="92"/>
      <c r="BX99" s="92"/>
      <c r="BY99" s="17"/>
      <c r="BZ99" s="17"/>
      <c r="CA99" s="17"/>
      <c r="CB99" s="17"/>
      <c r="CC99" s="17"/>
      <c r="CD99" s="17"/>
    </row>
    <row r="100">
      <c r="A100" s="92"/>
      <c r="B100" s="882" t="s">
        <v>1583</v>
      </c>
      <c r="C100" s="874" t="s">
        <v>1539</v>
      </c>
      <c r="D100" s="874" t="s">
        <v>1539</v>
      </c>
      <c r="E100" s="874" t="s">
        <v>1539</v>
      </c>
      <c r="F100" s="874" t="s">
        <v>1539</v>
      </c>
      <c r="G100" s="874" t="s">
        <v>1539</v>
      </c>
      <c r="H100" s="874" t="s">
        <v>1539</v>
      </c>
      <c r="I100" s="874" t="s">
        <v>1539</v>
      </c>
      <c r="J100" s="874" t="s">
        <v>1539</v>
      </c>
      <c r="K100" s="876"/>
      <c r="L100" s="874" t="s">
        <v>1539</v>
      </c>
      <c r="M100" s="874" t="s">
        <v>1539</v>
      </c>
      <c r="N100" s="874" t="s">
        <v>1539</v>
      </c>
      <c r="O100" s="874" t="s">
        <v>1539</v>
      </c>
      <c r="P100" s="874" t="s">
        <v>1539</v>
      </c>
      <c r="Q100" s="874" t="s">
        <v>1539</v>
      </c>
      <c r="R100" s="874" t="s">
        <v>1539</v>
      </c>
      <c r="S100" s="876"/>
      <c r="T100" s="874" t="s">
        <v>1539</v>
      </c>
      <c r="U100" s="874" t="s">
        <v>1539</v>
      </c>
      <c r="V100" s="874" t="s">
        <v>1539</v>
      </c>
      <c r="W100" s="874" t="s">
        <v>1539</v>
      </c>
      <c r="X100" s="874" t="s">
        <v>1539</v>
      </c>
      <c r="Y100" s="874" t="s">
        <v>1539</v>
      </c>
      <c r="Z100" s="874" t="s">
        <v>1539</v>
      </c>
      <c r="AA100" s="874" t="s">
        <v>1539</v>
      </c>
      <c r="AB100" s="876"/>
      <c r="AC100" s="874" t="s">
        <v>1539</v>
      </c>
      <c r="AD100" s="874" t="s">
        <v>1539</v>
      </c>
      <c r="AE100" s="874" t="s">
        <v>1539</v>
      </c>
      <c r="AF100" s="874" t="s">
        <v>1539</v>
      </c>
      <c r="AG100" s="874" t="s">
        <v>1539</v>
      </c>
      <c r="AH100" s="874" t="s">
        <v>1539</v>
      </c>
      <c r="AI100" s="874" t="s">
        <v>1539</v>
      </c>
      <c r="AJ100" s="874" t="s">
        <v>1539</v>
      </c>
      <c r="AK100" s="874"/>
      <c r="AL100" s="874" t="s">
        <v>1539</v>
      </c>
      <c r="AM100" s="874" t="s">
        <v>1539</v>
      </c>
      <c r="AN100" s="874" t="s">
        <v>1539</v>
      </c>
      <c r="AO100" s="874" t="s">
        <v>1539</v>
      </c>
      <c r="AP100" s="874" t="s">
        <v>1539</v>
      </c>
      <c r="AQ100" s="874" t="s">
        <v>1539</v>
      </c>
      <c r="AR100" s="874" t="s">
        <v>1539</v>
      </c>
      <c r="AS100" s="874" t="s">
        <v>1539</v>
      </c>
      <c r="AT100" s="876"/>
      <c r="AU100" s="874" t="s">
        <v>1539</v>
      </c>
      <c r="AV100" s="874" t="s">
        <v>1539</v>
      </c>
      <c r="AW100" s="874" t="s">
        <v>1539</v>
      </c>
      <c r="AX100" s="874" t="s">
        <v>1539</v>
      </c>
      <c r="AY100" s="874" t="s">
        <v>1539</v>
      </c>
      <c r="AZ100" s="874" t="s">
        <v>1539</v>
      </c>
      <c r="BA100" s="876"/>
      <c r="BB100" s="874" t="s">
        <v>1539</v>
      </c>
      <c r="BC100" s="874" t="s">
        <v>1539</v>
      </c>
      <c r="BD100" s="874" t="s">
        <v>1539</v>
      </c>
      <c r="BE100" s="874" t="s">
        <v>1539</v>
      </c>
      <c r="BF100" s="874" t="s">
        <v>1539</v>
      </c>
      <c r="BG100" s="874" t="s">
        <v>1539</v>
      </c>
      <c r="BH100" s="874" t="s">
        <v>1539</v>
      </c>
      <c r="BI100" s="17"/>
      <c r="BJ100" s="17"/>
      <c r="BK100" s="17"/>
      <c r="BL100" s="92"/>
      <c r="BM100" s="92"/>
      <c r="BN100" s="92"/>
      <c r="BO100" s="92"/>
      <c r="BP100" s="92"/>
      <c r="BQ100" s="818"/>
      <c r="BR100" s="54"/>
      <c r="BS100" s="54"/>
      <c r="BT100" s="818"/>
      <c r="BU100" s="818"/>
      <c r="BV100" s="818"/>
      <c r="BW100" s="92"/>
      <c r="BX100" s="92"/>
      <c r="BY100" s="17"/>
      <c r="BZ100" s="17"/>
      <c r="CA100" s="17"/>
      <c r="CB100" s="17"/>
      <c r="CC100" s="17"/>
      <c r="CD100" s="17"/>
    </row>
    <row r="101">
      <c r="A101" s="876"/>
      <c r="B101" s="882" t="s">
        <v>1587</v>
      </c>
      <c r="C101" s="874" t="s">
        <v>1539</v>
      </c>
      <c r="D101" s="874" t="s">
        <v>1539</v>
      </c>
      <c r="E101" s="874" t="s">
        <v>1539</v>
      </c>
      <c r="F101" s="874" t="s">
        <v>1539</v>
      </c>
      <c r="G101" s="874" t="s">
        <v>1539</v>
      </c>
      <c r="H101" s="874" t="s">
        <v>1539</v>
      </c>
      <c r="I101" s="874" t="s">
        <v>1539</v>
      </c>
      <c r="J101" s="874" t="s">
        <v>1539</v>
      </c>
      <c r="K101" s="876"/>
      <c r="L101" s="874" t="s">
        <v>1539</v>
      </c>
      <c r="M101" s="874" t="s">
        <v>1539</v>
      </c>
      <c r="N101" s="874" t="s">
        <v>1539</v>
      </c>
      <c r="O101" s="874" t="s">
        <v>1539</v>
      </c>
      <c r="P101" s="874" t="s">
        <v>1539</v>
      </c>
      <c r="Q101" s="874" t="s">
        <v>1539</v>
      </c>
      <c r="R101" s="874" t="s">
        <v>1539</v>
      </c>
      <c r="S101" s="876"/>
      <c r="T101" s="874" t="s">
        <v>1539</v>
      </c>
      <c r="U101" s="874" t="s">
        <v>1539</v>
      </c>
      <c r="V101" s="874" t="s">
        <v>1539</v>
      </c>
      <c r="W101" s="874" t="s">
        <v>1539</v>
      </c>
      <c r="X101" s="874" t="s">
        <v>1539</v>
      </c>
      <c r="Y101" s="874" t="s">
        <v>1539</v>
      </c>
      <c r="Z101" s="874" t="s">
        <v>1539</v>
      </c>
      <c r="AA101" s="874" t="s">
        <v>1539</v>
      </c>
      <c r="AB101" s="876"/>
      <c r="AC101" s="874"/>
      <c r="AD101" s="874" t="s">
        <v>1539</v>
      </c>
      <c r="AE101" s="874" t="s">
        <v>1539</v>
      </c>
      <c r="AF101" s="874" t="s">
        <v>1539</v>
      </c>
      <c r="AG101" s="874" t="s">
        <v>1539</v>
      </c>
      <c r="AH101" s="874" t="s">
        <v>1539</v>
      </c>
      <c r="AI101" s="874" t="s">
        <v>1539</v>
      </c>
      <c r="AJ101" s="874" t="s">
        <v>1539</v>
      </c>
      <c r="AK101" s="876"/>
      <c r="AL101" s="874" t="s">
        <v>1539</v>
      </c>
      <c r="AM101" s="874" t="s">
        <v>1539</v>
      </c>
      <c r="AN101" s="874" t="s">
        <v>1539</v>
      </c>
      <c r="AO101" s="874" t="s">
        <v>1539</v>
      </c>
      <c r="AP101" s="874" t="s">
        <v>1539</v>
      </c>
      <c r="AQ101" s="874" t="s">
        <v>1539</v>
      </c>
      <c r="AR101" s="874" t="s">
        <v>1539</v>
      </c>
      <c r="AS101" s="874" t="s">
        <v>1539</v>
      </c>
      <c r="AT101" s="876"/>
      <c r="AU101" s="874" t="s">
        <v>1539</v>
      </c>
      <c r="AV101" s="874" t="s">
        <v>1539</v>
      </c>
      <c r="AW101" s="874" t="s">
        <v>1539</v>
      </c>
      <c r="AX101" s="874" t="s">
        <v>1539</v>
      </c>
      <c r="AY101" s="874" t="s">
        <v>1539</v>
      </c>
      <c r="AZ101" s="874" t="s">
        <v>1539</v>
      </c>
      <c r="BA101" s="876"/>
      <c r="BB101" s="874" t="s">
        <v>1539</v>
      </c>
      <c r="BC101" s="874" t="s">
        <v>1539</v>
      </c>
      <c r="BD101" s="874" t="s">
        <v>1539</v>
      </c>
      <c r="BE101" s="874" t="s">
        <v>1539</v>
      </c>
      <c r="BF101" s="874" t="s">
        <v>1539</v>
      </c>
      <c r="BG101" s="874" t="s">
        <v>1539</v>
      </c>
      <c r="BH101" s="874" t="s">
        <v>1539</v>
      </c>
      <c r="BI101" s="905"/>
      <c r="BJ101" s="905"/>
      <c r="BK101" s="905"/>
      <c r="BL101" s="876"/>
      <c r="BM101" s="876"/>
      <c r="BN101" s="876"/>
      <c r="BO101" s="876"/>
      <c r="BP101" s="876"/>
      <c r="BQ101" s="905"/>
      <c r="BR101" s="907"/>
      <c r="BS101" s="907"/>
      <c r="BT101" s="905"/>
      <c r="BU101" s="905"/>
      <c r="BV101" s="905"/>
      <c r="BW101" s="876"/>
      <c r="BX101" s="876"/>
      <c r="BY101" s="905"/>
      <c r="BZ101" s="905"/>
      <c r="CA101" s="905"/>
      <c r="CB101" s="905"/>
      <c r="CC101" s="905"/>
      <c r="CD101" s="905"/>
    </row>
    <row r="102">
      <c r="A102" s="92"/>
      <c r="B102" s="820"/>
      <c r="AX102" s="17"/>
      <c r="BB102" s="17"/>
      <c r="BE102" s="17"/>
      <c r="BF102" s="17"/>
      <c r="BG102" s="17"/>
      <c r="BH102" s="17"/>
      <c r="BI102" s="17"/>
      <c r="BJ102" s="17"/>
      <c r="BK102" s="17"/>
      <c r="BL102" s="92"/>
      <c r="BM102" s="92"/>
      <c r="BN102" s="92"/>
      <c r="BO102" s="92"/>
      <c r="BP102" s="92"/>
      <c r="BQ102" s="818"/>
      <c r="BR102" s="54"/>
      <c r="BS102" s="54"/>
      <c r="BT102" s="818"/>
      <c r="BU102" s="818"/>
      <c r="BV102" s="818"/>
      <c r="BW102" s="92"/>
      <c r="BX102" s="92"/>
      <c r="BY102" s="17"/>
      <c r="BZ102" s="17"/>
      <c r="CA102" s="17"/>
      <c r="CB102" s="17"/>
      <c r="CC102" s="17"/>
      <c r="CD102" s="17"/>
    </row>
    <row r="103">
      <c r="A103" s="92"/>
      <c r="B103" s="820"/>
      <c r="D103" s="221"/>
      <c r="J103" s="889"/>
      <c r="N103" s="221"/>
      <c r="AX103" s="17"/>
      <c r="BB103" s="17"/>
      <c r="BE103" s="17"/>
      <c r="BF103" s="17"/>
      <c r="BG103" s="17"/>
      <c r="BH103" s="17"/>
      <c r="BI103" s="17"/>
      <c r="BJ103" s="17"/>
      <c r="BK103" s="17"/>
      <c r="BL103" s="92"/>
      <c r="BM103" s="92"/>
      <c r="BN103" s="92"/>
      <c r="BO103" s="92"/>
      <c r="BP103" s="92"/>
      <c r="BQ103" s="818"/>
      <c r="BR103" s="54"/>
      <c r="BS103" s="54"/>
      <c r="BT103" s="818"/>
      <c r="BU103" s="818"/>
      <c r="BV103" s="818"/>
      <c r="BW103" s="92"/>
      <c r="BX103" s="92"/>
      <c r="BY103" s="17"/>
      <c r="BZ103" s="17"/>
      <c r="CA103" s="17"/>
      <c r="CB103" s="17"/>
      <c r="CC103" s="17"/>
      <c r="CD103" s="17"/>
    </row>
    <row r="104">
      <c r="A104" s="92"/>
      <c r="B104" s="820"/>
      <c r="D104" s="221"/>
      <c r="J104" s="889"/>
      <c r="L104" s="17"/>
      <c r="O104" s="250"/>
      <c r="Q104" s="17"/>
      <c r="AX104" s="17"/>
      <c r="BB104" s="17"/>
      <c r="BE104" s="17"/>
      <c r="BF104" s="17"/>
      <c r="BG104" s="17"/>
      <c r="BH104" s="17"/>
      <c r="BI104" s="17"/>
      <c r="BJ104" s="17"/>
      <c r="BK104" s="17"/>
      <c r="BL104" s="92"/>
      <c r="BM104" s="92"/>
      <c r="BN104" s="92"/>
      <c r="BO104" s="92"/>
      <c r="BP104" s="92"/>
      <c r="BQ104" s="818"/>
      <c r="BR104" s="54"/>
      <c r="BS104" s="54"/>
      <c r="BT104" s="818"/>
      <c r="BU104" s="818"/>
      <c r="BV104" s="818"/>
      <c r="BW104" s="92"/>
      <c r="BX104" s="92"/>
      <c r="BY104" s="17"/>
      <c r="BZ104" s="17"/>
      <c r="CA104" s="17"/>
      <c r="CB104" s="17"/>
      <c r="CC104" s="17"/>
      <c r="CD104" s="17"/>
    </row>
    <row r="105">
      <c r="A105" s="92"/>
      <c r="B105" s="820"/>
      <c r="D105" s="221"/>
      <c r="J105" s="889"/>
      <c r="L105" s="17"/>
      <c r="O105" s="250"/>
      <c r="R105" s="250"/>
      <c r="AX105" s="17"/>
      <c r="BB105" s="17"/>
      <c r="BE105" s="17"/>
      <c r="BF105" s="17"/>
      <c r="BG105" s="17"/>
      <c r="BH105" s="17"/>
      <c r="BI105" s="17"/>
      <c r="BJ105" s="17"/>
      <c r="BK105" s="17"/>
      <c r="BL105" s="92"/>
      <c r="BM105" s="92"/>
      <c r="BN105" s="92"/>
      <c r="BO105" s="92"/>
      <c r="BP105" s="92"/>
      <c r="BQ105" s="818"/>
      <c r="BR105" s="54"/>
      <c r="BS105" s="54"/>
      <c r="BT105" s="818"/>
      <c r="BU105" s="818"/>
      <c r="BV105" s="818"/>
      <c r="BW105" s="92"/>
      <c r="BX105" s="92"/>
      <c r="BY105" s="17"/>
      <c r="BZ105" s="17"/>
      <c r="CA105" s="17"/>
      <c r="CB105" s="17"/>
      <c r="CC105" s="17"/>
      <c r="CD105" s="17"/>
    </row>
    <row r="106">
      <c r="A106" s="92"/>
      <c r="B106" s="820"/>
      <c r="D106" s="221"/>
      <c r="N106" s="17"/>
      <c r="O106" s="17"/>
      <c r="P106" s="17"/>
      <c r="Q106" s="17"/>
      <c r="R106" s="17"/>
      <c r="S106" s="17"/>
      <c r="AX106" s="17"/>
      <c r="BB106" s="17"/>
      <c r="BE106" s="17"/>
      <c r="BF106" s="17"/>
      <c r="BG106" s="17"/>
      <c r="BH106" s="17"/>
      <c r="BI106" s="17"/>
      <c r="BJ106" s="17"/>
      <c r="BK106" s="17"/>
      <c r="BL106" s="92"/>
      <c r="BM106" s="92"/>
      <c r="BN106" s="92"/>
      <c r="BO106" s="92"/>
      <c r="BP106" s="92"/>
      <c r="BQ106" s="818"/>
      <c r="BR106" s="54"/>
      <c r="BS106" s="54"/>
      <c r="BT106" s="818"/>
      <c r="BU106" s="818"/>
      <c r="BV106" s="818"/>
      <c r="BW106" s="92"/>
      <c r="BX106" s="92"/>
      <c r="BY106" s="17"/>
      <c r="BZ106" s="17"/>
      <c r="CA106" s="17"/>
      <c r="CB106" s="17"/>
      <c r="CC106" s="17"/>
      <c r="CD106" s="17"/>
    </row>
    <row r="107">
      <c r="A107" s="92"/>
      <c r="B107" s="820"/>
      <c r="P107" s="17"/>
      <c r="Q107" s="17"/>
      <c r="R107" s="17"/>
      <c r="S107" s="813"/>
      <c r="T107" s="17"/>
      <c r="AX107" s="17"/>
      <c r="BB107" s="17"/>
      <c r="BE107" s="17"/>
      <c r="BF107" s="17"/>
      <c r="BG107" s="17"/>
      <c r="BH107" s="17"/>
      <c r="BI107" s="17"/>
      <c r="BJ107" s="17"/>
      <c r="BK107" s="17"/>
      <c r="BL107" s="92"/>
      <c r="BM107" s="92"/>
      <c r="BN107" s="92"/>
      <c r="BO107" s="92"/>
      <c r="BP107" s="92"/>
      <c r="BQ107" s="818"/>
      <c r="BR107" s="54"/>
      <c r="BS107" s="54"/>
      <c r="BT107" s="818"/>
      <c r="BU107" s="818"/>
      <c r="BV107" s="818"/>
      <c r="BW107" s="92"/>
      <c r="BX107" s="92"/>
      <c r="BY107" s="17"/>
      <c r="BZ107" s="17"/>
      <c r="CA107" s="17"/>
      <c r="CB107" s="17"/>
      <c r="CC107" s="17"/>
      <c r="CD107" s="17"/>
    </row>
    <row r="108">
      <c r="A108" s="92"/>
      <c r="B108" s="820"/>
      <c r="O108" s="17"/>
      <c r="P108" s="17"/>
      <c r="Q108" s="17"/>
      <c r="R108" s="17"/>
      <c r="S108" s="813"/>
      <c r="T108" s="17"/>
      <c r="AX108" s="17"/>
      <c r="BB108" s="17"/>
      <c r="BE108" s="17"/>
      <c r="BF108" s="17"/>
      <c r="BG108" s="17"/>
      <c r="BH108" s="17"/>
      <c r="BI108" s="17"/>
      <c r="BJ108" s="17"/>
      <c r="BK108" s="17"/>
      <c r="BL108" s="92"/>
      <c r="BM108" s="92"/>
      <c r="BN108" s="92"/>
      <c r="BO108" s="92"/>
      <c r="BP108" s="92"/>
      <c r="BQ108" s="818"/>
      <c r="BR108" s="54"/>
      <c r="BS108" s="54"/>
      <c r="BT108" s="818"/>
      <c r="BU108" s="818"/>
      <c r="BV108" s="818"/>
      <c r="BW108" s="92"/>
      <c r="BX108" s="92"/>
      <c r="BY108" s="17"/>
      <c r="BZ108" s="17"/>
      <c r="CA108" s="17"/>
      <c r="CB108" s="17"/>
      <c r="CC108" s="17"/>
      <c r="CD108" s="17"/>
    </row>
    <row r="109">
      <c r="A109" s="92"/>
      <c r="B109" s="820"/>
      <c r="O109" s="17"/>
      <c r="S109" s="813"/>
      <c r="T109" s="17"/>
      <c r="AX109" s="17"/>
      <c r="BB109" s="17"/>
      <c r="BE109" s="17"/>
      <c r="BF109" s="17"/>
      <c r="BG109" s="17"/>
      <c r="BH109" s="17"/>
      <c r="BI109" s="17"/>
      <c r="BJ109" s="17"/>
      <c r="BK109" s="17"/>
      <c r="BL109" s="92"/>
      <c r="BM109" s="92"/>
      <c r="BN109" s="92"/>
      <c r="BO109" s="92"/>
      <c r="BP109" s="92"/>
      <c r="BQ109" s="818"/>
      <c r="BR109" s="54"/>
      <c r="BS109" s="54"/>
      <c r="BT109" s="818"/>
      <c r="BU109" s="818"/>
      <c r="BV109" s="818"/>
      <c r="BW109" s="92"/>
      <c r="BX109" s="92"/>
      <c r="BY109" s="17"/>
      <c r="BZ109" s="17"/>
      <c r="CA109" s="17"/>
      <c r="CB109" s="17"/>
      <c r="CC109" s="17"/>
      <c r="CD109" s="17"/>
    </row>
    <row r="110">
      <c r="A110" s="92"/>
      <c r="B110" s="820"/>
      <c r="AX110" s="17"/>
      <c r="BB110" s="17"/>
      <c r="BE110" s="17"/>
      <c r="BF110" s="17"/>
      <c r="BG110" s="17"/>
      <c r="BH110" s="17"/>
      <c r="BI110" s="17"/>
      <c r="BJ110" s="17"/>
      <c r="BK110" s="17"/>
      <c r="BL110" s="92"/>
      <c r="BM110" s="92"/>
      <c r="BN110" s="92"/>
      <c r="BO110" s="92"/>
      <c r="BP110" s="92"/>
      <c r="BQ110" s="818"/>
      <c r="BR110" s="54"/>
      <c r="BS110" s="54"/>
      <c r="BT110" s="818"/>
      <c r="BU110" s="818"/>
      <c r="BV110" s="818"/>
      <c r="BW110" s="92"/>
      <c r="BX110" s="92"/>
      <c r="BY110" s="17"/>
      <c r="BZ110" s="17"/>
      <c r="CA110" s="17"/>
      <c r="CB110" s="17"/>
      <c r="CC110" s="17"/>
      <c r="CD110" s="17"/>
    </row>
    <row r="111">
      <c r="A111" s="92"/>
      <c r="B111" s="820"/>
      <c r="AX111" s="17"/>
      <c r="BB111" s="17"/>
      <c r="BE111" s="17"/>
      <c r="BF111" s="17"/>
      <c r="BG111" s="17"/>
      <c r="BH111" s="17"/>
      <c r="BI111" s="17"/>
      <c r="BJ111" s="17"/>
      <c r="BK111" s="17"/>
      <c r="BL111" s="92"/>
      <c r="BM111" s="92"/>
      <c r="BN111" s="92"/>
      <c r="BO111" s="92"/>
      <c r="BP111" s="92"/>
      <c r="BQ111" s="818"/>
      <c r="BR111" s="54"/>
      <c r="BS111" s="54"/>
      <c r="BT111" s="818"/>
      <c r="BU111" s="818"/>
      <c r="BV111" s="818"/>
      <c r="BW111" s="92"/>
      <c r="BX111" s="92"/>
      <c r="BY111" s="17"/>
      <c r="BZ111" s="17"/>
      <c r="CA111" s="17"/>
      <c r="CB111" s="17"/>
      <c r="CC111" s="17"/>
      <c r="CD111" s="17"/>
    </row>
    <row r="112">
      <c r="A112" s="92"/>
      <c r="B112" s="820"/>
      <c r="AX112" s="17"/>
      <c r="BB112" s="17"/>
      <c r="BE112" s="17"/>
      <c r="BF112" s="17"/>
      <c r="BG112" s="17"/>
      <c r="BH112" s="17"/>
      <c r="BI112" s="17"/>
      <c r="BJ112" s="17"/>
      <c r="BK112" s="17"/>
      <c r="BL112" s="92"/>
      <c r="BM112" s="92"/>
      <c r="BN112" s="92"/>
      <c r="BO112" s="92"/>
      <c r="BP112" s="92"/>
      <c r="BQ112" s="818"/>
      <c r="BR112" s="54"/>
      <c r="BS112" s="54"/>
      <c r="BT112" s="818"/>
      <c r="BU112" s="818"/>
      <c r="BV112" s="818"/>
      <c r="BW112" s="92"/>
      <c r="BX112" s="92"/>
      <c r="BY112" s="17"/>
      <c r="BZ112" s="17"/>
      <c r="CA112" s="17"/>
      <c r="CB112" s="17"/>
      <c r="CC112" s="17"/>
      <c r="CD112" s="17"/>
    </row>
    <row r="113">
      <c r="A113" s="92"/>
      <c r="B113" s="820"/>
      <c r="O113" s="17"/>
      <c r="S113" s="813"/>
      <c r="T113" s="17"/>
      <c r="AX113" s="17"/>
      <c r="BB113" s="17"/>
      <c r="BE113" s="17"/>
      <c r="BF113" s="17"/>
      <c r="BG113" s="17"/>
      <c r="BH113" s="17"/>
      <c r="BI113" s="17"/>
      <c r="BJ113" s="17"/>
      <c r="BK113" s="17"/>
      <c r="BL113" s="92"/>
      <c r="BM113" s="92"/>
      <c r="BN113" s="92"/>
      <c r="BO113" s="92"/>
      <c r="BP113" s="92"/>
      <c r="BQ113" s="818"/>
      <c r="BR113" s="54"/>
      <c r="BS113" s="54"/>
      <c r="BT113" s="818"/>
      <c r="BU113" s="818"/>
      <c r="BV113" s="818"/>
      <c r="BW113" s="92"/>
      <c r="BX113" s="92"/>
      <c r="BY113" s="17"/>
      <c r="BZ113" s="17"/>
      <c r="CA113" s="17"/>
      <c r="CB113" s="17"/>
      <c r="CC113" s="17"/>
      <c r="CD113" s="17"/>
    </row>
    <row r="114">
      <c r="A114" s="92"/>
      <c r="B114" s="820"/>
      <c r="O114" s="17"/>
      <c r="P114" s="17"/>
      <c r="Q114" s="17"/>
      <c r="R114" s="17"/>
      <c r="S114" s="813"/>
      <c r="T114" s="17"/>
      <c r="AX114" s="17"/>
      <c r="BB114" s="17"/>
      <c r="BE114" s="17"/>
      <c r="BF114" s="17"/>
      <c r="BG114" s="17"/>
      <c r="BH114" s="17"/>
      <c r="BI114" s="17"/>
      <c r="BJ114" s="17"/>
      <c r="BK114" s="17"/>
      <c r="BL114" s="92"/>
      <c r="BM114" s="92"/>
      <c r="BN114" s="92"/>
      <c r="BO114" s="92"/>
      <c r="BP114" s="92"/>
      <c r="BQ114" s="818"/>
      <c r="BR114" s="54"/>
      <c r="BS114" s="54"/>
      <c r="BT114" s="818"/>
      <c r="BU114" s="818"/>
      <c r="BV114" s="818"/>
      <c r="BW114" s="92"/>
      <c r="BX114" s="92"/>
      <c r="BY114" s="17"/>
      <c r="BZ114" s="17"/>
      <c r="CA114" s="17"/>
      <c r="CB114" s="17"/>
      <c r="CC114" s="17"/>
      <c r="CD114" s="17"/>
    </row>
    <row r="115">
      <c r="A115" s="92"/>
      <c r="B115" s="820"/>
      <c r="O115" s="17"/>
      <c r="P115" s="17"/>
      <c r="Q115" s="17"/>
      <c r="R115" s="17"/>
      <c r="S115" s="813"/>
      <c r="T115" s="17"/>
      <c r="AX115" s="17"/>
      <c r="BB115" s="17"/>
      <c r="BE115" s="17"/>
      <c r="BF115" s="17"/>
      <c r="BG115" s="17"/>
      <c r="BH115" s="17"/>
      <c r="BI115" s="17"/>
      <c r="BJ115" s="17"/>
      <c r="BK115" s="17"/>
      <c r="BL115" s="92"/>
      <c r="BM115" s="92"/>
      <c r="BN115" s="92"/>
      <c r="BO115" s="92"/>
      <c r="BP115" s="92"/>
      <c r="BQ115" s="818"/>
      <c r="BR115" s="54"/>
      <c r="BS115" s="54"/>
      <c r="BT115" s="818"/>
      <c r="BU115" s="818"/>
      <c r="BV115" s="818"/>
      <c r="BW115" s="92"/>
      <c r="BX115" s="92"/>
      <c r="BY115" s="17"/>
      <c r="BZ115" s="17"/>
      <c r="CA115" s="17"/>
      <c r="CB115" s="17"/>
      <c r="CC115" s="17"/>
      <c r="CD115" s="17"/>
    </row>
    <row r="116">
      <c r="A116" s="92"/>
      <c r="B116" s="820"/>
      <c r="O116" s="17"/>
      <c r="P116" s="17"/>
      <c r="Q116" s="17"/>
      <c r="R116" s="17"/>
      <c r="S116" s="813"/>
      <c r="T116" s="17"/>
      <c r="AX116" s="17"/>
      <c r="BB116" s="17"/>
      <c r="BE116" s="17"/>
      <c r="BF116" s="17"/>
      <c r="BG116" s="17"/>
      <c r="BH116" s="17"/>
      <c r="BI116" s="17"/>
      <c r="BJ116" s="17"/>
      <c r="BK116" s="17"/>
      <c r="BL116" s="92"/>
      <c r="BM116" s="92"/>
      <c r="BN116" s="92"/>
      <c r="BO116" s="92"/>
      <c r="BP116" s="92"/>
      <c r="BQ116" s="818"/>
      <c r="BR116" s="54"/>
      <c r="BS116" s="54"/>
      <c r="BT116" s="818"/>
      <c r="BU116" s="818"/>
      <c r="BV116" s="818"/>
      <c r="BW116" s="92"/>
      <c r="BX116" s="92"/>
      <c r="BY116" s="17"/>
      <c r="BZ116" s="17"/>
      <c r="CA116" s="17"/>
      <c r="CB116" s="17"/>
      <c r="CC116" s="17"/>
      <c r="CD116" s="17"/>
    </row>
    <row r="117">
      <c r="A117" s="92"/>
      <c r="B117" s="820"/>
      <c r="O117" s="17"/>
      <c r="P117" s="17"/>
      <c r="Q117" s="17"/>
      <c r="R117" s="17"/>
      <c r="S117" s="813"/>
      <c r="T117" s="17"/>
      <c r="AX117" s="17"/>
      <c r="BB117" s="17"/>
      <c r="BE117" s="17"/>
      <c r="BF117" s="17"/>
      <c r="BG117" s="17"/>
      <c r="BH117" s="17"/>
      <c r="BI117" s="17"/>
      <c r="BJ117" s="17"/>
      <c r="BK117" s="17"/>
      <c r="BL117" s="92"/>
      <c r="BM117" s="92"/>
      <c r="BN117" s="92"/>
      <c r="BO117" s="92"/>
      <c r="BP117" s="92"/>
      <c r="BQ117" s="818"/>
      <c r="BR117" s="54"/>
      <c r="BS117" s="54"/>
      <c r="BT117" s="818"/>
      <c r="BU117" s="818"/>
      <c r="BV117" s="818"/>
      <c r="BW117" s="92"/>
      <c r="BX117" s="92"/>
      <c r="BY117" s="17"/>
      <c r="BZ117" s="17"/>
      <c r="CA117" s="17"/>
      <c r="CB117" s="17"/>
      <c r="CC117" s="17"/>
      <c r="CD117" s="17"/>
    </row>
    <row r="118">
      <c r="A118" s="92"/>
      <c r="B118" s="820"/>
      <c r="O118" s="17"/>
      <c r="P118" s="17"/>
      <c r="Q118" s="17"/>
      <c r="R118" s="17"/>
      <c r="S118" s="813"/>
      <c r="T118" s="17"/>
      <c r="AX118" s="17"/>
      <c r="BB118" s="17"/>
      <c r="BE118" s="17"/>
      <c r="BF118" s="17"/>
      <c r="BG118" s="17"/>
      <c r="BH118" s="17"/>
      <c r="BI118" s="17"/>
      <c r="BJ118" s="17"/>
      <c r="BK118" s="17"/>
      <c r="BL118" s="92"/>
      <c r="BM118" s="92"/>
      <c r="BN118" s="92"/>
      <c r="BO118" s="92"/>
      <c r="BP118" s="92"/>
      <c r="BQ118" s="818"/>
      <c r="BR118" s="54"/>
      <c r="BS118" s="54"/>
      <c r="BT118" s="818"/>
      <c r="BU118" s="818"/>
      <c r="BV118" s="818"/>
      <c r="BW118" s="92"/>
      <c r="BX118" s="92"/>
      <c r="BY118" s="17"/>
      <c r="BZ118" s="17"/>
      <c r="CA118" s="17"/>
      <c r="CB118" s="17"/>
      <c r="CC118" s="17"/>
      <c r="CD118" s="17"/>
    </row>
    <row r="119">
      <c r="A119" s="92"/>
      <c r="B119" s="820"/>
      <c r="O119" s="17"/>
      <c r="P119" s="17"/>
      <c r="Q119" s="17"/>
      <c r="R119" s="17"/>
      <c r="S119" s="813"/>
      <c r="T119" s="17"/>
      <c r="AX119" s="17"/>
      <c r="BB119" s="17"/>
      <c r="BE119" s="17"/>
      <c r="BF119" s="17"/>
      <c r="BG119" s="17"/>
      <c r="BH119" s="17"/>
      <c r="BI119" s="17"/>
      <c r="BJ119" s="17"/>
      <c r="BK119" s="17"/>
      <c r="BL119" s="92"/>
      <c r="BM119" s="92"/>
      <c r="BN119" s="92"/>
      <c r="BO119" s="92"/>
      <c r="BP119" s="92"/>
      <c r="BQ119" s="818"/>
      <c r="BR119" s="54"/>
      <c r="BS119" s="54"/>
      <c r="BT119" s="818"/>
      <c r="BU119" s="818"/>
      <c r="BV119" s="818"/>
      <c r="BW119" s="92"/>
      <c r="BX119" s="92"/>
      <c r="BY119" s="17"/>
      <c r="BZ119" s="17"/>
      <c r="CA119" s="17"/>
      <c r="CB119" s="17"/>
      <c r="CC119" s="17"/>
      <c r="CD119" s="17"/>
    </row>
    <row r="120">
      <c r="A120" s="92"/>
      <c r="B120" s="820"/>
      <c r="O120" s="17"/>
      <c r="P120" s="17"/>
      <c r="Q120" s="17"/>
      <c r="R120" s="17"/>
      <c r="S120" s="813"/>
      <c r="T120" s="17"/>
      <c r="AX120" s="17"/>
      <c r="BB120" s="17"/>
      <c r="BE120" s="17"/>
      <c r="BF120" s="17"/>
      <c r="BG120" s="17"/>
      <c r="BH120" s="17"/>
      <c r="BI120" s="17"/>
      <c r="BJ120" s="17"/>
      <c r="BK120" s="17"/>
      <c r="BL120" s="92"/>
      <c r="BM120" s="92"/>
      <c r="BN120" s="92"/>
      <c r="BO120" s="92"/>
      <c r="BP120" s="92"/>
      <c r="BQ120" s="818"/>
      <c r="BR120" s="54"/>
      <c r="BS120" s="54"/>
      <c r="BT120" s="818"/>
      <c r="BU120" s="818"/>
      <c r="BV120" s="818"/>
      <c r="BW120" s="92"/>
      <c r="BX120" s="92"/>
      <c r="BY120" s="17"/>
      <c r="BZ120" s="17"/>
      <c r="CA120" s="17"/>
      <c r="CB120" s="17"/>
      <c r="CC120" s="17"/>
      <c r="CD120" s="17"/>
    </row>
    <row r="121">
      <c r="A121" s="92"/>
      <c r="B121" s="820"/>
      <c r="O121" s="17"/>
      <c r="P121" s="17"/>
      <c r="Q121" s="17"/>
      <c r="R121" s="17"/>
      <c r="S121" s="813"/>
      <c r="T121" s="17"/>
      <c r="AX121" s="17"/>
      <c r="BB121" s="17"/>
      <c r="BE121" s="17"/>
      <c r="BF121" s="17"/>
      <c r="BG121" s="17"/>
      <c r="BH121" s="17"/>
      <c r="BI121" s="17"/>
      <c r="BJ121" s="17"/>
      <c r="BK121" s="17"/>
      <c r="BL121" s="92"/>
      <c r="BM121" s="92"/>
      <c r="BN121" s="92"/>
      <c r="BO121" s="92"/>
      <c r="BP121" s="92"/>
      <c r="BQ121" s="818"/>
      <c r="BR121" s="54"/>
      <c r="BS121" s="54"/>
      <c r="BT121" s="818"/>
      <c r="BU121" s="818"/>
      <c r="BV121" s="818"/>
      <c r="BW121" s="92"/>
      <c r="BX121" s="92"/>
      <c r="BY121" s="17"/>
      <c r="BZ121" s="17"/>
      <c r="CA121" s="17"/>
      <c r="CB121" s="17"/>
      <c r="CC121" s="17"/>
      <c r="CD121" s="17"/>
    </row>
    <row r="122">
      <c r="A122" s="92"/>
      <c r="B122" s="820"/>
      <c r="O122" s="17"/>
      <c r="P122" s="17"/>
      <c r="Q122" s="17"/>
      <c r="R122" s="17"/>
      <c r="S122" s="813"/>
      <c r="T122" s="17"/>
      <c r="AX122" s="17"/>
      <c r="BB122" s="17"/>
      <c r="BE122" s="17"/>
      <c r="BF122" s="17"/>
      <c r="BG122" s="17"/>
      <c r="BH122" s="17"/>
      <c r="BI122" s="17"/>
      <c r="BJ122" s="17"/>
      <c r="BK122" s="17"/>
      <c r="BL122" s="92"/>
      <c r="BM122" s="92"/>
      <c r="BN122" s="92"/>
      <c r="BO122" s="92"/>
      <c r="BP122" s="92"/>
      <c r="BQ122" s="818"/>
      <c r="BR122" s="54"/>
      <c r="BS122" s="54"/>
      <c r="BT122" s="818"/>
      <c r="BU122" s="818"/>
      <c r="BV122" s="818"/>
      <c r="BW122" s="92"/>
      <c r="BX122" s="92"/>
      <c r="BY122" s="17"/>
      <c r="BZ122" s="17"/>
      <c r="CA122" s="17"/>
      <c r="CB122" s="17"/>
      <c r="CC122" s="17"/>
      <c r="CD122" s="17"/>
    </row>
    <row r="123">
      <c r="A123" s="92"/>
      <c r="B123" s="820"/>
      <c r="O123" s="17"/>
      <c r="P123" s="17"/>
      <c r="Q123" s="17"/>
      <c r="R123" s="17"/>
      <c r="S123" s="813"/>
      <c r="T123" s="17"/>
      <c r="AX123" s="17"/>
      <c r="BB123" s="17"/>
      <c r="BE123" s="17"/>
      <c r="BF123" s="17"/>
      <c r="BG123" s="17"/>
      <c r="BH123" s="17"/>
      <c r="BI123" s="17"/>
      <c r="BJ123" s="17"/>
      <c r="BK123" s="17"/>
      <c r="BL123" s="92"/>
      <c r="BM123" s="92"/>
      <c r="BN123" s="92"/>
      <c r="BO123" s="92"/>
      <c r="BP123" s="92"/>
      <c r="BQ123" s="818"/>
      <c r="BR123" s="54"/>
      <c r="BS123" s="54"/>
      <c r="BT123" s="818"/>
      <c r="BU123" s="818"/>
      <c r="BV123" s="818"/>
      <c r="BW123" s="92"/>
      <c r="BX123" s="92"/>
      <c r="BY123" s="17"/>
      <c r="BZ123" s="17"/>
      <c r="CA123" s="17"/>
      <c r="CB123" s="17"/>
      <c r="CC123" s="17"/>
      <c r="CD123" s="17"/>
    </row>
    <row r="124">
      <c r="A124" s="92"/>
      <c r="B124" s="820"/>
      <c r="O124" s="17"/>
      <c r="P124" s="17"/>
      <c r="Q124" s="17"/>
      <c r="R124" s="17"/>
      <c r="S124" s="813"/>
      <c r="T124" s="17"/>
      <c r="AX124" s="17"/>
      <c r="BB124" s="17"/>
      <c r="BE124" s="17"/>
      <c r="BF124" s="17"/>
      <c r="BG124" s="17"/>
      <c r="BH124" s="17"/>
      <c r="BI124" s="17"/>
      <c r="BJ124" s="17"/>
      <c r="BK124" s="17"/>
      <c r="BL124" s="92"/>
      <c r="BM124" s="92"/>
      <c r="BN124" s="92"/>
      <c r="BO124" s="92"/>
      <c r="BP124" s="92"/>
      <c r="BQ124" s="818"/>
      <c r="BR124" s="54"/>
      <c r="BS124" s="54"/>
      <c r="BT124" s="818"/>
      <c r="BU124" s="818"/>
      <c r="BV124" s="818"/>
      <c r="BW124" s="92"/>
      <c r="BX124" s="92"/>
      <c r="BY124" s="17"/>
      <c r="BZ124" s="17"/>
      <c r="CA124" s="17"/>
      <c r="CB124" s="17"/>
      <c r="CC124" s="17"/>
      <c r="CD124" s="17"/>
    </row>
    <row r="125">
      <c r="A125" s="92"/>
      <c r="B125" s="820"/>
      <c r="O125" s="17"/>
      <c r="P125" s="17"/>
      <c r="Q125" s="17"/>
      <c r="R125" s="17"/>
      <c r="S125" s="813"/>
      <c r="T125" s="17"/>
      <c r="AX125" s="17"/>
      <c r="BB125" s="17"/>
      <c r="BE125" s="17"/>
      <c r="BF125" s="17"/>
      <c r="BG125" s="17"/>
      <c r="BH125" s="17"/>
      <c r="BI125" s="17"/>
      <c r="BJ125" s="17"/>
      <c r="BK125" s="17"/>
      <c r="BL125" s="92"/>
      <c r="BM125" s="92"/>
      <c r="BN125" s="92"/>
      <c r="BO125" s="92"/>
      <c r="BP125" s="92"/>
      <c r="BQ125" s="818"/>
      <c r="BR125" s="54"/>
      <c r="BS125" s="54"/>
      <c r="BT125" s="818"/>
      <c r="BU125" s="818"/>
      <c r="BV125" s="818"/>
      <c r="BW125" s="92"/>
      <c r="BX125" s="92"/>
      <c r="BY125" s="17"/>
      <c r="BZ125" s="17"/>
      <c r="CA125" s="17"/>
      <c r="CB125" s="17"/>
      <c r="CC125" s="17"/>
      <c r="CD125" s="17"/>
    </row>
    <row r="126">
      <c r="A126" s="92"/>
      <c r="B126" s="820"/>
      <c r="O126" s="17"/>
      <c r="P126" s="17"/>
      <c r="Q126" s="17"/>
      <c r="R126" s="17"/>
      <c r="S126" s="813"/>
      <c r="T126" s="17"/>
      <c r="AX126" s="17"/>
      <c r="BB126" s="17"/>
      <c r="BE126" s="17"/>
      <c r="BF126" s="17"/>
      <c r="BG126" s="17"/>
      <c r="BH126" s="17"/>
      <c r="BI126" s="17"/>
      <c r="BJ126" s="17"/>
      <c r="BK126" s="17"/>
      <c r="BL126" s="92"/>
      <c r="BM126" s="92"/>
      <c r="BN126" s="92"/>
      <c r="BO126" s="92"/>
      <c r="BP126" s="92"/>
      <c r="BQ126" s="818"/>
      <c r="BR126" s="54"/>
      <c r="BS126" s="54"/>
      <c r="BT126" s="818"/>
      <c r="BU126" s="818"/>
      <c r="BV126" s="818"/>
      <c r="BW126" s="92"/>
      <c r="BX126" s="92"/>
      <c r="BY126" s="17"/>
      <c r="BZ126" s="17"/>
      <c r="CA126" s="17"/>
      <c r="CB126" s="17"/>
      <c r="CC126" s="17"/>
      <c r="CD126" s="17"/>
    </row>
    <row r="127">
      <c r="A127" s="92"/>
      <c r="B127" s="820"/>
      <c r="O127" s="17"/>
      <c r="P127" s="17"/>
      <c r="Q127" s="17"/>
      <c r="R127" s="17"/>
      <c r="S127" s="813"/>
      <c r="T127" s="17"/>
      <c r="AX127" s="17"/>
      <c r="BB127" s="17"/>
      <c r="BE127" s="17"/>
      <c r="BF127" s="17"/>
      <c r="BG127" s="17"/>
      <c r="BH127" s="17"/>
      <c r="BI127" s="17"/>
      <c r="BJ127" s="17"/>
      <c r="BK127" s="17"/>
      <c r="BL127" s="92"/>
      <c r="BM127" s="92"/>
      <c r="BN127" s="92"/>
      <c r="BO127" s="92"/>
      <c r="BP127" s="92"/>
      <c r="BQ127" s="818"/>
      <c r="BR127" s="54"/>
      <c r="BS127" s="54"/>
      <c r="BT127" s="818"/>
      <c r="BU127" s="818"/>
      <c r="BV127" s="818"/>
      <c r="BW127" s="92"/>
      <c r="BX127" s="92"/>
      <c r="BY127" s="17"/>
      <c r="BZ127" s="17"/>
      <c r="CA127" s="17"/>
      <c r="CB127" s="17"/>
      <c r="CC127" s="17"/>
      <c r="CD127" s="17"/>
    </row>
    <row r="128">
      <c r="A128" s="92"/>
      <c r="B128" s="820"/>
      <c r="O128" s="17"/>
      <c r="P128" s="17"/>
      <c r="Q128" s="17"/>
      <c r="R128" s="17"/>
      <c r="S128" s="813"/>
      <c r="T128" s="17"/>
      <c r="AX128" s="17"/>
      <c r="BB128" s="17"/>
      <c r="BE128" s="17"/>
      <c r="BF128" s="17"/>
      <c r="BG128" s="17"/>
      <c r="BH128" s="17"/>
      <c r="BI128" s="17"/>
      <c r="BJ128" s="17"/>
      <c r="BK128" s="17"/>
      <c r="BL128" s="92"/>
      <c r="BM128" s="92"/>
      <c r="BN128" s="92"/>
      <c r="BO128" s="92"/>
      <c r="BP128" s="92"/>
      <c r="BQ128" s="818"/>
      <c r="BR128" s="54"/>
      <c r="BS128" s="54"/>
      <c r="BT128" s="818"/>
      <c r="BU128" s="818"/>
      <c r="BV128" s="818"/>
      <c r="BW128" s="92"/>
      <c r="BX128" s="92"/>
      <c r="BY128" s="17"/>
      <c r="BZ128" s="17"/>
      <c r="CA128" s="17"/>
      <c r="CB128" s="17"/>
      <c r="CC128" s="17"/>
      <c r="CD128" s="17"/>
    </row>
    <row r="129">
      <c r="A129" s="92"/>
      <c r="B129" s="820"/>
      <c r="O129" s="17"/>
      <c r="P129" s="17"/>
      <c r="Q129" s="17"/>
      <c r="R129" s="17"/>
      <c r="S129" s="813"/>
      <c r="T129" s="17"/>
      <c r="AX129" s="17"/>
      <c r="BB129" s="17"/>
      <c r="BE129" s="17"/>
      <c r="BF129" s="17"/>
      <c r="BG129" s="17"/>
      <c r="BH129" s="17"/>
      <c r="BI129" s="17"/>
      <c r="BJ129" s="17"/>
      <c r="BK129" s="17"/>
      <c r="BL129" s="92"/>
      <c r="BM129" s="92"/>
      <c r="BN129" s="92"/>
      <c r="BO129" s="92"/>
      <c r="BP129" s="92"/>
      <c r="BQ129" s="818"/>
      <c r="BR129" s="54"/>
      <c r="BS129" s="54"/>
      <c r="BT129" s="818"/>
      <c r="BU129" s="818"/>
      <c r="BV129" s="818"/>
      <c r="BW129" s="92"/>
      <c r="BX129" s="92"/>
      <c r="BY129" s="17"/>
      <c r="BZ129" s="17"/>
      <c r="CA129" s="17"/>
      <c r="CB129" s="17"/>
      <c r="CC129" s="17"/>
      <c r="CD129" s="17"/>
    </row>
    <row r="130">
      <c r="A130" s="92"/>
      <c r="B130" s="820"/>
      <c r="O130" s="17"/>
      <c r="P130" s="17"/>
      <c r="Q130" s="17"/>
      <c r="R130" s="17"/>
      <c r="S130" s="813"/>
      <c r="T130" s="17"/>
      <c r="AX130" s="17"/>
      <c r="BB130" s="17"/>
      <c r="BE130" s="17"/>
      <c r="BF130" s="17"/>
      <c r="BG130" s="17"/>
      <c r="BH130" s="17"/>
      <c r="BI130" s="17"/>
      <c r="BJ130" s="17"/>
      <c r="BK130" s="17"/>
      <c r="BL130" s="92"/>
      <c r="BM130" s="92"/>
      <c r="BN130" s="92"/>
      <c r="BO130" s="92"/>
      <c r="BP130" s="92"/>
      <c r="BQ130" s="818"/>
      <c r="BR130" s="54"/>
      <c r="BS130" s="54"/>
      <c r="BT130" s="818"/>
      <c r="BU130" s="818"/>
      <c r="BV130" s="818"/>
      <c r="BW130" s="92"/>
      <c r="BX130" s="92"/>
      <c r="BY130" s="17"/>
      <c r="BZ130" s="17"/>
      <c r="CA130" s="17"/>
      <c r="CB130" s="17"/>
      <c r="CC130" s="17"/>
      <c r="CD130" s="17"/>
    </row>
    <row r="131">
      <c r="A131" s="92"/>
      <c r="B131" s="820"/>
      <c r="O131" s="17"/>
      <c r="P131" s="17"/>
      <c r="Q131" s="17"/>
      <c r="R131" s="17"/>
      <c r="S131" s="813"/>
      <c r="T131" s="17"/>
      <c r="AX131" s="17"/>
      <c r="BB131" s="17"/>
      <c r="BE131" s="17"/>
      <c r="BF131" s="17"/>
      <c r="BG131" s="17"/>
      <c r="BH131" s="17"/>
      <c r="BI131" s="17"/>
      <c r="BJ131" s="17"/>
      <c r="BK131" s="17"/>
      <c r="BL131" s="92"/>
      <c r="BM131" s="92"/>
      <c r="BN131" s="92"/>
      <c r="BO131" s="92"/>
      <c r="BP131" s="92"/>
      <c r="BQ131" s="818"/>
      <c r="BR131" s="54"/>
      <c r="BS131" s="54"/>
      <c r="BT131" s="818"/>
      <c r="BU131" s="818"/>
      <c r="BV131" s="818"/>
      <c r="BW131" s="92"/>
      <c r="BX131" s="92"/>
      <c r="BY131" s="17"/>
      <c r="BZ131" s="17"/>
      <c r="CA131" s="17"/>
      <c r="CB131" s="17"/>
      <c r="CC131" s="17"/>
      <c r="CD131" s="17"/>
    </row>
    <row r="132">
      <c r="A132" s="92"/>
      <c r="B132" s="820"/>
      <c r="O132" s="17"/>
      <c r="P132" s="17"/>
      <c r="Q132" s="17"/>
      <c r="R132" s="17"/>
      <c r="S132" s="813"/>
      <c r="T132" s="17"/>
      <c r="AX132" s="17"/>
      <c r="BB132" s="17"/>
      <c r="BE132" s="17"/>
      <c r="BF132" s="17"/>
      <c r="BG132" s="17"/>
      <c r="BH132" s="17"/>
      <c r="BI132" s="17"/>
      <c r="BJ132" s="17"/>
      <c r="BK132" s="17"/>
      <c r="BL132" s="92"/>
      <c r="BM132" s="92"/>
      <c r="BN132" s="92"/>
      <c r="BO132" s="92"/>
      <c r="BP132" s="92"/>
      <c r="BQ132" s="818"/>
      <c r="BR132" s="54"/>
      <c r="BS132" s="54"/>
      <c r="BT132" s="818"/>
      <c r="BU132" s="818"/>
      <c r="BV132" s="818"/>
      <c r="BW132" s="92"/>
      <c r="BX132" s="92"/>
      <c r="BY132" s="17"/>
      <c r="BZ132" s="17"/>
      <c r="CA132" s="17"/>
      <c r="CB132" s="17"/>
      <c r="CC132" s="17"/>
      <c r="CD132" s="17"/>
    </row>
    <row r="133">
      <c r="A133" s="92"/>
      <c r="B133" s="820"/>
      <c r="O133" s="17"/>
      <c r="P133" s="17"/>
      <c r="Q133" s="17"/>
      <c r="R133" s="17"/>
      <c r="S133" s="813"/>
      <c r="T133" s="17"/>
      <c r="AX133" s="17"/>
      <c r="BB133" s="17"/>
      <c r="BE133" s="17"/>
      <c r="BF133" s="17"/>
      <c r="BG133" s="17"/>
      <c r="BH133" s="17"/>
      <c r="BI133" s="17"/>
      <c r="BJ133" s="17"/>
      <c r="BK133" s="17"/>
      <c r="BL133" s="92"/>
      <c r="BM133" s="92"/>
      <c r="BN133" s="92"/>
      <c r="BO133" s="92"/>
      <c r="BP133" s="92"/>
      <c r="BQ133" s="818"/>
      <c r="BR133" s="54"/>
      <c r="BS133" s="54"/>
      <c r="BT133" s="818"/>
      <c r="BU133" s="818"/>
      <c r="BV133" s="818"/>
      <c r="BW133" s="92"/>
      <c r="BX133" s="92"/>
      <c r="BY133" s="17"/>
      <c r="BZ133" s="17"/>
      <c r="CA133" s="17"/>
      <c r="CB133" s="17"/>
      <c r="CC133" s="17"/>
      <c r="CD133" s="17"/>
    </row>
    <row r="134">
      <c r="A134" s="92"/>
      <c r="B134" s="820"/>
      <c r="O134" s="17"/>
      <c r="P134" s="17"/>
      <c r="Q134" s="17"/>
      <c r="R134" s="17"/>
      <c r="S134" s="813"/>
      <c r="T134" s="17"/>
      <c r="AX134" s="17"/>
      <c r="BB134" s="17"/>
      <c r="BE134" s="17"/>
      <c r="BF134" s="17"/>
      <c r="BG134" s="17"/>
      <c r="BH134" s="17"/>
      <c r="BI134" s="17"/>
      <c r="BJ134" s="17"/>
      <c r="BK134" s="17"/>
      <c r="BL134" s="92"/>
      <c r="BM134" s="92"/>
      <c r="BN134" s="92"/>
      <c r="BO134" s="92"/>
      <c r="BP134" s="92"/>
      <c r="BQ134" s="818"/>
      <c r="BR134" s="54"/>
      <c r="BS134" s="54"/>
      <c r="BT134" s="818"/>
      <c r="BU134" s="818"/>
      <c r="BV134" s="818"/>
      <c r="BW134" s="92"/>
      <c r="BX134" s="92"/>
      <c r="BY134" s="17"/>
      <c r="BZ134" s="17"/>
      <c r="CA134" s="17"/>
      <c r="CB134" s="17"/>
      <c r="CC134" s="17"/>
      <c r="CD134" s="17"/>
    </row>
    <row r="135">
      <c r="A135" s="92"/>
      <c r="B135" s="820"/>
      <c r="O135" s="17"/>
      <c r="P135" s="17"/>
      <c r="Q135" s="17"/>
      <c r="R135" s="17"/>
      <c r="S135" s="813"/>
      <c r="T135" s="17"/>
      <c r="AX135" s="17"/>
      <c r="BB135" s="17"/>
      <c r="BE135" s="17"/>
      <c r="BF135" s="17"/>
      <c r="BG135" s="17"/>
      <c r="BH135" s="17"/>
      <c r="BI135" s="17"/>
      <c r="BJ135" s="17"/>
      <c r="BK135" s="17"/>
      <c r="BL135" s="92"/>
      <c r="BM135" s="92"/>
      <c r="BN135" s="92"/>
      <c r="BO135" s="92"/>
      <c r="BP135" s="92"/>
      <c r="BQ135" s="818"/>
      <c r="BR135" s="54"/>
      <c r="BS135" s="54"/>
      <c r="BT135" s="818"/>
      <c r="BU135" s="818"/>
      <c r="BV135" s="818"/>
      <c r="BW135" s="92"/>
      <c r="BX135" s="92"/>
      <c r="BY135" s="17"/>
      <c r="BZ135" s="17"/>
      <c r="CA135" s="17"/>
      <c r="CB135" s="17"/>
      <c r="CC135" s="17"/>
      <c r="CD135" s="17"/>
    </row>
    <row r="136">
      <c r="A136" s="92"/>
      <c r="B136" s="820"/>
      <c r="O136" s="17"/>
      <c r="P136" s="17"/>
      <c r="Q136" s="17"/>
      <c r="R136" s="17"/>
      <c r="S136" s="813"/>
      <c r="T136" s="17"/>
      <c r="AX136" s="17"/>
      <c r="BB136" s="17"/>
      <c r="BE136" s="17"/>
      <c r="BF136" s="17"/>
      <c r="BG136" s="17"/>
      <c r="BH136" s="17"/>
      <c r="BI136" s="17"/>
      <c r="BJ136" s="17"/>
      <c r="BK136" s="17"/>
      <c r="BL136" s="92"/>
      <c r="BM136" s="92"/>
      <c r="BN136" s="92"/>
      <c r="BO136" s="92"/>
      <c r="BP136" s="92"/>
      <c r="BQ136" s="818"/>
      <c r="BR136" s="54"/>
      <c r="BS136" s="54"/>
      <c r="BT136" s="818"/>
      <c r="BU136" s="818"/>
      <c r="BV136" s="818"/>
      <c r="BW136" s="92"/>
      <c r="BX136" s="92"/>
      <c r="BY136" s="17"/>
      <c r="BZ136" s="17"/>
      <c r="CA136" s="17"/>
      <c r="CB136" s="17"/>
      <c r="CC136" s="17"/>
      <c r="CD136" s="17"/>
    </row>
    <row r="137">
      <c r="A137" s="92"/>
      <c r="B137" s="820"/>
      <c r="O137" s="17"/>
      <c r="P137" s="17"/>
      <c r="Q137" s="17"/>
      <c r="R137" s="17"/>
      <c r="S137" s="813"/>
      <c r="T137" s="17"/>
      <c r="AX137" s="17"/>
      <c r="BB137" s="17"/>
      <c r="BE137" s="17"/>
      <c r="BF137" s="17"/>
      <c r="BG137" s="17"/>
      <c r="BH137" s="17"/>
      <c r="BI137" s="17"/>
      <c r="BJ137" s="17"/>
      <c r="BK137" s="17"/>
      <c r="BL137" s="92"/>
      <c r="BM137" s="92"/>
      <c r="BN137" s="92"/>
      <c r="BO137" s="92"/>
      <c r="BP137" s="92"/>
      <c r="BQ137" s="818"/>
      <c r="BR137" s="54"/>
      <c r="BS137" s="54"/>
      <c r="BT137" s="818"/>
      <c r="BU137" s="818"/>
      <c r="BV137" s="818"/>
      <c r="BW137" s="92"/>
      <c r="BX137" s="92"/>
      <c r="BY137" s="17"/>
      <c r="BZ137" s="17"/>
      <c r="CA137" s="17"/>
      <c r="CB137" s="17"/>
      <c r="CC137" s="17"/>
      <c r="CD137" s="17"/>
    </row>
    <row r="138">
      <c r="A138" s="92"/>
      <c r="B138" s="820"/>
      <c r="O138" s="17"/>
      <c r="P138" s="17"/>
      <c r="Q138" s="17"/>
      <c r="R138" s="17"/>
      <c r="S138" s="813"/>
      <c r="T138" s="17"/>
      <c r="AX138" s="17"/>
      <c r="BB138" s="17"/>
      <c r="BE138" s="17"/>
      <c r="BF138" s="17"/>
      <c r="BG138" s="17"/>
      <c r="BH138" s="17"/>
      <c r="BI138" s="17"/>
      <c r="BJ138" s="17"/>
      <c r="BK138" s="17"/>
      <c r="BL138" s="92"/>
      <c r="BM138" s="92"/>
      <c r="BN138" s="92"/>
      <c r="BO138" s="92"/>
      <c r="BP138" s="92"/>
      <c r="BQ138" s="818"/>
      <c r="BR138" s="54"/>
      <c r="BS138" s="54"/>
      <c r="BT138" s="818"/>
      <c r="BU138" s="818"/>
      <c r="BV138" s="818"/>
      <c r="BW138" s="92"/>
      <c r="BX138" s="92"/>
      <c r="BY138" s="17"/>
      <c r="BZ138" s="17"/>
      <c r="CA138" s="17"/>
      <c r="CB138" s="17"/>
      <c r="CC138" s="17"/>
      <c r="CD138" s="17"/>
    </row>
    <row r="139">
      <c r="A139" s="92"/>
      <c r="B139" s="820"/>
      <c r="O139" s="17"/>
      <c r="P139" s="17"/>
      <c r="Q139" s="17"/>
      <c r="R139" s="17"/>
      <c r="S139" s="813"/>
      <c r="T139" s="17"/>
      <c r="AX139" s="17"/>
      <c r="BB139" s="17"/>
      <c r="BE139" s="17"/>
      <c r="BF139" s="17"/>
      <c r="BG139" s="17"/>
      <c r="BH139" s="17"/>
      <c r="BI139" s="17"/>
      <c r="BJ139" s="17"/>
      <c r="BK139" s="17"/>
      <c r="BL139" s="92"/>
      <c r="BM139" s="92"/>
      <c r="BN139" s="92"/>
      <c r="BO139" s="92"/>
      <c r="BP139" s="92"/>
      <c r="BQ139" s="818"/>
      <c r="BR139" s="54"/>
      <c r="BS139" s="54"/>
      <c r="BT139" s="818"/>
      <c r="BU139" s="818"/>
      <c r="BV139" s="818"/>
      <c r="BW139" s="92"/>
      <c r="BX139" s="92"/>
      <c r="BY139" s="17"/>
      <c r="BZ139" s="17"/>
      <c r="CA139" s="17"/>
      <c r="CB139" s="17"/>
      <c r="CC139" s="17"/>
      <c r="CD139" s="17"/>
    </row>
    <row r="140">
      <c r="A140" s="92"/>
      <c r="B140" s="820"/>
      <c r="O140" s="17"/>
      <c r="P140" s="17"/>
      <c r="Q140" s="17"/>
      <c r="R140" s="17"/>
      <c r="S140" s="813"/>
      <c r="T140" s="17"/>
      <c r="AX140" s="17"/>
      <c r="BB140" s="17"/>
      <c r="BE140" s="17"/>
      <c r="BF140" s="17"/>
      <c r="BG140" s="17"/>
      <c r="BH140" s="17"/>
      <c r="BI140" s="17"/>
      <c r="BJ140" s="17"/>
      <c r="BK140" s="17"/>
      <c r="BL140" s="92"/>
      <c r="BM140" s="92"/>
      <c r="BN140" s="92"/>
      <c r="BO140" s="92"/>
      <c r="BP140" s="92"/>
      <c r="BQ140" s="818"/>
      <c r="BR140" s="54"/>
      <c r="BS140" s="54"/>
      <c r="BT140" s="818"/>
      <c r="BU140" s="818"/>
      <c r="BV140" s="818"/>
      <c r="BW140" s="92"/>
      <c r="BX140" s="92"/>
      <c r="BY140" s="17"/>
      <c r="BZ140" s="17"/>
      <c r="CA140" s="17"/>
      <c r="CB140" s="17"/>
      <c r="CC140" s="17"/>
      <c r="CD140" s="17"/>
    </row>
    <row r="141">
      <c r="A141" s="92"/>
      <c r="B141" s="820"/>
      <c r="O141" s="17"/>
      <c r="P141" s="17"/>
      <c r="Q141" s="17"/>
      <c r="R141" s="17"/>
      <c r="S141" s="813"/>
      <c r="T141" s="17"/>
      <c r="AX141" s="17"/>
      <c r="BB141" s="17"/>
      <c r="BE141" s="17"/>
      <c r="BF141" s="17"/>
      <c r="BG141" s="17"/>
      <c r="BH141" s="17"/>
      <c r="BI141" s="17"/>
      <c r="BJ141" s="17"/>
      <c r="BK141" s="17"/>
      <c r="BL141" s="92"/>
      <c r="BM141" s="92"/>
      <c r="BN141" s="92"/>
      <c r="BO141" s="92"/>
      <c r="BP141" s="92"/>
      <c r="BQ141" s="818"/>
      <c r="BR141" s="54"/>
      <c r="BS141" s="54"/>
      <c r="BT141" s="818"/>
      <c r="BU141" s="818"/>
      <c r="BV141" s="818"/>
      <c r="BW141" s="92"/>
      <c r="BX141" s="92"/>
      <c r="BY141" s="17"/>
      <c r="BZ141" s="17"/>
      <c r="CA141" s="17"/>
      <c r="CB141" s="17"/>
      <c r="CC141" s="17"/>
      <c r="CD141" s="17"/>
    </row>
    <row r="142">
      <c r="A142" s="92"/>
      <c r="B142" s="820"/>
      <c r="O142" s="17"/>
      <c r="P142" s="17"/>
      <c r="Q142" s="17"/>
      <c r="R142" s="17"/>
      <c r="S142" s="813"/>
      <c r="T142" s="17"/>
      <c r="AX142" s="17"/>
      <c r="BB142" s="17"/>
      <c r="BE142" s="17"/>
      <c r="BF142" s="17"/>
      <c r="BG142" s="17"/>
      <c r="BH142" s="17"/>
      <c r="BI142" s="17"/>
      <c r="BJ142" s="17"/>
      <c r="BK142" s="17"/>
      <c r="BL142" s="92"/>
      <c r="BM142" s="92"/>
      <c r="BN142" s="92"/>
      <c r="BO142" s="92"/>
      <c r="BP142" s="92"/>
      <c r="BQ142" s="818"/>
      <c r="BR142" s="54"/>
      <c r="BS142" s="54"/>
      <c r="BT142" s="818"/>
      <c r="BU142" s="818"/>
      <c r="BV142" s="818"/>
      <c r="BW142" s="92"/>
      <c r="BX142" s="92"/>
      <c r="BY142" s="17"/>
      <c r="BZ142" s="17"/>
      <c r="CA142" s="17"/>
      <c r="CB142" s="17"/>
      <c r="CC142" s="17"/>
      <c r="CD142" s="17"/>
    </row>
    <row r="143">
      <c r="A143" s="92"/>
      <c r="B143" s="820"/>
      <c r="O143" s="17"/>
      <c r="P143" s="17"/>
      <c r="Q143" s="17"/>
      <c r="R143" s="17"/>
      <c r="S143" s="813"/>
      <c r="T143" s="17"/>
      <c r="AX143" s="17"/>
      <c r="BB143" s="17"/>
      <c r="BE143" s="17"/>
      <c r="BF143" s="17"/>
      <c r="BG143" s="17"/>
      <c r="BH143" s="17"/>
      <c r="BI143" s="17"/>
      <c r="BJ143" s="17"/>
      <c r="BK143" s="17"/>
      <c r="BL143" s="92"/>
      <c r="BM143" s="92"/>
      <c r="BN143" s="92"/>
      <c r="BO143" s="92"/>
      <c r="BP143" s="92"/>
      <c r="BQ143" s="818"/>
      <c r="BR143" s="54"/>
      <c r="BS143" s="54"/>
      <c r="BT143" s="818"/>
      <c r="BU143" s="818"/>
      <c r="BV143" s="818"/>
      <c r="BW143" s="92"/>
      <c r="BX143" s="92"/>
      <c r="BY143" s="17"/>
      <c r="BZ143" s="17"/>
      <c r="CA143" s="17"/>
      <c r="CB143" s="17"/>
      <c r="CC143" s="17"/>
      <c r="CD143" s="17"/>
    </row>
    <row r="144">
      <c r="A144" s="92"/>
      <c r="B144" s="820"/>
      <c r="O144" s="17"/>
      <c r="P144" s="17"/>
      <c r="Q144" s="17"/>
      <c r="R144" s="17"/>
      <c r="S144" s="813"/>
      <c r="T144" s="17"/>
      <c r="AX144" s="17"/>
      <c r="BB144" s="17"/>
      <c r="BE144" s="17"/>
      <c r="BF144" s="17"/>
      <c r="BG144" s="17"/>
      <c r="BH144" s="17"/>
      <c r="BI144" s="17"/>
      <c r="BJ144" s="17"/>
      <c r="BK144" s="17"/>
      <c r="BL144" s="92"/>
      <c r="BM144" s="92"/>
      <c r="BN144" s="92"/>
      <c r="BO144" s="92"/>
      <c r="BP144" s="92"/>
      <c r="BQ144" s="818"/>
      <c r="BR144" s="54"/>
      <c r="BS144" s="54"/>
      <c r="BT144" s="818"/>
      <c r="BU144" s="818"/>
      <c r="BV144" s="818"/>
      <c r="BW144" s="92"/>
      <c r="BX144" s="92"/>
      <c r="BY144" s="17"/>
      <c r="BZ144" s="17"/>
      <c r="CA144" s="17"/>
      <c r="CB144" s="17"/>
      <c r="CC144" s="17"/>
      <c r="CD144" s="17"/>
    </row>
    <row r="145">
      <c r="A145" s="92"/>
      <c r="B145" s="820"/>
      <c r="O145" s="17"/>
      <c r="P145" s="17"/>
      <c r="Q145" s="17"/>
      <c r="R145" s="17"/>
      <c r="S145" s="813"/>
      <c r="T145" s="17"/>
      <c r="AX145" s="17"/>
      <c r="BB145" s="17"/>
      <c r="BE145" s="17"/>
      <c r="BF145" s="17"/>
      <c r="BG145" s="17"/>
      <c r="BH145" s="17"/>
      <c r="BI145" s="17"/>
      <c r="BJ145" s="17"/>
      <c r="BK145" s="17"/>
      <c r="BL145" s="92"/>
      <c r="BM145" s="92"/>
      <c r="BN145" s="92"/>
      <c r="BO145" s="92"/>
      <c r="BP145" s="92"/>
      <c r="BQ145" s="818"/>
      <c r="BR145" s="54"/>
      <c r="BS145" s="54"/>
      <c r="BT145" s="818"/>
      <c r="BU145" s="818"/>
      <c r="BV145" s="818"/>
      <c r="BW145" s="92"/>
      <c r="BX145" s="92"/>
      <c r="BY145" s="17"/>
      <c r="BZ145" s="17"/>
      <c r="CA145" s="17"/>
      <c r="CB145" s="17"/>
      <c r="CC145" s="17"/>
      <c r="CD145" s="17"/>
    </row>
    <row r="146">
      <c r="A146" s="92"/>
      <c r="B146" s="820"/>
      <c r="O146" s="17"/>
      <c r="P146" s="17"/>
      <c r="Q146" s="17"/>
      <c r="R146" s="17"/>
      <c r="S146" s="813"/>
      <c r="T146" s="17"/>
      <c r="AX146" s="17"/>
      <c r="BB146" s="17"/>
      <c r="BE146" s="17"/>
      <c r="BF146" s="17"/>
      <c r="BG146" s="17"/>
      <c r="BH146" s="17"/>
      <c r="BI146" s="17"/>
      <c r="BJ146" s="17"/>
      <c r="BK146" s="17"/>
      <c r="BL146" s="92"/>
      <c r="BM146" s="92"/>
      <c r="BN146" s="92"/>
      <c r="BO146" s="92"/>
      <c r="BP146" s="92"/>
      <c r="BQ146" s="818"/>
      <c r="BR146" s="54"/>
      <c r="BS146" s="54"/>
      <c r="BT146" s="818"/>
      <c r="BU146" s="818"/>
      <c r="BV146" s="818"/>
      <c r="BW146" s="92"/>
      <c r="BX146" s="92"/>
      <c r="BY146" s="17"/>
      <c r="BZ146" s="17"/>
      <c r="CA146" s="17"/>
      <c r="CB146" s="17"/>
      <c r="CC146" s="17"/>
      <c r="CD146" s="17"/>
    </row>
    <row r="147">
      <c r="A147" s="92"/>
      <c r="B147" s="820"/>
      <c r="O147" s="17"/>
      <c r="P147" s="17"/>
      <c r="Q147" s="17"/>
      <c r="R147" s="17"/>
      <c r="S147" s="813"/>
      <c r="T147" s="17"/>
      <c r="AX147" s="17"/>
      <c r="BB147" s="17"/>
      <c r="BE147" s="17"/>
      <c r="BF147" s="17"/>
      <c r="BG147" s="17"/>
      <c r="BH147" s="17"/>
      <c r="BI147" s="17"/>
      <c r="BJ147" s="17"/>
      <c r="BK147" s="17"/>
      <c r="BL147" s="92"/>
      <c r="BM147" s="92"/>
      <c r="BN147" s="92"/>
      <c r="BO147" s="92"/>
      <c r="BP147" s="92"/>
      <c r="BQ147" s="818"/>
      <c r="BR147" s="54"/>
      <c r="BS147" s="54"/>
      <c r="BT147" s="818"/>
      <c r="BU147" s="818"/>
      <c r="BV147" s="818"/>
      <c r="BW147" s="92"/>
      <c r="BX147" s="92"/>
      <c r="BY147" s="17"/>
      <c r="BZ147" s="17"/>
      <c r="CA147" s="17"/>
      <c r="CB147" s="17"/>
      <c r="CC147" s="17"/>
      <c r="CD147" s="17"/>
    </row>
    <row r="148">
      <c r="A148" s="92"/>
      <c r="B148" s="820"/>
      <c r="O148" s="17"/>
      <c r="P148" s="17"/>
      <c r="Q148" s="17"/>
      <c r="R148" s="17"/>
      <c r="S148" s="813"/>
      <c r="T148" s="17"/>
      <c r="AX148" s="17"/>
      <c r="BB148" s="17"/>
      <c r="BE148" s="17"/>
      <c r="BF148" s="17"/>
      <c r="BG148" s="17"/>
      <c r="BH148" s="17"/>
      <c r="BI148" s="17"/>
      <c r="BJ148" s="17"/>
      <c r="BK148" s="17"/>
      <c r="BL148" s="92"/>
      <c r="BM148" s="92"/>
      <c r="BN148" s="92"/>
      <c r="BO148" s="92"/>
      <c r="BP148" s="92"/>
      <c r="BQ148" s="818"/>
      <c r="BR148" s="54"/>
      <c r="BS148" s="54"/>
      <c r="BT148" s="818"/>
      <c r="BU148" s="818"/>
      <c r="BV148" s="818"/>
      <c r="BW148" s="92"/>
      <c r="BX148" s="92"/>
      <c r="BY148" s="17"/>
      <c r="BZ148" s="17"/>
      <c r="CA148" s="17"/>
      <c r="CB148" s="17"/>
      <c r="CC148" s="17"/>
      <c r="CD148" s="17"/>
    </row>
    <row r="149">
      <c r="A149" s="92"/>
      <c r="B149" s="820"/>
      <c r="O149" s="17"/>
      <c r="P149" s="17"/>
      <c r="Q149" s="17"/>
      <c r="R149" s="17"/>
      <c r="S149" s="813"/>
      <c r="T149" s="17"/>
      <c r="AX149" s="17"/>
      <c r="BB149" s="17"/>
      <c r="BE149" s="17"/>
      <c r="BF149" s="17"/>
      <c r="BG149" s="17"/>
      <c r="BH149" s="17"/>
      <c r="BI149" s="17"/>
      <c r="BJ149" s="17"/>
      <c r="BK149" s="17"/>
      <c r="BL149" s="92"/>
      <c r="BM149" s="92"/>
      <c r="BN149" s="92"/>
      <c r="BO149" s="92"/>
      <c r="BP149" s="92"/>
      <c r="BQ149" s="818"/>
      <c r="BR149" s="54"/>
      <c r="BS149" s="54"/>
      <c r="BT149" s="818"/>
      <c r="BU149" s="818"/>
      <c r="BV149" s="818"/>
      <c r="BW149" s="92"/>
      <c r="BX149" s="92"/>
      <c r="BY149" s="17"/>
      <c r="BZ149" s="17"/>
      <c r="CA149" s="17"/>
      <c r="CB149" s="17"/>
      <c r="CC149" s="17"/>
      <c r="CD149" s="17"/>
    </row>
    <row r="150">
      <c r="A150" s="92"/>
      <c r="B150" s="820"/>
      <c r="O150" s="17"/>
      <c r="P150" s="17"/>
      <c r="Q150" s="17"/>
      <c r="R150" s="17"/>
      <c r="S150" s="813"/>
      <c r="T150" s="17"/>
      <c r="AX150" s="17"/>
      <c r="BB150" s="17"/>
      <c r="BE150" s="17"/>
      <c r="BF150" s="17"/>
      <c r="BG150" s="17"/>
      <c r="BH150" s="17"/>
      <c r="BI150" s="17"/>
      <c r="BJ150" s="17"/>
      <c r="BK150" s="17"/>
      <c r="BL150" s="92"/>
      <c r="BM150" s="92"/>
      <c r="BN150" s="92"/>
      <c r="BO150" s="92"/>
      <c r="BP150" s="92"/>
      <c r="BQ150" s="818"/>
      <c r="BR150" s="54"/>
      <c r="BS150" s="54"/>
      <c r="BT150" s="818"/>
      <c r="BU150" s="818"/>
      <c r="BV150" s="818"/>
      <c r="BW150" s="92"/>
      <c r="BX150" s="92"/>
      <c r="BY150" s="17"/>
      <c r="BZ150" s="17"/>
      <c r="CA150" s="17"/>
      <c r="CB150" s="17"/>
      <c r="CC150" s="17"/>
      <c r="CD150" s="17"/>
    </row>
    <row r="151">
      <c r="A151" s="92"/>
      <c r="B151" s="820"/>
      <c r="O151" s="17"/>
      <c r="P151" s="17"/>
      <c r="Q151" s="17"/>
      <c r="R151" s="17"/>
      <c r="S151" s="813"/>
      <c r="T151" s="17"/>
      <c r="AX151" s="17"/>
      <c r="BB151" s="17"/>
      <c r="BE151" s="17"/>
      <c r="BF151" s="17"/>
      <c r="BG151" s="17"/>
      <c r="BH151" s="17"/>
      <c r="BI151" s="17"/>
      <c r="BJ151" s="17"/>
      <c r="BK151" s="17"/>
      <c r="BL151" s="92"/>
      <c r="BM151" s="92"/>
      <c r="BN151" s="92"/>
      <c r="BO151" s="92"/>
      <c r="BP151" s="92"/>
      <c r="BQ151" s="818"/>
      <c r="BR151" s="54"/>
      <c r="BS151" s="54"/>
      <c r="BT151" s="818"/>
      <c r="BU151" s="818"/>
      <c r="BV151" s="818"/>
      <c r="BW151" s="92"/>
      <c r="BX151" s="92"/>
      <c r="BY151" s="17"/>
      <c r="BZ151" s="17"/>
      <c r="CA151" s="17"/>
      <c r="CB151" s="17"/>
      <c r="CC151" s="17"/>
      <c r="CD151" s="17"/>
    </row>
    <row r="152">
      <c r="A152" s="92"/>
      <c r="B152" s="820"/>
      <c r="O152" s="17"/>
      <c r="P152" s="17"/>
      <c r="Q152" s="17"/>
      <c r="R152" s="17"/>
      <c r="S152" s="813"/>
      <c r="T152" s="17"/>
      <c r="AX152" s="17"/>
      <c r="BB152" s="17"/>
      <c r="BE152" s="17"/>
      <c r="BF152" s="17"/>
      <c r="BG152" s="17"/>
      <c r="BH152" s="17"/>
      <c r="BI152" s="17"/>
      <c r="BJ152" s="17"/>
      <c r="BK152" s="17"/>
      <c r="BL152" s="92"/>
      <c r="BM152" s="92"/>
      <c r="BN152" s="92"/>
      <c r="BO152" s="92"/>
      <c r="BP152" s="92"/>
      <c r="BQ152" s="818"/>
      <c r="BR152" s="54"/>
      <c r="BS152" s="54"/>
      <c r="BT152" s="818"/>
      <c r="BU152" s="818"/>
      <c r="BV152" s="818"/>
      <c r="BW152" s="92"/>
      <c r="BX152" s="92"/>
      <c r="BY152" s="17"/>
      <c r="BZ152" s="17"/>
      <c r="CA152" s="17"/>
      <c r="CB152" s="17"/>
      <c r="CC152" s="17"/>
      <c r="CD152" s="17"/>
    </row>
    <row r="153">
      <c r="A153" s="92"/>
      <c r="B153" s="820"/>
      <c r="O153" s="17"/>
      <c r="P153" s="17"/>
      <c r="Q153" s="17"/>
      <c r="R153" s="17"/>
      <c r="S153" s="813"/>
      <c r="T153" s="17"/>
      <c r="AX153" s="17"/>
      <c r="BB153" s="17"/>
      <c r="BE153" s="17"/>
      <c r="BF153" s="17"/>
      <c r="BG153" s="17"/>
      <c r="BH153" s="17"/>
      <c r="BI153" s="17"/>
      <c r="BJ153" s="17"/>
      <c r="BK153" s="17"/>
      <c r="BL153" s="92"/>
      <c r="BM153" s="92"/>
      <c r="BN153" s="92"/>
      <c r="BO153" s="92"/>
      <c r="BP153" s="92"/>
      <c r="BQ153" s="818"/>
      <c r="BR153" s="54"/>
      <c r="BS153" s="54"/>
      <c r="BT153" s="818"/>
      <c r="BU153" s="818"/>
      <c r="BV153" s="818"/>
      <c r="BW153" s="92"/>
      <c r="BX153" s="92"/>
      <c r="BY153" s="17"/>
      <c r="BZ153" s="17"/>
      <c r="CA153" s="17"/>
      <c r="CB153" s="17"/>
      <c r="CC153" s="17"/>
      <c r="CD153" s="17"/>
    </row>
    <row r="154">
      <c r="A154" s="92"/>
      <c r="B154" s="820"/>
      <c r="O154" s="17"/>
      <c r="P154" s="17"/>
      <c r="Q154" s="17"/>
      <c r="R154" s="17"/>
      <c r="S154" s="813"/>
      <c r="T154" s="17"/>
      <c r="AX154" s="17"/>
      <c r="BB154" s="17"/>
      <c r="BE154" s="17"/>
      <c r="BF154" s="17"/>
      <c r="BG154" s="17"/>
      <c r="BH154" s="17"/>
      <c r="BI154" s="17"/>
      <c r="BJ154" s="17"/>
      <c r="BK154" s="17"/>
      <c r="BL154" s="92"/>
      <c r="BM154" s="92"/>
      <c r="BN154" s="92"/>
      <c r="BO154" s="92"/>
      <c r="BP154" s="92"/>
      <c r="BQ154" s="818"/>
      <c r="BR154" s="54"/>
      <c r="BS154" s="54"/>
      <c r="BT154" s="818"/>
      <c r="BU154" s="818"/>
      <c r="BV154" s="818"/>
      <c r="BW154" s="92"/>
      <c r="BX154" s="92"/>
      <c r="BY154" s="17"/>
      <c r="BZ154" s="17"/>
      <c r="CA154" s="17"/>
      <c r="CB154" s="17"/>
      <c r="CC154" s="17"/>
      <c r="CD154" s="17"/>
    </row>
    <row r="155">
      <c r="A155" s="92"/>
      <c r="B155" s="820"/>
      <c r="O155" s="17"/>
      <c r="P155" s="17"/>
      <c r="Q155" s="17"/>
      <c r="R155" s="17"/>
      <c r="S155" s="813"/>
      <c r="T155" s="17"/>
      <c r="AX155" s="17"/>
      <c r="BB155" s="17"/>
      <c r="BE155" s="17"/>
      <c r="BF155" s="17"/>
      <c r="BG155" s="17"/>
      <c r="BH155" s="17"/>
      <c r="BI155" s="17"/>
      <c r="BJ155" s="17"/>
      <c r="BK155" s="17"/>
      <c r="BL155" s="92"/>
      <c r="BM155" s="92"/>
      <c r="BN155" s="92"/>
      <c r="BO155" s="92"/>
      <c r="BP155" s="92"/>
      <c r="BQ155" s="818"/>
      <c r="BR155" s="54"/>
      <c r="BS155" s="54"/>
      <c r="BT155" s="818"/>
      <c r="BU155" s="818"/>
      <c r="BV155" s="818"/>
      <c r="BW155" s="92"/>
      <c r="BX155" s="92"/>
      <c r="BY155" s="17"/>
      <c r="BZ155" s="17"/>
      <c r="CA155" s="17"/>
      <c r="CB155" s="17"/>
      <c r="CC155" s="17"/>
      <c r="CD155" s="17"/>
    </row>
    <row r="156">
      <c r="A156" s="92"/>
      <c r="B156" s="820"/>
      <c r="O156" s="17"/>
      <c r="P156" s="17"/>
      <c r="Q156" s="17"/>
      <c r="R156" s="17"/>
      <c r="S156" s="813"/>
      <c r="T156" s="17"/>
      <c r="AX156" s="17"/>
      <c r="BB156" s="17"/>
      <c r="BE156" s="17"/>
      <c r="BF156" s="17"/>
      <c r="BG156" s="17"/>
      <c r="BH156" s="17"/>
      <c r="BI156" s="17"/>
      <c r="BJ156" s="17"/>
      <c r="BK156" s="17"/>
      <c r="BL156" s="92"/>
      <c r="BM156" s="92"/>
      <c r="BN156" s="92"/>
      <c r="BO156" s="92"/>
      <c r="BP156" s="92"/>
      <c r="BQ156" s="818"/>
      <c r="BR156" s="54"/>
      <c r="BS156" s="54"/>
      <c r="BT156" s="818"/>
      <c r="BU156" s="818"/>
      <c r="BV156" s="818"/>
      <c r="BW156" s="92"/>
      <c r="BX156" s="92"/>
      <c r="BY156" s="17"/>
      <c r="BZ156" s="17"/>
      <c r="CA156" s="17"/>
      <c r="CB156" s="17"/>
      <c r="CC156" s="17"/>
      <c r="CD156" s="17"/>
    </row>
    <row r="157">
      <c r="A157" s="92"/>
      <c r="B157" s="820"/>
      <c r="O157" s="17"/>
      <c r="P157" s="17"/>
      <c r="Q157" s="17"/>
      <c r="R157" s="17"/>
      <c r="S157" s="813"/>
      <c r="T157" s="17"/>
      <c r="AX157" s="17"/>
      <c r="BB157" s="17"/>
      <c r="BE157" s="17"/>
      <c r="BF157" s="17"/>
      <c r="BG157" s="17"/>
      <c r="BH157" s="17"/>
      <c r="BI157" s="17"/>
      <c r="BJ157" s="17"/>
      <c r="BK157" s="17"/>
      <c r="BL157" s="92"/>
      <c r="BM157" s="92"/>
      <c r="BN157" s="92"/>
      <c r="BO157" s="92"/>
      <c r="BP157" s="92"/>
      <c r="BQ157" s="818"/>
      <c r="BR157" s="54"/>
      <c r="BS157" s="54"/>
      <c r="BT157" s="818"/>
      <c r="BU157" s="818"/>
      <c r="BV157" s="818"/>
      <c r="BW157" s="92"/>
      <c r="BX157" s="92"/>
      <c r="BY157" s="17"/>
      <c r="BZ157" s="17"/>
      <c r="CA157" s="17"/>
      <c r="CB157" s="17"/>
      <c r="CC157" s="17"/>
      <c r="CD157" s="17"/>
    </row>
    <row r="158">
      <c r="A158" s="92"/>
      <c r="B158" s="820"/>
      <c r="O158" s="17"/>
      <c r="P158" s="17"/>
      <c r="Q158" s="17"/>
      <c r="R158" s="17"/>
      <c r="S158" s="813"/>
      <c r="T158" s="17"/>
      <c r="AX158" s="17"/>
      <c r="BB158" s="17"/>
      <c r="BE158" s="17"/>
      <c r="BF158" s="17"/>
      <c r="BG158" s="17"/>
      <c r="BH158" s="17"/>
      <c r="BI158" s="17"/>
      <c r="BJ158" s="17"/>
      <c r="BK158" s="17"/>
      <c r="BL158" s="92"/>
      <c r="BM158" s="92"/>
      <c r="BN158" s="92"/>
      <c r="BO158" s="92"/>
      <c r="BP158" s="92"/>
      <c r="BQ158" s="818"/>
      <c r="BR158" s="54"/>
      <c r="BS158" s="54"/>
      <c r="BT158" s="818"/>
      <c r="BU158" s="818"/>
      <c r="BV158" s="818"/>
      <c r="BW158" s="92"/>
      <c r="BX158" s="92"/>
      <c r="BY158" s="17"/>
      <c r="BZ158" s="17"/>
      <c r="CA158" s="17"/>
      <c r="CB158" s="17"/>
      <c r="CC158" s="17"/>
      <c r="CD158" s="17"/>
    </row>
    <row r="159">
      <c r="A159" s="92"/>
      <c r="B159" s="820"/>
      <c r="O159" s="17"/>
      <c r="P159" s="17"/>
      <c r="Q159" s="17"/>
      <c r="R159" s="17"/>
      <c r="S159" s="813"/>
      <c r="T159" s="17"/>
      <c r="AX159" s="17"/>
      <c r="BB159" s="17"/>
      <c r="BE159" s="17"/>
      <c r="BF159" s="17"/>
      <c r="BG159" s="17"/>
      <c r="BH159" s="17"/>
      <c r="BI159" s="17"/>
      <c r="BJ159" s="17"/>
      <c r="BK159" s="17"/>
      <c r="BL159" s="92"/>
      <c r="BM159" s="92"/>
      <c r="BN159" s="92"/>
      <c r="BO159" s="92"/>
      <c r="BP159" s="92"/>
      <c r="BQ159" s="818"/>
      <c r="BR159" s="54"/>
      <c r="BS159" s="54"/>
      <c r="BT159" s="818"/>
      <c r="BU159" s="818"/>
      <c r="BV159" s="818"/>
      <c r="BW159" s="92"/>
      <c r="BX159" s="92"/>
      <c r="BY159" s="17"/>
      <c r="BZ159" s="17"/>
      <c r="CA159" s="17"/>
      <c r="CB159" s="17"/>
      <c r="CC159" s="17"/>
      <c r="CD159" s="17"/>
    </row>
    <row r="160">
      <c r="A160" s="92"/>
      <c r="B160" s="820"/>
      <c r="O160" s="17"/>
      <c r="P160" s="17"/>
      <c r="Q160" s="17"/>
      <c r="R160" s="17"/>
      <c r="S160" s="813"/>
      <c r="T160" s="17"/>
      <c r="AX160" s="17"/>
      <c r="BB160" s="17"/>
      <c r="BE160" s="17"/>
      <c r="BF160" s="17"/>
      <c r="BG160" s="17"/>
      <c r="BH160" s="17"/>
      <c r="BI160" s="17"/>
      <c r="BJ160" s="17"/>
      <c r="BK160" s="17"/>
      <c r="BL160" s="92"/>
      <c r="BM160" s="92"/>
      <c r="BN160" s="92"/>
      <c r="BO160" s="92"/>
      <c r="BP160" s="92"/>
      <c r="BQ160" s="818"/>
      <c r="BR160" s="54"/>
      <c r="BS160" s="54"/>
      <c r="BT160" s="818"/>
      <c r="BU160" s="818"/>
      <c r="BV160" s="818"/>
      <c r="BW160" s="92"/>
      <c r="BX160" s="92"/>
      <c r="BY160" s="17"/>
      <c r="BZ160" s="17"/>
      <c r="CA160" s="17"/>
      <c r="CB160" s="17"/>
      <c r="CC160" s="17"/>
      <c r="CD160" s="17"/>
    </row>
    <row r="161">
      <c r="A161" s="92"/>
      <c r="B161" s="820"/>
      <c r="O161" s="17"/>
      <c r="P161" s="17"/>
      <c r="Q161" s="17"/>
      <c r="R161" s="17"/>
      <c r="S161" s="813"/>
      <c r="T161" s="17"/>
      <c r="AX161" s="17"/>
      <c r="BB161" s="17"/>
      <c r="BE161" s="17"/>
      <c r="BF161" s="17"/>
      <c r="BG161" s="17"/>
      <c r="BH161" s="17"/>
      <c r="BI161" s="17"/>
      <c r="BJ161" s="17"/>
      <c r="BK161" s="17"/>
      <c r="BL161" s="92"/>
      <c r="BM161" s="92"/>
      <c r="BN161" s="92"/>
      <c r="BO161" s="92"/>
      <c r="BP161" s="92"/>
      <c r="BQ161" s="818"/>
      <c r="BR161" s="54"/>
      <c r="BS161" s="54"/>
      <c r="BT161" s="818"/>
      <c r="BU161" s="818"/>
      <c r="BV161" s="818"/>
      <c r="BW161" s="92"/>
      <c r="BX161" s="92"/>
      <c r="BY161" s="17"/>
      <c r="BZ161" s="17"/>
      <c r="CA161" s="17"/>
      <c r="CB161" s="17"/>
      <c r="CC161" s="17"/>
      <c r="CD161" s="17"/>
    </row>
    <row r="162">
      <c r="A162" s="92"/>
      <c r="B162" s="820"/>
      <c r="O162" s="17"/>
      <c r="P162" s="17"/>
      <c r="Q162" s="17"/>
      <c r="R162" s="17"/>
      <c r="S162" s="813"/>
      <c r="T162" s="17"/>
      <c r="AX162" s="17"/>
      <c r="BB162" s="17"/>
      <c r="BE162" s="17"/>
      <c r="BF162" s="17"/>
      <c r="BG162" s="17"/>
      <c r="BH162" s="17"/>
      <c r="BI162" s="17"/>
      <c r="BJ162" s="17"/>
      <c r="BK162" s="17"/>
      <c r="BL162" s="92"/>
      <c r="BM162" s="92"/>
      <c r="BN162" s="92"/>
      <c r="BO162" s="92"/>
      <c r="BP162" s="92"/>
      <c r="BQ162" s="818"/>
      <c r="BR162" s="54"/>
      <c r="BS162" s="54"/>
      <c r="BT162" s="818"/>
      <c r="BU162" s="818"/>
      <c r="BV162" s="818"/>
      <c r="BW162" s="92"/>
      <c r="BX162" s="92"/>
      <c r="BY162" s="17"/>
      <c r="BZ162" s="17"/>
      <c r="CA162" s="17"/>
      <c r="CB162" s="17"/>
      <c r="CC162" s="17"/>
      <c r="CD162" s="17"/>
    </row>
    <row r="163">
      <c r="A163" s="92"/>
      <c r="B163" s="820"/>
      <c r="O163" s="17"/>
      <c r="P163" s="17"/>
      <c r="Q163" s="17"/>
      <c r="R163" s="17"/>
      <c r="S163" s="813"/>
      <c r="T163" s="17"/>
      <c r="AX163" s="17"/>
      <c r="BB163" s="17"/>
      <c r="BE163" s="17"/>
      <c r="BF163" s="17"/>
      <c r="BG163" s="17"/>
      <c r="BH163" s="17"/>
      <c r="BI163" s="17"/>
      <c r="BJ163" s="17"/>
      <c r="BK163" s="17"/>
      <c r="BL163" s="92"/>
      <c r="BM163" s="92"/>
      <c r="BN163" s="92"/>
      <c r="BO163" s="92"/>
      <c r="BP163" s="92"/>
      <c r="BQ163" s="818"/>
      <c r="BR163" s="54"/>
      <c r="BS163" s="54"/>
      <c r="BT163" s="818"/>
      <c r="BU163" s="818"/>
      <c r="BV163" s="818"/>
      <c r="BW163" s="92"/>
      <c r="BX163" s="92"/>
      <c r="BY163" s="17"/>
      <c r="BZ163" s="17"/>
      <c r="CA163" s="17"/>
      <c r="CB163" s="17"/>
      <c r="CC163" s="17"/>
      <c r="CD163" s="17"/>
    </row>
    <row r="164">
      <c r="A164" s="92"/>
      <c r="B164" s="820"/>
      <c r="O164" s="17"/>
      <c r="P164" s="17"/>
      <c r="Q164" s="17"/>
      <c r="R164" s="17"/>
      <c r="S164" s="813"/>
      <c r="T164" s="17"/>
      <c r="AX164" s="17"/>
      <c r="BB164" s="17"/>
      <c r="BE164" s="17"/>
      <c r="BF164" s="17"/>
      <c r="BG164" s="17"/>
      <c r="BH164" s="17"/>
      <c r="BI164" s="17"/>
      <c r="BJ164" s="17"/>
      <c r="BK164" s="17"/>
      <c r="BL164" s="92"/>
      <c r="BM164" s="92"/>
      <c r="BN164" s="92"/>
      <c r="BO164" s="92"/>
      <c r="BP164" s="92"/>
      <c r="BQ164" s="818"/>
      <c r="BR164" s="54"/>
      <c r="BS164" s="54"/>
      <c r="BT164" s="818"/>
      <c r="BU164" s="818"/>
      <c r="BV164" s="818"/>
      <c r="BW164" s="92"/>
      <c r="BX164" s="92"/>
      <c r="BY164" s="17"/>
      <c r="BZ164" s="17"/>
      <c r="CA164" s="17"/>
      <c r="CB164" s="17"/>
      <c r="CC164" s="17"/>
      <c r="CD164" s="17"/>
    </row>
    <row r="165">
      <c r="A165" s="92"/>
      <c r="B165" s="820"/>
      <c r="O165" s="17"/>
      <c r="P165" s="17"/>
      <c r="Q165" s="17"/>
      <c r="R165" s="17"/>
      <c r="S165" s="813"/>
      <c r="T165" s="17"/>
      <c r="AX165" s="17"/>
      <c r="BB165" s="17"/>
      <c r="BE165" s="17"/>
      <c r="BF165" s="17"/>
      <c r="BG165" s="17"/>
      <c r="BH165" s="17"/>
      <c r="BI165" s="17"/>
      <c r="BJ165" s="17"/>
      <c r="BK165" s="17"/>
      <c r="BL165" s="92"/>
      <c r="BM165" s="92"/>
      <c r="BN165" s="92"/>
      <c r="BO165" s="92"/>
      <c r="BP165" s="92"/>
      <c r="BQ165" s="818"/>
      <c r="BR165" s="54"/>
      <c r="BS165" s="54"/>
      <c r="BT165" s="818"/>
      <c r="BU165" s="818"/>
      <c r="BV165" s="818"/>
      <c r="BW165" s="92"/>
      <c r="BX165" s="92"/>
      <c r="BY165" s="17"/>
      <c r="BZ165" s="17"/>
      <c r="CA165" s="17"/>
      <c r="CB165" s="17"/>
      <c r="CC165" s="17"/>
      <c r="CD165" s="17"/>
    </row>
    <row r="166">
      <c r="A166" s="92"/>
      <c r="B166" s="820"/>
      <c r="O166" s="17"/>
      <c r="P166" s="17"/>
      <c r="Q166" s="17"/>
      <c r="R166" s="17"/>
      <c r="S166" s="813"/>
      <c r="T166" s="17"/>
      <c r="AX166" s="17"/>
      <c r="BB166" s="17"/>
      <c r="BE166" s="17"/>
      <c r="BF166" s="17"/>
      <c r="BG166" s="17"/>
      <c r="BH166" s="17"/>
      <c r="BI166" s="17"/>
      <c r="BJ166" s="17"/>
      <c r="BK166" s="17"/>
      <c r="BL166" s="92"/>
      <c r="BM166" s="92"/>
      <c r="BN166" s="92"/>
      <c r="BO166" s="92"/>
      <c r="BP166" s="92"/>
      <c r="BQ166" s="818"/>
      <c r="BR166" s="54"/>
      <c r="BS166" s="54"/>
      <c r="BT166" s="818"/>
      <c r="BU166" s="818"/>
      <c r="BV166" s="818"/>
      <c r="BW166" s="92"/>
      <c r="BX166" s="92"/>
      <c r="BY166" s="17"/>
      <c r="BZ166" s="17"/>
      <c r="CA166" s="17"/>
      <c r="CB166" s="17"/>
      <c r="CC166" s="17"/>
      <c r="CD166" s="17"/>
    </row>
    <row r="167">
      <c r="A167" s="92"/>
      <c r="B167" s="820"/>
      <c r="O167" s="17"/>
      <c r="P167" s="17"/>
      <c r="Q167" s="17"/>
      <c r="R167" s="17"/>
      <c r="S167" s="813"/>
      <c r="T167" s="17"/>
      <c r="AX167" s="17"/>
      <c r="BB167" s="17"/>
      <c r="BE167" s="17"/>
      <c r="BF167" s="17"/>
      <c r="BG167" s="17"/>
      <c r="BH167" s="17"/>
      <c r="BI167" s="17"/>
      <c r="BJ167" s="17"/>
      <c r="BK167" s="17"/>
      <c r="BL167" s="92"/>
      <c r="BM167" s="92"/>
      <c r="BN167" s="92"/>
      <c r="BO167" s="92"/>
      <c r="BP167" s="92"/>
      <c r="BQ167" s="818"/>
      <c r="BR167" s="54"/>
      <c r="BS167" s="54"/>
      <c r="BT167" s="818"/>
      <c r="BU167" s="818"/>
      <c r="BV167" s="818"/>
      <c r="BW167" s="92"/>
      <c r="BX167" s="92"/>
      <c r="BY167" s="17"/>
      <c r="BZ167" s="17"/>
      <c r="CA167" s="17"/>
      <c r="CB167" s="17"/>
      <c r="CC167" s="17"/>
      <c r="CD167" s="17"/>
    </row>
    <row r="168">
      <c r="A168" s="92"/>
      <c r="B168" s="820"/>
      <c r="O168" s="17"/>
      <c r="P168" s="17"/>
      <c r="Q168" s="17"/>
      <c r="R168" s="17"/>
      <c r="S168" s="813"/>
      <c r="T168" s="17"/>
      <c r="AX168" s="17"/>
      <c r="BB168" s="17"/>
      <c r="BE168" s="17"/>
      <c r="BF168" s="17"/>
      <c r="BG168" s="17"/>
      <c r="BH168" s="17"/>
      <c r="BI168" s="17"/>
      <c r="BJ168" s="17"/>
      <c r="BK168" s="17"/>
      <c r="BL168" s="92"/>
      <c r="BM168" s="92"/>
      <c r="BN168" s="92"/>
      <c r="BO168" s="92"/>
      <c r="BP168" s="92"/>
      <c r="BQ168" s="818"/>
      <c r="BR168" s="54"/>
      <c r="BS168" s="54"/>
      <c r="BT168" s="818"/>
      <c r="BU168" s="818"/>
      <c r="BV168" s="818"/>
      <c r="BW168" s="92"/>
      <c r="BX168" s="92"/>
      <c r="BY168" s="17"/>
      <c r="BZ168" s="17"/>
      <c r="CA168" s="17"/>
      <c r="CB168" s="17"/>
      <c r="CC168" s="17"/>
      <c r="CD168" s="17"/>
    </row>
    <row r="169">
      <c r="A169" s="92"/>
      <c r="B169" s="820"/>
      <c r="O169" s="17"/>
      <c r="P169" s="17"/>
      <c r="Q169" s="17"/>
      <c r="R169" s="17"/>
      <c r="S169" s="813"/>
      <c r="T169" s="17"/>
      <c r="AX169" s="17"/>
      <c r="BB169" s="17"/>
      <c r="BE169" s="17"/>
      <c r="BF169" s="17"/>
      <c r="BG169" s="17"/>
      <c r="BH169" s="17"/>
      <c r="BI169" s="17"/>
      <c r="BJ169" s="17"/>
      <c r="BK169" s="17"/>
      <c r="BL169" s="92"/>
      <c r="BM169" s="92"/>
      <c r="BN169" s="92"/>
      <c r="BO169" s="92"/>
      <c r="BP169" s="92"/>
      <c r="BQ169" s="818"/>
      <c r="BR169" s="54"/>
      <c r="BS169" s="54"/>
      <c r="BT169" s="818"/>
      <c r="BU169" s="818"/>
      <c r="BV169" s="818"/>
      <c r="BW169" s="92"/>
      <c r="BX169" s="92"/>
      <c r="BY169" s="17"/>
      <c r="BZ169" s="17"/>
      <c r="CA169" s="17"/>
      <c r="CB169" s="17"/>
      <c r="CC169" s="17"/>
      <c r="CD169" s="17"/>
    </row>
    <row r="170">
      <c r="A170" s="92"/>
      <c r="B170" s="820"/>
      <c r="O170" s="17"/>
      <c r="P170" s="17"/>
      <c r="Q170" s="17"/>
      <c r="R170" s="17"/>
      <c r="S170" s="813"/>
      <c r="T170" s="17"/>
      <c r="AX170" s="17"/>
      <c r="BB170" s="17"/>
      <c r="BE170" s="17"/>
      <c r="BF170" s="17"/>
      <c r="BG170" s="17"/>
      <c r="BH170" s="17"/>
      <c r="BI170" s="17"/>
      <c r="BJ170" s="17"/>
      <c r="BK170" s="17"/>
      <c r="BL170" s="92"/>
      <c r="BM170" s="92"/>
      <c r="BN170" s="92"/>
      <c r="BO170" s="92"/>
      <c r="BP170" s="92"/>
      <c r="BQ170" s="818"/>
      <c r="BR170" s="54"/>
      <c r="BS170" s="54"/>
      <c r="BT170" s="818"/>
      <c r="BU170" s="818"/>
      <c r="BV170" s="818"/>
      <c r="BW170" s="92"/>
      <c r="BX170" s="92"/>
      <c r="BY170" s="17"/>
      <c r="BZ170" s="17"/>
      <c r="CA170" s="17"/>
      <c r="CB170" s="17"/>
      <c r="CC170" s="17"/>
      <c r="CD170" s="17"/>
    </row>
    <row r="171">
      <c r="A171" s="92"/>
      <c r="B171" s="820"/>
      <c r="O171" s="17"/>
      <c r="P171" s="17"/>
      <c r="Q171" s="17"/>
      <c r="R171" s="17"/>
      <c r="S171" s="813"/>
      <c r="T171" s="17"/>
      <c r="AX171" s="17"/>
      <c r="BB171" s="17"/>
      <c r="BE171" s="17"/>
      <c r="BF171" s="17"/>
      <c r="BG171" s="17"/>
      <c r="BH171" s="17"/>
      <c r="BI171" s="17"/>
      <c r="BJ171" s="17"/>
      <c r="BK171" s="17"/>
      <c r="BL171" s="92"/>
      <c r="BM171" s="92"/>
      <c r="BN171" s="92"/>
      <c r="BO171" s="92"/>
      <c r="BP171" s="92"/>
      <c r="BQ171" s="818"/>
      <c r="BR171" s="54"/>
      <c r="BS171" s="54"/>
      <c r="BT171" s="818"/>
      <c r="BU171" s="818"/>
      <c r="BV171" s="818"/>
      <c r="BW171" s="92"/>
      <c r="BX171" s="92"/>
      <c r="BY171" s="17"/>
      <c r="BZ171" s="17"/>
      <c r="CA171" s="17"/>
      <c r="CB171" s="17"/>
      <c r="CC171" s="17"/>
      <c r="CD171" s="17"/>
    </row>
    <row r="172">
      <c r="A172" s="92"/>
      <c r="B172" s="820"/>
      <c r="O172" s="17"/>
      <c r="P172" s="17"/>
      <c r="Q172" s="17"/>
      <c r="R172" s="17"/>
      <c r="S172" s="813"/>
      <c r="T172" s="17"/>
      <c r="AX172" s="17"/>
      <c r="BB172" s="17"/>
      <c r="BE172" s="17"/>
      <c r="BF172" s="17"/>
      <c r="BG172" s="17"/>
      <c r="BH172" s="17"/>
      <c r="BI172" s="17"/>
      <c r="BJ172" s="17"/>
      <c r="BK172" s="17"/>
      <c r="BL172" s="92"/>
      <c r="BM172" s="92"/>
      <c r="BN172" s="92"/>
      <c r="BO172" s="92"/>
      <c r="BP172" s="92"/>
      <c r="BQ172" s="818"/>
      <c r="BR172" s="54"/>
      <c r="BS172" s="54"/>
      <c r="BT172" s="818"/>
      <c r="BU172" s="818"/>
      <c r="BV172" s="818"/>
      <c r="BW172" s="92"/>
      <c r="BX172" s="92"/>
      <c r="BY172" s="17"/>
      <c r="BZ172" s="17"/>
      <c r="CA172" s="17"/>
      <c r="CB172" s="17"/>
      <c r="CC172" s="17"/>
      <c r="CD172" s="17"/>
    </row>
    <row r="173">
      <c r="A173" s="92"/>
      <c r="B173" s="820"/>
      <c r="O173" s="17"/>
      <c r="P173" s="17"/>
      <c r="Q173" s="17"/>
      <c r="R173" s="17"/>
      <c r="S173" s="813"/>
      <c r="T173" s="17"/>
      <c r="AX173" s="17"/>
      <c r="BB173" s="17"/>
      <c r="BE173" s="17"/>
      <c r="BF173" s="17"/>
      <c r="BG173" s="17"/>
      <c r="BH173" s="17"/>
      <c r="BI173" s="17"/>
      <c r="BJ173" s="17"/>
      <c r="BK173" s="17"/>
      <c r="BL173" s="92"/>
      <c r="BM173" s="92"/>
      <c r="BN173" s="92"/>
      <c r="BO173" s="92"/>
      <c r="BP173" s="92"/>
      <c r="BQ173" s="818"/>
      <c r="BR173" s="54"/>
      <c r="BS173" s="54"/>
      <c r="BT173" s="818"/>
      <c r="BU173" s="818"/>
      <c r="BV173" s="818"/>
      <c r="BW173" s="92"/>
      <c r="BX173" s="92"/>
      <c r="BY173" s="17"/>
      <c r="BZ173" s="17"/>
      <c r="CA173" s="17"/>
      <c r="CB173" s="17"/>
      <c r="CC173" s="17"/>
      <c r="CD173" s="17"/>
    </row>
    <row r="174">
      <c r="A174" s="92"/>
      <c r="B174" s="820"/>
      <c r="O174" s="17"/>
      <c r="P174" s="17"/>
      <c r="Q174" s="17"/>
      <c r="R174" s="17"/>
      <c r="S174" s="813"/>
      <c r="T174" s="17"/>
      <c r="AX174" s="17"/>
      <c r="BB174" s="17"/>
      <c r="BE174" s="17"/>
      <c r="BF174" s="17"/>
      <c r="BG174" s="17"/>
      <c r="BH174" s="17"/>
      <c r="BI174" s="17"/>
      <c r="BJ174" s="17"/>
      <c r="BK174" s="17"/>
      <c r="BL174" s="92"/>
      <c r="BM174" s="92"/>
      <c r="BN174" s="92"/>
      <c r="BO174" s="92"/>
      <c r="BP174" s="92"/>
      <c r="BQ174" s="818"/>
      <c r="BR174" s="54"/>
      <c r="BS174" s="54"/>
      <c r="BT174" s="818"/>
      <c r="BU174" s="818"/>
      <c r="BV174" s="818"/>
      <c r="BW174" s="92"/>
      <c r="BX174" s="92"/>
      <c r="BY174" s="17"/>
      <c r="BZ174" s="17"/>
      <c r="CA174" s="17"/>
      <c r="CB174" s="17"/>
      <c r="CC174" s="17"/>
      <c r="CD174" s="17"/>
    </row>
    <row r="175">
      <c r="A175" s="92"/>
      <c r="B175" s="820"/>
      <c r="O175" s="17"/>
      <c r="P175" s="17"/>
      <c r="Q175" s="17"/>
      <c r="R175" s="17"/>
      <c r="S175" s="813"/>
      <c r="T175" s="17"/>
      <c r="AX175" s="17"/>
      <c r="BB175" s="17"/>
      <c r="BE175" s="17"/>
      <c r="BF175" s="17"/>
      <c r="BG175" s="17"/>
      <c r="BH175" s="17"/>
      <c r="BI175" s="17"/>
      <c r="BJ175" s="17"/>
      <c r="BK175" s="17"/>
      <c r="BL175" s="92"/>
      <c r="BM175" s="92"/>
      <c r="BN175" s="92"/>
      <c r="BO175" s="92"/>
      <c r="BP175" s="92"/>
      <c r="BQ175" s="818"/>
      <c r="BR175" s="54"/>
      <c r="BS175" s="54"/>
      <c r="BT175" s="818"/>
      <c r="BU175" s="818"/>
      <c r="BV175" s="818"/>
      <c r="BW175" s="92"/>
      <c r="BX175" s="92"/>
      <c r="BY175" s="17"/>
      <c r="BZ175" s="17"/>
      <c r="CA175" s="17"/>
      <c r="CB175" s="17"/>
      <c r="CC175" s="17"/>
      <c r="CD175" s="17"/>
    </row>
    <row r="176">
      <c r="A176" s="92"/>
      <c r="B176" s="820"/>
      <c r="O176" s="17"/>
      <c r="P176" s="17"/>
      <c r="Q176" s="17"/>
      <c r="R176" s="17"/>
      <c r="S176" s="813"/>
      <c r="T176" s="17"/>
      <c r="AX176" s="17"/>
      <c r="BB176" s="17"/>
      <c r="BE176" s="17"/>
      <c r="BF176" s="17"/>
      <c r="BG176" s="17"/>
      <c r="BH176" s="17"/>
      <c r="BI176" s="17"/>
      <c r="BJ176" s="17"/>
      <c r="BK176" s="17"/>
      <c r="BL176" s="92"/>
      <c r="BM176" s="92"/>
      <c r="BN176" s="92"/>
      <c r="BO176" s="92"/>
      <c r="BP176" s="92"/>
      <c r="BQ176" s="818"/>
      <c r="BR176" s="54"/>
      <c r="BS176" s="54"/>
      <c r="BT176" s="818"/>
      <c r="BU176" s="818"/>
      <c r="BV176" s="818"/>
      <c r="BW176" s="92"/>
      <c r="BX176" s="92"/>
      <c r="BY176" s="17"/>
      <c r="BZ176" s="17"/>
      <c r="CA176" s="17"/>
      <c r="CB176" s="17"/>
      <c r="CC176" s="17"/>
      <c r="CD176" s="17"/>
    </row>
    <row r="177">
      <c r="A177" s="92"/>
      <c r="B177" s="820"/>
      <c r="O177" s="17"/>
      <c r="P177" s="17"/>
      <c r="Q177" s="17"/>
      <c r="R177" s="17"/>
      <c r="S177" s="813"/>
      <c r="T177" s="17"/>
      <c r="AX177" s="17"/>
      <c r="BB177" s="17"/>
      <c r="BE177" s="17"/>
      <c r="BF177" s="17"/>
      <c r="BG177" s="17"/>
      <c r="BH177" s="17"/>
      <c r="BI177" s="17"/>
      <c r="BJ177" s="17"/>
      <c r="BK177" s="17"/>
      <c r="BL177" s="92"/>
      <c r="BM177" s="92"/>
      <c r="BN177" s="92"/>
      <c r="BO177" s="92"/>
      <c r="BP177" s="92"/>
      <c r="BQ177" s="818"/>
      <c r="BR177" s="54"/>
      <c r="BS177" s="54"/>
      <c r="BT177" s="818"/>
      <c r="BU177" s="818"/>
      <c r="BV177" s="818"/>
      <c r="BW177" s="92"/>
      <c r="BX177" s="92"/>
      <c r="BY177" s="17"/>
      <c r="BZ177" s="17"/>
      <c r="CA177" s="17"/>
      <c r="CB177" s="17"/>
      <c r="CC177" s="17"/>
      <c r="CD177" s="17"/>
    </row>
    <row r="178">
      <c r="A178" s="92"/>
      <c r="B178" s="820"/>
      <c r="O178" s="17"/>
      <c r="P178" s="17"/>
      <c r="Q178" s="17"/>
      <c r="R178" s="17"/>
      <c r="S178" s="813"/>
      <c r="T178" s="17"/>
      <c r="AX178" s="17"/>
      <c r="BB178" s="17"/>
      <c r="BE178" s="17"/>
      <c r="BF178" s="17"/>
      <c r="BG178" s="17"/>
      <c r="BH178" s="17"/>
      <c r="BI178" s="17"/>
      <c r="BJ178" s="17"/>
      <c r="BK178" s="17"/>
      <c r="BL178" s="92"/>
      <c r="BM178" s="92"/>
      <c r="BN178" s="92"/>
      <c r="BO178" s="92"/>
      <c r="BP178" s="92"/>
      <c r="BQ178" s="818"/>
      <c r="BR178" s="54"/>
      <c r="BS178" s="54"/>
      <c r="BT178" s="818"/>
      <c r="BU178" s="818"/>
      <c r="BV178" s="818"/>
      <c r="BW178" s="92"/>
      <c r="BX178" s="92"/>
      <c r="BY178" s="17"/>
      <c r="BZ178" s="17"/>
      <c r="CA178" s="17"/>
      <c r="CB178" s="17"/>
      <c r="CC178" s="17"/>
      <c r="CD178" s="17"/>
    </row>
    <row r="179">
      <c r="A179" s="92"/>
      <c r="B179" s="820"/>
      <c r="O179" s="17"/>
      <c r="P179" s="17"/>
      <c r="Q179" s="17"/>
      <c r="R179" s="17"/>
      <c r="S179" s="813"/>
      <c r="T179" s="17"/>
      <c r="AX179" s="17"/>
      <c r="BB179" s="17"/>
      <c r="BE179" s="17"/>
      <c r="BF179" s="17"/>
      <c r="BG179" s="17"/>
      <c r="BH179" s="17"/>
      <c r="BI179" s="17"/>
      <c r="BJ179" s="17"/>
      <c r="BK179" s="17"/>
      <c r="BL179" s="92"/>
      <c r="BM179" s="92"/>
      <c r="BN179" s="92"/>
      <c r="BO179" s="92"/>
      <c r="BP179" s="92"/>
      <c r="BQ179" s="818"/>
      <c r="BR179" s="54"/>
      <c r="BS179" s="54"/>
      <c r="BT179" s="818"/>
      <c r="BU179" s="818"/>
      <c r="BV179" s="818"/>
      <c r="BW179" s="92"/>
      <c r="BX179" s="92"/>
      <c r="BY179" s="17"/>
      <c r="BZ179" s="17"/>
      <c r="CA179" s="17"/>
      <c r="CB179" s="17"/>
      <c r="CC179" s="17"/>
      <c r="CD179" s="17"/>
    </row>
    <row r="180">
      <c r="A180" s="92"/>
      <c r="B180" s="820"/>
      <c r="O180" s="17"/>
      <c r="P180" s="17"/>
      <c r="Q180" s="17"/>
      <c r="R180" s="17"/>
      <c r="S180" s="813"/>
      <c r="T180" s="17"/>
      <c r="AX180" s="17"/>
      <c r="BB180" s="17"/>
      <c r="BE180" s="17"/>
      <c r="BF180" s="17"/>
      <c r="BG180" s="17"/>
      <c r="BH180" s="17"/>
      <c r="BI180" s="17"/>
      <c r="BJ180" s="17"/>
      <c r="BK180" s="17"/>
      <c r="BL180" s="92"/>
      <c r="BM180" s="92"/>
      <c r="BN180" s="92"/>
      <c r="BO180" s="92"/>
      <c r="BP180" s="92"/>
      <c r="BQ180" s="818"/>
      <c r="BR180" s="54"/>
      <c r="BS180" s="54"/>
      <c r="BT180" s="818"/>
      <c r="BU180" s="818"/>
      <c r="BV180" s="818"/>
      <c r="BW180" s="92"/>
      <c r="BX180" s="92"/>
      <c r="BY180" s="17"/>
      <c r="BZ180" s="17"/>
      <c r="CA180" s="17"/>
      <c r="CB180" s="17"/>
      <c r="CC180" s="17"/>
      <c r="CD180" s="17"/>
    </row>
    <row r="181">
      <c r="A181" s="92"/>
      <c r="B181" s="820"/>
      <c r="O181" s="17"/>
      <c r="P181" s="17"/>
      <c r="Q181" s="17"/>
      <c r="R181" s="17"/>
      <c r="S181" s="813"/>
      <c r="T181" s="17"/>
      <c r="AX181" s="17"/>
      <c r="BB181" s="17"/>
      <c r="BE181" s="17"/>
      <c r="BF181" s="17"/>
      <c r="BG181" s="17"/>
      <c r="BH181" s="17"/>
      <c r="BI181" s="17"/>
      <c r="BJ181" s="17"/>
      <c r="BK181" s="17"/>
      <c r="BL181" s="92"/>
      <c r="BM181" s="92"/>
      <c r="BN181" s="92"/>
      <c r="BO181" s="92"/>
      <c r="BP181" s="92"/>
      <c r="BQ181" s="818"/>
      <c r="BR181" s="54"/>
      <c r="BS181" s="54"/>
      <c r="BT181" s="818"/>
      <c r="BU181" s="818"/>
      <c r="BV181" s="818"/>
      <c r="BW181" s="92"/>
      <c r="BX181" s="92"/>
      <c r="BY181" s="17"/>
      <c r="BZ181" s="17"/>
      <c r="CA181" s="17"/>
      <c r="CB181" s="17"/>
      <c r="CC181" s="17"/>
      <c r="CD181" s="17"/>
    </row>
    <row r="182">
      <c r="A182" s="92"/>
      <c r="B182" s="820"/>
      <c r="O182" s="17"/>
      <c r="P182" s="17"/>
      <c r="Q182" s="17"/>
      <c r="R182" s="17"/>
      <c r="S182" s="813"/>
      <c r="T182" s="17"/>
      <c r="AX182" s="17"/>
      <c r="BB182" s="17"/>
      <c r="BE182" s="17"/>
      <c r="BF182" s="17"/>
      <c r="BG182" s="17"/>
      <c r="BH182" s="17"/>
      <c r="BI182" s="17"/>
      <c r="BJ182" s="17"/>
      <c r="BK182" s="17"/>
      <c r="BL182" s="92"/>
      <c r="BM182" s="92"/>
      <c r="BN182" s="92"/>
      <c r="BO182" s="92"/>
      <c r="BP182" s="92"/>
      <c r="BQ182" s="818"/>
      <c r="BR182" s="54"/>
      <c r="BS182" s="54"/>
      <c r="BT182" s="818"/>
      <c r="BU182" s="818"/>
      <c r="BV182" s="818"/>
      <c r="BW182" s="92"/>
      <c r="BX182" s="92"/>
      <c r="BY182" s="17"/>
      <c r="BZ182" s="17"/>
      <c r="CA182" s="17"/>
      <c r="CB182" s="17"/>
      <c r="CC182" s="17"/>
      <c r="CD182" s="17"/>
    </row>
    <row r="183">
      <c r="A183" s="92"/>
      <c r="B183" s="820"/>
      <c r="O183" s="17"/>
      <c r="P183" s="17"/>
      <c r="Q183" s="17"/>
      <c r="R183" s="17"/>
      <c r="S183" s="813"/>
      <c r="T183" s="17"/>
      <c r="AX183" s="17"/>
      <c r="BB183" s="17"/>
      <c r="BE183" s="17"/>
      <c r="BF183" s="17"/>
      <c r="BG183" s="17"/>
      <c r="BH183" s="17"/>
      <c r="BI183" s="17"/>
      <c r="BJ183" s="17"/>
      <c r="BK183" s="17"/>
      <c r="BL183" s="92"/>
      <c r="BM183" s="92"/>
      <c r="BN183" s="92"/>
      <c r="BO183" s="92"/>
      <c r="BP183" s="92"/>
      <c r="BQ183" s="818"/>
      <c r="BR183" s="54"/>
      <c r="BS183" s="54"/>
      <c r="BT183" s="818"/>
      <c r="BU183" s="818"/>
      <c r="BV183" s="818"/>
      <c r="BW183" s="92"/>
      <c r="BX183" s="92"/>
      <c r="BY183" s="17"/>
      <c r="BZ183" s="17"/>
      <c r="CA183" s="17"/>
      <c r="CB183" s="17"/>
      <c r="CC183" s="17"/>
      <c r="CD183" s="17"/>
    </row>
    <row r="184">
      <c r="A184" s="92"/>
      <c r="B184" s="820"/>
      <c r="O184" s="17"/>
      <c r="P184" s="17"/>
      <c r="Q184" s="17"/>
      <c r="R184" s="17"/>
      <c r="S184" s="813"/>
      <c r="T184" s="17"/>
      <c r="AX184" s="17"/>
      <c r="BB184" s="17"/>
      <c r="BE184" s="17"/>
      <c r="BF184" s="17"/>
      <c r="BG184" s="17"/>
      <c r="BH184" s="17"/>
      <c r="BI184" s="17"/>
      <c r="BJ184" s="17"/>
      <c r="BK184" s="17"/>
      <c r="BL184" s="92"/>
      <c r="BM184" s="92"/>
      <c r="BN184" s="92"/>
      <c r="BO184" s="92"/>
      <c r="BP184" s="92"/>
      <c r="BQ184" s="818"/>
      <c r="BR184" s="54"/>
      <c r="BS184" s="54"/>
      <c r="BT184" s="818"/>
      <c r="BU184" s="818"/>
      <c r="BV184" s="818"/>
      <c r="BW184" s="92"/>
      <c r="BX184" s="92"/>
      <c r="BY184" s="17"/>
      <c r="BZ184" s="17"/>
      <c r="CA184" s="17"/>
      <c r="CB184" s="17"/>
      <c r="CC184" s="17"/>
      <c r="CD184" s="17"/>
    </row>
    <row r="185">
      <c r="A185" s="92"/>
      <c r="B185" s="820"/>
      <c r="O185" s="17"/>
      <c r="P185" s="17"/>
      <c r="Q185" s="17"/>
      <c r="R185" s="17"/>
      <c r="S185" s="813"/>
      <c r="T185" s="17"/>
      <c r="AX185" s="17"/>
      <c r="BB185" s="17"/>
      <c r="BE185" s="17"/>
      <c r="BF185" s="17"/>
      <c r="BG185" s="17"/>
      <c r="BH185" s="17"/>
      <c r="BI185" s="17"/>
      <c r="BJ185" s="17"/>
      <c r="BK185" s="17"/>
      <c r="BL185" s="92"/>
      <c r="BM185" s="92"/>
      <c r="BN185" s="92"/>
      <c r="BO185" s="92"/>
      <c r="BP185" s="92"/>
      <c r="BQ185" s="818"/>
      <c r="BR185" s="54"/>
      <c r="BS185" s="54"/>
      <c r="BT185" s="818"/>
      <c r="BU185" s="818"/>
      <c r="BV185" s="818"/>
      <c r="BW185" s="92"/>
      <c r="BX185" s="92"/>
      <c r="BY185" s="17"/>
      <c r="BZ185" s="17"/>
      <c r="CA185" s="17"/>
      <c r="CB185" s="17"/>
      <c r="CC185" s="17"/>
      <c r="CD185" s="17"/>
    </row>
    <row r="186">
      <c r="A186" s="92"/>
      <c r="B186" s="820"/>
      <c r="O186" s="17"/>
      <c r="P186" s="17"/>
      <c r="Q186" s="17"/>
      <c r="R186" s="17"/>
      <c r="S186" s="813"/>
      <c r="T186" s="17"/>
      <c r="AX186" s="17"/>
      <c r="BB186" s="17"/>
      <c r="BE186" s="17"/>
      <c r="BF186" s="17"/>
      <c r="BG186" s="17"/>
      <c r="BH186" s="17"/>
      <c r="BI186" s="17"/>
      <c r="BJ186" s="17"/>
      <c r="BK186" s="17"/>
      <c r="BL186" s="92"/>
      <c r="BM186" s="92"/>
      <c r="BN186" s="92"/>
      <c r="BO186" s="92"/>
      <c r="BP186" s="92"/>
      <c r="BQ186" s="818"/>
      <c r="BR186" s="54"/>
      <c r="BS186" s="54"/>
      <c r="BT186" s="818"/>
      <c r="BU186" s="818"/>
      <c r="BV186" s="818"/>
      <c r="BW186" s="92"/>
      <c r="BX186" s="92"/>
      <c r="BY186" s="17"/>
      <c r="BZ186" s="17"/>
      <c r="CA186" s="17"/>
      <c r="CB186" s="17"/>
      <c r="CC186" s="17"/>
      <c r="CD186" s="17"/>
    </row>
    <row r="187">
      <c r="A187" s="92"/>
      <c r="B187" s="820"/>
      <c r="O187" s="17"/>
      <c r="P187" s="17"/>
      <c r="Q187" s="17"/>
      <c r="R187" s="17"/>
      <c r="S187" s="813"/>
      <c r="T187" s="17"/>
      <c r="AX187" s="17"/>
      <c r="BB187" s="17"/>
      <c r="BE187" s="17"/>
      <c r="BF187" s="17"/>
      <c r="BG187" s="17"/>
      <c r="BH187" s="17"/>
      <c r="BI187" s="17"/>
      <c r="BJ187" s="17"/>
      <c r="BK187" s="17"/>
      <c r="BL187" s="92"/>
      <c r="BM187" s="92"/>
      <c r="BN187" s="92"/>
      <c r="BO187" s="92"/>
      <c r="BP187" s="92"/>
      <c r="BQ187" s="818"/>
      <c r="BR187" s="54"/>
      <c r="BS187" s="54"/>
      <c r="BT187" s="818"/>
      <c r="BU187" s="818"/>
      <c r="BV187" s="818"/>
      <c r="BW187" s="92"/>
      <c r="BX187" s="92"/>
      <c r="BY187" s="17"/>
      <c r="BZ187" s="17"/>
      <c r="CA187" s="17"/>
      <c r="CB187" s="17"/>
      <c r="CC187" s="17"/>
      <c r="CD187" s="17"/>
    </row>
    <row r="188">
      <c r="A188" s="92"/>
      <c r="B188" s="820"/>
      <c r="O188" s="17"/>
      <c r="P188" s="17"/>
      <c r="Q188" s="17"/>
      <c r="R188" s="17"/>
      <c r="S188" s="813"/>
      <c r="T188" s="17"/>
      <c r="AX188" s="17"/>
      <c r="BB188" s="17"/>
      <c r="BE188" s="17"/>
      <c r="BF188" s="17"/>
      <c r="BG188" s="17"/>
      <c r="BH188" s="17"/>
      <c r="BI188" s="17"/>
      <c r="BJ188" s="17"/>
      <c r="BK188" s="17"/>
      <c r="BL188" s="92"/>
      <c r="BM188" s="92"/>
      <c r="BN188" s="92"/>
      <c r="BO188" s="92"/>
      <c r="BP188" s="92"/>
      <c r="BQ188" s="818"/>
      <c r="BR188" s="54"/>
      <c r="BS188" s="54"/>
      <c r="BT188" s="818"/>
      <c r="BU188" s="818"/>
      <c r="BV188" s="818"/>
      <c r="BW188" s="92"/>
      <c r="BX188" s="92"/>
      <c r="BY188" s="17"/>
      <c r="BZ188" s="17"/>
      <c r="CA188" s="17"/>
      <c r="CB188" s="17"/>
      <c r="CC188" s="17"/>
      <c r="CD188" s="17"/>
    </row>
    <row r="189">
      <c r="A189" s="92"/>
      <c r="B189" s="820"/>
      <c r="O189" s="17"/>
      <c r="P189" s="17"/>
      <c r="Q189" s="17"/>
      <c r="R189" s="17"/>
      <c r="S189" s="813"/>
      <c r="T189" s="17"/>
      <c r="AX189" s="17"/>
      <c r="BB189" s="17"/>
      <c r="BE189" s="17"/>
      <c r="BF189" s="17"/>
      <c r="BG189" s="17"/>
      <c r="BH189" s="17"/>
      <c r="BI189" s="17"/>
      <c r="BJ189" s="17"/>
      <c r="BK189" s="17"/>
      <c r="BL189" s="92"/>
      <c r="BM189" s="92"/>
      <c r="BN189" s="92"/>
      <c r="BO189" s="92"/>
      <c r="BP189" s="92"/>
      <c r="BQ189" s="818"/>
      <c r="BR189" s="54"/>
      <c r="BS189" s="54"/>
      <c r="BT189" s="818"/>
      <c r="BU189" s="818"/>
      <c r="BV189" s="818"/>
      <c r="BW189" s="92"/>
      <c r="BX189" s="92"/>
      <c r="BY189" s="17"/>
      <c r="BZ189" s="17"/>
      <c r="CA189" s="17"/>
      <c r="CB189" s="17"/>
      <c r="CC189" s="17"/>
      <c r="CD189" s="17"/>
    </row>
    <row r="190">
      <c r="A190" s="92"/>
      <c r="B190" s="820"/>
      <c r="O190" s="17"/>
      <c r="P190" s="17"/>
      <c r="Q190" s="17"/>
      <c r="R190" s="17"/>
      <c r="S190" s="813"/>
      <c r="T190" s="17"/>
      <c r="AX190" s="17"/>
      <c r="BB190" s="17"/>
      <c r="BE190" s="17"/>
      <c r="BF190" s="17"/>
      <c r="BG190" s="17"/>
      <c r="BH190" s="17"/>
      <c r="BI190" s="17"/>
      <c r="BJ190" s="17"/>
      <c r="BK190" s="17"/>
      <c r="BL190" s="92"/>
      <c r="BM190" s="92"/>
      <c r="BN190" s="92"/>
      <c r="BO190" s="92"/>
      <c r="BP190" s="92"/>
      <c r="BQ190" s="818"/>
      <c r="BR190" s="54"/>
      <c r="BS190" s="54"/>
      <c r="BT190" s="818"/>
      <c r="BU190" s="818"/>
      <c r="BV190" s="818"/>
      <c r="BW190" s="92"/>
      <c r="BX190" s="92"/>
      <c r="BY190" s="17"/>
      <c r="BZ190" s="17"/>
      <c r="CA190" s="17"/>
      <c r="CB190" s="17"/>
      <c r="CC190" s="17"/>
      <c r="CD190" s="17"/>
    </row>
    <row r="191">
      <c r="A191" s="92"/>
      <c r="B191" s="820"/>
      <c r="O191" s="17"/>
      <c r="P191" s="17"/>
      <c r="Q191" s="17"/>
      <c r="R191" s="17"/>
      <c r="S191" s="813"/>
      <c r="T191" s="17"/>
      <c r="AX191" s="17"/>
      <c r="BB191" s="17"/>
      <c r="BE191" s="17"/>
      <c r="BF191" s="17"/>
      <c r="BG191" s="17"/>
      <c r="BH191" s="17"/>
      <c r="BI191" s="17"/>
      <c r="BJ191" s="17"/>
      <c r="BK191" s="17"/>
      <c r="BL191" s="92"/>
      <c r="BM191" s="92"/>
      <c r="BN191" s="92"/>
      <c r="BO191" s="92"/>
      <c r="BP191" s="92"/>
      <c r="BQ191" s="818"/>
      <c r="BR191" s="54"/>
      <c r="BS191" s="54"/>
      <c r="BT191" s="818"/>
      <c r="BU191" s="818"/>
      <c r="BV191" s="818"/>
      <c r="BW191" s="92"/>
      <c r="BX191" s="92"/>
      <c r="BY191" s="17"/>
      <c r="BZ191" s="17"/>
      <c r="CA191" s="17"/>
      <c r="CB191" s="17"/>
      <c r="CC191" s="17"/>
      <c r="CD191" s="17"/>
    </row>
    <row r="192">
      <c r="A192" s="92"/>
      <c r="B192" s="820"/>
      <c r="O192" s="17"/>
      <c r="P192" s="17"/>
      <c r="Q192" s="17"/>
      <c r="R192" s="17"/>
      <c r="S192" s="813"/>
      <c r="T192" s="17"/>
      <c r="AX192" s="17"/>
      <c r="BB192" s="17"/>
      <c r="BE192" s="17"/>
      <c r="BF192" s="17"/>
      <c r="BG192" s="17"/>
      <c r="BH192" s="17"/>
      <c r="BI192" s="17"/>
      <c r="BJ192" s="17"/>
      <c r="BK192" s="17"/>
      <c r="BL192" s="92"/>
      <c r="BM192" s="92"/>
      <c r="BN192" s="92"/>
      <c r="BO192" s="92"/>
      <c r="BP192" s="92"/>
      <c r="BQ192" s="818"/>
      <c r="BR192" s="54"/>
      <c r="BS192" s="54"/>
      <c r="BT192" s="818"/>
      <c r="BU192" s="818"/>
      <c r="BV192" s="818"/>
      <c r="BW192" s="92"/>
      <c r="BX192" s="92"/>
      <c r="BY192" s="17"/>
      <c r="BZ192" s="17"/>
      <c r="CA192" s="17"/>
      <c r="CB192" s="17"/>
      <c r="CC192" s="17"/>
      <c r="CD192" s="17"/>
    </row>
    <row r="193">
      <c r="A193" s="92"/>
      <c r="B193" s="820"/>
      <c r="O193" s="17"/>
      <c r="P193" s="17"/>
      <c r="Q193" s="17"/>
      <c r="R193" s="17"/>
      <c r="S193" s="813"/>
      <c r="T193" s="17"/>
      <c r="AX193" s="17"/>
      <c r="BB193" s="17"/>
      <c r="BE193" s="17"/>
      <c r="BF193" s="17"/>
      <c r="BG193" s="17"/>
      <c r="BH193" s="17"/>
      <c r="BI193" s="17"/>
      <c r="BJ193" s="17"/>
      <c r="BK193" s="17"/>
      <c r="BL193" s="92"/>
      <c r="BM193" s="92"/>
      <c r="BN193" s="92"/>
      <c r="BO193" s="92"/>
      <c r="BP193" s="92"/>
      <c r="BQ193" s="818"/>
      <c r="BR193" s="54"/>
      <c r="BS193" s="54"/>
      <c r="BT193" s="818"/>
      <c r="BU193" s="818"/>
      <c r="BV193" s="818"/>
      <c r="BW193" s="92"/>
      <c r="BX193" s="92"/>
      <c r="BY193" s="17"/>
      <c r="BZ193" s="17"/>
      <c r="CA193" s="17"/>
      <c r="CB193" s="17"/>
      <c r="CC193" s="17"/>
      <c r="CD193" s="17"/>
    </row>
    <row r="194">
      <c r="A194" s="92"/>
      <c r="B194" s="820"/>
      <c r="O194" s="17"/>
      <c r="P194" s="17"/>
      <c r="Q194" s="17"/>
      <c r="R194" s="17"/>
      <c r="S194" s="813"/>
      <c r="T194" s="17"/>
      <c r="AX194" s="17"/>
      <c r="BB194" s="17"/>
      <c r="BE194" s="17"/>
      <c r="BF194" s="17"/>
      <c r="BG194" s="17"/>
      <c r="BH194" s="17"/>
      <c r="BI194" s="17"/>
      <c r="BJ194" s="17"/>
      <c r="BK194" s="17"/>
      <c r="BL194" s="92"/>
      <c r="BM194" s="92"/>
      <c r="BN194" s="92"/>
      <c r="BO194" s="92"/>
      <c r="BP194" s="92"/>
      <c r="BQ194" s="818"/>
      <c r="BR194" s="54"/>
      <c r="BS194" s="54"/>
      <c r="BT194" s="818"/>
      <c r="BU194" s="818"/>
      <c r="BV194" s="818"/>
      <c r="BW194" s="92"/>
      <c r="BX194" s="92"/>
      <c r="BY194" s="17"/>
      <c r="BZ194" s="17"/>
      <c r="CA194" s="17"/>
      <c r="CB194" s="17"/>
      <c r="CC194" s="17"/>
      <c r="CD194" s="17"/>
    </row>
    <row r="195">
      <c r="A195" s="92"/>
      <c r="B195" s="820"/>
      <c r="O195" s="17"/>
      <c r="P195" s="17"/>
      <c r="Q195" s="17"/>
      <c r="R195" s="17"/>
      <c r="S195" s="813"/>
      <c r="T195" s="17"/>
      <c r="AX195" s="17"/>
      <c r="BB195" s="17"/>
      <c r="BE195" s="17"/>
      <c r="BF195" s="17"/>
      <c r="BG195" s="17"/>
      <c r="BH195" s="17"/>
      <c r="BI195" s="17"/>
      <c r="BJ195" s="17"/>
      <c r="BK195" s="17"/>
      <c r="BL195" s="92"/>
      <c r="BM195" s="92"/>
      <c r="BN195" s="92"/>
      <c r="BO195" s="92"/>
      <c r="BP195" s="92"/>
      <c r="BQ195" s="818"/>
      <c r="BR195" s="54"/>
      <c r="BS195" s="54"/>
      <c r="BT195" s="818"/>
      <c r="BU195" s="818"/>
      <c r="BV195" s="818"/>
      <c r="BW195" s="92"/>
      <c r="BX195" s="92"/>
      <c r="BY195" s="17"/>
      <c r="BZ195" s="17"/>
      <c r="CA195" s="17"/>
      <c r="CB195" s="17"/>
      <c r="CC195" s="17"/>
      <c r="CD195" s="17"/>
    </row>
    <row r="196">
      <c r="A196" s="92"/>
      <c r="B196" s="820"/>
      <c r="O196" s="17"/>
      <c r="P196" s="17"/>
      <c r="Q196" s="17"/>
      <c r="R196" s="17"/>
      <c r="S196" s="813"/>
      <c r="T196" s="17"/>
      <c r="AX196" s="17"/>
      <c r="BB196" s="17"/>
      <c r="BE196" s="17"/>
      <c r="BF196" s="17"/>
      <c r="BG196" s="17"/>
      <c r="BH196" s="17"/>
      <c r="BI196" s="17"/>
      <c r="BJ196" s="17"/>
      <c r="BK196" s="17"/>
      <c r="BL196" s="92"/>
      <c r="BM196" s="92"/>
      <c r="BN196" s="92"/>
      <c r="BO196" s="92"/>
      <c r="BP196" s="92"/>
      <c r="BQ196" s="818"/>
      <c r="BR196" s="54"/>
      <c r="BS196" s="54"/>
      <c r="BT196" s="818"/>
      <c r="BU196" s="818"/>
      <c r="BV196" s="818"/>
      <c r="BW196" s="92"/>
      <c r="BX196" s="92"/>
      <c r="BY196" s="17"/>
      <c r="BZ196" s="17"/>
      <c r="CA196" s="17"/>
      <c r="CB196" s="17"/>
      <c r="CC196" s="17"/>
      <c r="CD196" s="17"/>
    </row>
    <row r="197">
      <c r="A197" s="92"/>
      <c r="B197" s="820"/>
      <c r="O197" s="17"/>
      <c r="P197" s="17"/>
      <c r="Q197" s="17"/>
      <c r="R197" s="17"/>
      <c r="S197" s="813"/>
      <c r="T197" s="17"/>
      <c r="AX197" s="17"/>
      <c r="BB197" s="17"/>
      <c r="BE197" s="17"/>
      <c r="BF197" s="17"/>
      <c r="BG197" s="17"/>
      <c r="BH197" s="17"/>
      <c r="BI197" s="17"/>
      <c r="BJ197" s="17"/>
      <c r="BK197" s="17"/>
      <c r="BL197" s="92"/>
      <c r="BM197" s="92"/>
      <c r="BN197" s="92"/>
      <c r="BO197" s="92"/>
      <c r="BP197" s="92"/>
      <c r="BQ197" s="818"/>
      <c r="BR197" s="54"/>
      <c r="BS197" s="54"/>
      <c r="BT197" s="818"/>
      <c r="BU197" s="818"/>
      <c r="BV197" s="818"/>
      <c r="BW197" s="92"/>
      <c r="BX197" s="92"/>
      <c r="BY197" s="17"/>
      <c r="BZ197" s="17"/>
      <c r="CA197" s="17"/>
      <c r="CB197" s="17"/>
      <c r="CC197" s="17"/>
      <c r="CD197" s="17"/>
    </row>
    <row r="198">
      <c r="A198" s="92"/>
      <c r="B198" s="820"/>
      <c r="O198" s="17"/>
      <c r="P198" s="17"/>
      <c r="Q198" s="17"/>
      <c r="R198" s="17"/>
      <c r="S198" s="813"/>
      <c r="T198" s="17"/>
      <c r="AX198" s="17"/>
      <c r="BB198" s="17"/>
      <c r="BE198" s="17"/>
      <c r="BF198" s="17"/>
      <c r="BG198" s="17"/>
      <c r="BH198" s="17"/>
      <c r="BI198" s="17"/>
      <c r="BJ198" s="17"/>
      <c r="BK198" s="17"/>
      <c r="BL198" s="92"/>
      <c r="BM198" s="92"/>
      <c r="BN198" s="92"/>
      <c r="BO198" s="92"/>
      <c r="BP198" s="92"/>
      <c r="BQ198" s="818"/>
      <c r="BR198" s="54"/>
      <c r="BS198" s="54"/>
      <c r="BT198" s="818"/>
      <c r="BU198" s="818"/>
      <c r="BV198" s="818"/>
      <c r="BW198" s="92"/>
      <c r="BX198" s="92"/>
      <c r="BY198" s="17"/>
      <c r="BZ198" s="17"/>
      <c r="CA198" s="17"/>
      <c r="CB198" s="17"/>
      <c r="CC198" s="17"/>
      <c r="CD198" s="17"/>
    </row>
    <row r="199">
      <c r="A199" s="92"/>
      <c r="B199" s="820"/>
      <c r="O199" s="17"/>
      <c r="P199" s="17"/>
      <c r="Q199" s="17"/>
      <c r="R199" s="17"/>
      <c r="S199" s="813"/>
      <c r="T199" s="17"/>
      <c r="AX199" s="17"/>
      <c r="BB199" s="17"/>
      <c r="BE199" s="17"/>
      <c r="BF199" s="17"/>
      <c r="BG199" s="17"/>
      <c r="BH199" s="17"/>
      <c r="BI199" s="17"/>
      <c r="BJ199" s="17"/>
      <c r="BK199" s="17"/>
      <c r="BL199" s="92"/>
      <c r="BM199" s="92"/>
      <c r="BN199" s="92"/>
      <c r="BO199" s="92"/>
      <c r="BP199" s="92"/>
      <c r="BQ199" s="818"/>
      <c r="BR199" s="54"/>
      <c r="BS199" s="54"/>
      <c r="BT199" s="818"/>
      <c r="BU199" s="818"/>
      <c r="BV199" s="818"/>
      <c r="BW199" s="92"/>
      <c r="BX199" s="92"/>
      <c r="BY199" s="17"/>
      <c r="BZ199" s="17"/>
      <c r="CA199" s="17"/>
      <c r="CB199" s="17"/>
      <c r="CC199" s="17"/>
      <c r="CD199" s="17"/>
    </row>
    <row r="200">
      <c r="A200" s="92"/>
      <c r="B200" s="820"/>
      <c r="O200" s="17"/>
      <c r="P200" s="17"/>
      <c r="Q200" s="17"/>
      <c r="R200" s="17"/>
      <c r="S200" s="813"/>
      <c r="T200" s="17"/>
      <c r="AX200" s="17"/>
      <c r="BB200" s="17"/>
      <c r="BE200" s="17"/>
      <c r="BF200" s="17"/>
      <c r="BG200" s="17"/>
      <c r="BH200" s="17"/>
      <c r="BI200" s="17"/>
      <c r="BJ200" s="17"/>
      <c r="BK200" s="17"/>
      <c r="BL200" s="92"/>
      <c r="BM200" s="92"/>
      <c r="BN200" s="92"/>
      <c r="BO200" s="92"/>
      <c r="BP200" s="92"/>
      <c r="BQ200" s="818"/>
      <c r="BR200" s="54"/>
      <c r="BS200" s="54"/>
      <c r="BT200" s="818"/>
      <c r="BU200" s="818"/>
      <c r="BV200" s="818"/>
      <c r="BW200" s="92"/>
      <c r="BX200" s="92"/>
      <c r="BY200" s="17"/>
      <c r="BZ200" s="17"/>
      <c r="CA200" s="17"/>
      <c r="CB200" s="17"/>
      <c r="CC200" s="17"/>
      <c r="CD200" s="17"/>
    </row>
    <row r="201">
      <c r="A201" s="92"/>
      <c r="B201" s="820"/>
      <c r="O201" s="17"/>
      <c r="P201" s="17"/>
      <c r="Q201" s="17"/>
      <c r="R201" s="17"/>
      <c r="S201" s="813"/>
      <c r="T201" s="17"/>
      <c r="AX201" s="17"/>
      <c r="BB201" s="17"/>
      <c r="BE201" s="17"/>
      <c r="BF201" s="17"/>
      <c r="BG201" s="17"/>
      <c r="BH201" s="17"/>
      <c r="BI201" s="17"/>
      <c r="BJ201" s="17"/>
      <c r="BK201" s="17"/>
      <c r="BL201" s="92"/>
      <c r="BM201" s="92"/>
      <c r="BN201" s="92"/>
      <c r="BO201" s="92"/>
      <c r="BP201" s="92"/>
      <c r="BQ201" s="818"/>
      <c r="BR201" s="54"/>
      <c r="BS201" s="54"/>
      <c r="BT201" s="818"/>
      <c r="BU201" s="818"/>
      <c r="BV201" s="818"/>
      <c r="BW201" s="92"/>
      <c r="BX201" s="92"/>
      <c r="BY201" s="17"/>
      <c r="BZ201" s="17"/>
      <c r="CA201" s="17"/>
      <c r="CB201" s="17"/>
      <c r="CC201" s="17"/>
      <c r="CD201" s="17"/>
    </row>
    <row r="202">
      <c r="A202" s="92"/>
      <c r="B202" s="820"/>
      <c r="O202" s="17"/>
      <c r="P202" s="17"/>
      <c r="Q202" s="17"/>
      <c r="R202" s="17"/>
      <c r="S202" s="813"/>
      <c r="T202" s="17"/>
      <c r="AX202" s="17"/>
      <c r="BB202" s="17"/>
      <c r="BE202" s="17"/>
      <c r="BF202" s="17"/>
      <c r="BG202" s="17"/>
      <c r="BH202" s="17"/>
      <c r="BI202" s="17"/>
      <c r="BJ202" s="17"/>
      <c r="BK202" s="17"/>
      <c r="BL202" s="92"/>
      <c r="BM202" s="92"/>
      <c r="BN202" s="92"/>
      <c r="BO202" s="92"/>
      <c r="BP202" s="92"/>
      <c r="BQ202" s="818"/>
      <c r="BR202" s="54"/>
      <c r="BS202" s="54"/>
      <c r="BT202" s="818"/>
      <c r="BU202" s="818"/>
      <c r="BV202" s="818"/>
      <c r="BW202" s="92"/>
      <c r="BX202" s="92"/>
      <c r="BY202" s="17"/>
      <c r="BZ202" s="17"/>
      <c r="CA202" s="17"/>
      <c r="CB202" s="17"/>
      <c r="CC202" s="17"/>
      <c r="CD202" s="17"/>
    </row>
    <row r="203">
      <c r="A203" s="92"/>
      <c r="B203" s="820"/>
      <c r="O203" s="17"/>
      <c r="P203" s="17"/>
      <c r="Q203" s="17"/>
      <c r="R203" s="17"/>
      <c r="S203" s="813"/>
      <c r="T203" s="17"/>
      <c r="AX203" s="17"/>
      <c r="BB203" s="17"/>
      <c r="BE203" s="17"/>
      <c r="BF203" s="17"/>
      <c r="BG203" s="17"/>
      <c r="BH203" s="17"/>
      <c r="BI203" s="17"/>
      <c r="BJ203" s="17"/>
      <c r="BK203" s="17"/>
      <c r="BL203" s="92"/>
      <c r="BM203" s="92"/>
      <c r="BN203" s="92"/>
      <c r="BO203" s="92"/>
      <c r="BP203" s="92"/>
      <c r="BQ203" s="818"/>
      <c r="BR203" s="54"/>
      <c r="BS203" s="54"/>
      <c r="BT203" s="818"/>
      <c r="BU203" s="818"/>
      <c r="BV203" s="818"/>
      <c r="BW203" s="92"/>
      <c r="BX203" s="92"/>
      <c r="BY203" s="17"/>
      <c r="BZ203" s="17"/>
      <c r="CA203" s="17"/>
      <c r="CB203" s="17"/>
      <c r="CC203" s="17"/>
      <c r="CD203" s="17"/>
    </row>
    <row r="204">
      <c r="A204" s="92"/>
      <c r="B204" s="820"/>
      <c r="O204" s="17"/>
      <c r="P204" s="17"/>
      <c r="Q204" s="17"/>
      <c r="R204" s="17"/>
      <c r="S204" s="813"/>
      <c r="T204" s="17"/>
      <c r="AX204" s="17"/>
      <c r="BB204" s="17"/>
      <c r="BE204" s="17"/>
      <c r="BF204" s="17"/>
      <c r="BG204" s="17"/>
      <c r="BH204" s="17"/>
      <c r="BI204" s="17"/>
      <c r="BJ204" s="17"/>
      <c r="BK204" s="17"/>
      <c r="BL204" s="92"/>
      <c r="BM204" s="92"/>
      <c r="BN204" s="92"/>
      <c r="BO204" s="92"/>
      <c r="BP204" s="92"/>
      <c r="BQ204" s="818"/>
      <c r="BR204" s="54"/>
      <c r="BS204" s="54"/>
      <c r="BT204" s="818"/>
      <c r="BU204" s="818"/>
      <c r="BV204" s="818"/>
      <c r="BW204" s="92"/>
      <c r="BX204" s="92"/>
      <c r="BY204" s="17"/>
      <c r="BZ204" s="17"/>
      <c r="CA204" s="17"/>
      <c r="CB204" s="17"/>
      <c r="CC204" s="17"/>
      <c r="CD204" s="17"/>
    </row>
    <row r="205">
      <c r="A205" s="92"/>
      <c r="B205" s="820"/>
      <c r="O205" s="17"/>
      <c r="P205" s="17"/>
      <c r="Q205" s="17"/>
      <c r="R205" s="17"/>
      <c r="S205" s="813"/>
      <c r="T205" s="17"/>
      <c r="AX205" s="17"/>
      <c r="BB205" s="17"/>
      <c r="BE205" s="17"/>
      <c r="BF205" s="17"/>
      <c r="BG205" s="17"/>
      <c r="BH205" s="17"/>
      <c r="BI205" s="17"/>
      <c r="BJ205" s="17"/>
      <c r="BK205" s="17"/>
      <c r="BL205" s="92"/>
      <c r="BM205" s="92"/>
      <c r="BN205" s="92"/>
      <c r="BO205" s="92"/>
      <c r="BP205" s="92"/>
      <c r="BQ205" s="818"/>
      <c r="BR205" s="54"/>
      <c r="BS205" s="54"/>
      <c r="BT205" s="818"/>
      <c r="BU205" s="818"/>
      <c r="BV205" s="818"/>
      <c r="BW205" s="92"/>
      <c r="BX205" s="92"/>
      <c r="BY205" s="17"/>
      <c r="BZ205" s="17"/>
      <c r="CA205" s="17"/>
      <c r="CB205" s="17"/>
      <c r="CC205" s="17"/>
      <c r="CD205" s="17"/>
    </row>
    <row r="206">
      <c r="A206" s="92"/>
      <c r="B206" s="820"/>
      <c r="O206" s="17"/>
      <c r="P206" s="17"/>
      <c r="Q206" s="17"/>
      <c r="R206" s="17"/>
      <c r="S206" s="813"/>
      <c r="T206" s="17"/>
      <c r="AX206" s="17"/>
      <c r="BB206" s="17"/>
      <c r="BE206" s="17"/>
      <c r="BF206" s="17"/>
      <c r="BG206" s="17"/>
      <c r="BH206" s="17"/>
      <c r="BI206" s="17"/>
      <c r="BJ206" s="17"/>
      <c r="BK206" s="17"/>
      <c r="BL206" s="92"/>
      <c r="BM206" s="92"/>
      <c r="BN206" s="92"/>
      <c r="BO206" s="92"/>
      <c r="BP206" s="92"/>
      <c r="BQ206" s="818"/>
      <c r="BR206" s="54"/>
      <c r="BS206" s="54"/>
      <c r="BT206" s="818"/>
      <c r="BU206" s="818"/>
      <c r="BV206" s="818"/>
      <c r="BW206" s="92"/>
      <c r="BX206" s="92"/>
      <c r="BY206" s="17"/>
      <c r="BZ206" s="17"/>
      <c r="CA206" s="17"/>
      <c r="CB206" s="17"/>
      <c r="CC206" s="17"/>
      <c r="CD206" s="17"/>
    </row>
    <row r="207">
      <c r="A207" s="92"/>
      <c r="B207" s="820"/>
      <c r="O207" s="17"/>
      <c r="P207" s="17"/>
      <c r="Q207" s="17"/>
      <c r="R207" s="17"/>
      <c r="S207" s="813"/>
      <c r="T207" s="17"/>
      <c r="AX207" s="17"/>
      <c r="BB207" s="17"/>
      <c r="BE207" s="17"/>
      <c r="BF207" s="17"/>
      <c r="BG207" s="17"/>
      <c r="BH207" s="17"/>
      <c r="BI207" s="17"/>
      <c r="BJ207" s="17"/>
      <c r="BK207" s="17"/>
      <c r="BL207" s="92"/>
      <c r="BM207" s="92"/>
      <c r="BN207" s="92"/>
      <c r="BO207" s="92"/>
      <c r="BP207" s="92"/>
      <c r="BQ207" s="818"/>
      <c r="BR207" s="54"/>
      <c r="BS207" s="54"/>
      <c r="BT207" s="818"/>
      <c r="BU207" s="818"/>
      <c r="BV207" s="818"/>
      <c r="BW207" s="92"/>
      <c r="BX207" s="92"/>
      <c r="BY207" s="17"/>
      <c r="BZ207" s="17"/>
      <c r="CA207" s="17"/>
      <c r="CB207" s="17"/>
      <c r="CC207" s="17"/>
      <c r="CD207" s="17"/>
    </row>
    <row r="208">
      <c r="A208" s="92"/>
      <c r="B208" s="820"/>
      <c r="O208" s="17"/>
      <c r="P208" s="17"/>
      <c r="Q208" s="17"/>
      <c r="R208" s="17"/>
      <c r="S208" s="813"/>
      <c r="T208" s="17"/>
      <c r="AX208" s="17"/>
      <c r="BB208" s="17"/>
      <c r="BE208" s="17"/>
      <c r="BF208" s="17"/>
      <c r="BG208" s="17"/>
      <c r="BH208" s="17"/>
      <c r="BI208" s="17"/>
      <c r="BJ208" s="17"/>
      <c r="BK208" s="17"/>
      <c r="BL208" s="92"/>
      <c r="BM208" s="92"/>
      <c r="BN208" s="92"/>
      <c r="BO208" s="92"/>
      <c r="BP208" s="92"/>
      <c r="BQ208" s="818"/>
      <c r="BR208" s="54"/>
      <c r="BS208" s="54"/>
      <c r="BT208" s="818"/>
      <c r="BU208" s="818"/>
      <c r="BV208" s="818"/>
      <c r="BW208" s="92"/>
      <c r="BX208" s="92"/>
      <c r="BY208" s="17"/>
      <c r="BZ208" s="17"/>
      <c r="CA208" s="17"/>
      <c r="CB208" s="17"/>
      <c r="CC208" s="17"/>
      <c r="CD208" s="17"/>
    </row>
    <row r="209">
      <c r="A209" s="92"/>
      <c r="B209" s="820"/>
      <c r="O209" s="17"/>
      <c r="P209" s="17"/>
      <c r="Q209" s="17"/>
      <c r="R209" s="17"/>
      <c r="S209" s="813"/>
      <c r="T209" s="17"/>
      <c r="AX209" s="17"/>
      <c r="BB209" s="17"/>
      <c r="BE209" s="17"/>
      <c r="BF209" s="17"/>
      <c r="BG209" s="17"/>
      <c r="BH209" s="17"/>
      <c r="BI209" s="17"/>
      <c r="BJ209" s="17"/>
      <c r="BK209" s="17"/>
      <c r="BL209" s="92"/>
      <c r="BM209" s="92"/>
      <c r="BN209" s="92"/>
      <c r="BO209" s="92"/>
      <c r="BP209" s="92"/>
      <c r="BQ209" s="818"/>
      <c r="BR209" s="54"/>
      <c r="BS209" s="54"/>
      <c r="BT209" s="818"/>
      <c r="BU209" s="818"/>
      <c r="BV209" s="818"/>
      <c r="BW209" s="92"/>
      <c r="BX209" s="92"/>
      <c r="BY209" s="17"/>
      <c r="BZ209" s="17"/>
      <c r="CA209" s="17"/>
      <c r="CB209" s="17"/>
      <c r="CC209" s="17"/>
      <c r="CD209" s="17"/>
    </row>
    <row r="210">
      <c r="A210" s="92"/>
      <c r="B210" s="820"/>
      <c r="O210" s="17"/>
      <c r="P210" s="17"/>
      <c r="Q210" s="17"/>
      <c r="R210" s="17"/>
      <c r="S210" s="813"/>
      <c r="T210" s="17"/>
      <c r="AX210" s="17"/>
      <c r="BB210" s="17"/>
      <c r="BE210" s="17"/>
      <c r="BF210" s="17"/>
      <c r="BG210" s="17"/>
      <c r="BH210" s="17"/>
      <c r="BI210" s="17"/>
      <c r="BJ210" s="17"/>
      <c r="BK210" s="17"/>
      <c r="BL210" s="92"/>
      <c r="BM210" s="92"/>
      <c r="BN210" s="92"/>
      <c r="BO210" s="92"/>
      <c r="BP210" s="92"/>
      <c r="BQ210" s="818"/>
      <c r="BR210" s="54"/>
      <c r="BS210" s="54"/>
      <c r="BT210" s="818"/>
      <c r="BU210" s="818"/>
      <c r="BV210" s="818"/>
      <c r="BW210" s="92"/>
      <c r="BX210" s="92"/>
      <c r="BY210" s="17"/>
      <c r="BZ210" s="17"/>
      <c r="CA210" s="17"/>
      <c r="CB210" s="17"/>
      <c r="CC210" s="17"/>
      <c r="CD210" s="17"/>
    </row>
    <row r="211">
      <c r="A211" s="92"/>
      <c r="B211" s="820"/>
      <c r="O211" s="17"/>
      <c r="P211" s="17"/>
      <c r="Q211" s="17"/>
      <c r="R211" s="17"/>
      <c r="S211" s="813"/>
      <c r="T211" s="17"/>
      <c r="AX211" s="17"/>
      <c r="BB211" s="17"/>
      <c r="BE211" s="17"/>
      <c r="BF211" s="17"/>
      <c r="BG211" s="17"/>
      <c r="BH211" s="17"/>
      <c r="BI211" s="17"/>
      <c r="BJ211" s="17"/>
      <c r="BK211" s="17"/>
      <c r="BL211" s="92"/>
      <c r="BM211" s="92"/>
      <c r="BN211" s="92"/>
      <c r="BO211" s="92"/>
      <c r="BP211" s="92"/>
      <c r="BQ211" s="818"/>
      <c r="BR211" s="54"/>
      <c r="BS211" s="54"/>
      <c r="BT211" s="818"/>
      <c r="BU211" s="818"/>
      <c r="BV211" s="818"/>
      <c r="BW211" s="92"/>
      <c r="BX211" s="92"/>
      <c r="BY211" s="17"/>
      <c r="BZ211" s="17"/>
      <c r="CA211" s="17"/>
      <c r="CB211" s="17"/>
      <c r="CC211" s="17"/>
      <c r="CD211" s="17"/>
    </row>
    <row r="212">
      <c r="A212" s="92"/>
      <c r="B212" s="820"/>
      <c r="O212" s="17"/>
      <c r="P212" s="17"/>
      <c r="Q212" s="17"/>
      <c r="R212" s="17"/>
      <c r="S212" s="813"/>
      <c r="T212" s="17"/>
      <c r="AX212" s="17"/>
      <c r="BB212" s="17"/>
      <c r="BE212" s="17"/>
      <c r="BF212" s="17"/>
      <c r="BG212" s="17"/>
      <c r="BH212" s="17"/>
      <c r="BI212" s="17"/>
      <c r="BJ212" s="17"/>
      <c r="BK212" s="17"/>
      <c r="BL212" s="92"/>
      <c r="BM212" s="92"/>
      <c r="BN212" s="92"/>
      <c r="BO212" s="92"/>
      <c r="BP212" s="92"/>
      <c r="BQ212" s="818"/>
      <c r="BR212" s="54"/>
      <c r="BS212" s="54"/>
      <c r="BT212" s="818"/>
      <c r="BU212" s="818"/>
      <c r="BV212" s="818"/>
      <c r="BW212" s="92"/>
      <c r="BX212" s="92"/>
      <c r="BY212" s="17"/>
      <c r="BZ212" s="17"/>
      <c r="CA212" s="17"/>
      <c r="CB212" s="17"/>
      <c r="CC212" s="17"/>
      <c r="CD212" s="17"/>
    </row>
    <row r="213">
      <c r="A213" s="92"/>
      <c r="B213" s="820"/>
      <c r="O213" s="17"/>
      <c r="P213" s="17"/>
      <c r="Q213" s="17"/>
      <c r="R213" s="17"/>
      <c r="S213" s="813"/>
      <c r="T213" s="17"/>
      <c r="AX213" s="17"/>
      <c r="BB213" s="17"/>
      <c r="BE213" s="17"/>
      <c r="BF213" s="17"/>
      <c r="BG213" s="17"/>
      <c r="BH213" s="17"/>
      <c r="BI213" s="17"/>
      <c r="BJ213" s="17"/>
      <c r="BK213" s="17"/>
      <c r="BL213" s="92"/>
      <c r="BM213" s="92"/>
      <c r="BN213" s="92"/>
      <c r="BO213" s="92"/>
      <c r="BP213" s="92"/>
      <c r="BQ213" s="818"/>
      <c r="BR213" s="54"/>
      <c r="BS213" s="54"/>
      <c r="BT213" s="818"/>
      <c r="BU213" s="818"/>
      <c r="BV213" s="818"/>
      <c r="BW213" s="92"/>
      <c r="BX213" s="92"/>
      <c r="BY213" s="17"/>
      <c r="BZ213" s="17"/>
      <c r="CA213" s="17"/>
      <c r="CB213" s="17"/>
      <c r="CC213" s="17"/>
      <c r="CD213" s="17"/>
    </row>
    <row r="214">
      <c r="A214" s="92"/>
      <c r="B214" s="820"/>
      <c r="O214" s="17"/>
      <c r="P214" s="17"/>
      <c r="Q214" s="17"/>
      <c r="R214" s="17"/>
      <c r="S214" s="813"/>
      <c r="T214" s="17"/>
      <c r="AX214" s="17"/>
      <c r="BB214" s="17"/>
      <c r="BE214" s="17"/>
      <c r="BF214" s="17"/>
      <c r="BG214" s="17"/>
      <c r="BH214" s="17"/>
      <c r="BI214" s="17"/>
      <c r="BJ214" s="17"/>
      <c r="BK214" s="17"/>
      <c r="BL214" s="92"/>
      <c r="BM214" s="92"/>
      <c r="BN214" s="92"/>
      <c r="BO214" s="92"/>
      <c r="BP214" s="92"/>
      <c r="BQ214" s="818"/>
      <c r="BR214" s="54"/>
      <c r="BS214" s="54"/>
      <c r="BT214" s="818"/>
      <c r="BU214" s="818"/>
      <c r="BV214" s="818"/>
      <c r="BW214" s="92"/>
      <c r="BX214" s="92"/>
      <c r="BY214" s="17"/>
      <c r="BZ214" s="17"/>
      <c r="CA214" s="17"/>
      <c r="CB214" s="17"/>
      <c r="CC214" s="17"/>
      <c r="CD214" s="17"/>
    </row>
    <row r="215">
      <c r="A215" s="92"/>
      <c r="B215" s="820"/>
      <c r="O215" s="17"/>
      <c r="P215" s="17"/>
      <c r="Q215" s="17"/>
      <c r="R215" s="17"/>
      <c r="S215" s="813"/>
      <c r="T215" s="17"/>
      <c r="AX215" s="17"/>
      <c r="BB215" s="17"/>
      <c r="BE215" s="17"/>
      <c r="BF215" s="17"/>
      <c r="BG215" s="17"/>
      <c r="BH215" s="17"/>
      <c r="BI215" s="17"/>
      <c r="BJ215" s="17"/>
      <c r="BK215" s="17"/>
      <c r="BL215" s="92"/>
      <c r="BM215" s="92"/>
      <c r="BN215" s="92"/>
      <c r="BO215" s="92"/>
      <c r="BP215" s="92"/>
      <c r="BQ215" s="818"/>
      <c r="BR215" s="54"/>
      <c r="BS215" s="54"/>
      <c r="BT215" s="818"/>
      <c r="BU215" s="818"/>
      <c r="BV215" s="818"/>
      <c r="BW215" s="92"/>
      <c r="BX215" s="92"/>
      <c r="BY215" s="17"/>
      <c r="BZ215" s="17"/>
      <c r="CA215" s="17"/>
      <c r="CB215" s="17"/>
      <c r="CC215" s="17"/>
      <c r="CD215" s="17"/>
    </row>
    <row r="216">
      <c r="A216" s="92"/>
      <c r="B216" s="820"/>
      <c r="O216" s="17"/>
      <c r="P216" s="17"/>
      <c r="Q216" s="17"/>
      <c r="R216" s="17"/>
      <c r="S216" s="813"/>
      <c r="T216" s="17"/>
      <c r="AX216" s="17"/>
      <c r="BB216" s="17"/>
      <c r="BE216" s="17"/>
      <c r="BF216" s="17"/>
      <c r="BG216" s="17"/>
      <c r="BH216" s="17"/>
      <c r="BI216" s="17"/>
      <c r="BJ216" s="17"/>
      <c r="BK216" s="17"/>
      <c r="BL216" s="92"/>
      <c r="BM216" s="92"/>
      <c r="BN216" s="92"/>
      <c r="BO216" s="92"/>
      <c r="BP216" s="92"/>
      <c r="BQ216" s="818"/>
      <c r="BR216" s="54"/>
      <c r="BS216" s="54"/>
      <c r="BT216" s="818"/>
      <c r="BU216" s="818"/>
      <c r="BV216" s="818"/>
      <c r="BW216" s="92"/>
      <c r="BX216" s="92"/>
      <c r="BY216" s="17"/>
      <c r="BZ216" s="17"/>
      <c r="CA216" s="17"/>
      <c r="CB216" s="17"/>
      <c r="CC216" s="17"/>
      <c r="CD216" s="17"/>
    </row>
    <row r="217">
      <c r="A217" s="92"/>
      <c r="B217" s="820"/>
      <c r="O217" s="17"/>
      <c r="P217" s="17"/>
      <c r="Q217" s="17"/>
      <c r="R217" s="17"/>
      <c r="S217" s="813"/>
      <c r="T217" s="17"/>
      <c r="AX217" s="17"/>
      <c r="BB217" s="17"/>
      <c r="BE217" s="17"/>
      <c r="BF217" s="17"/>
      <c r="BG217" s="17"/>
      <c r="BH217" s="17"/>
      <c r="BI217" s="17"/>
      <c r="BJ217" s="17"/>
      <c r="BK217" s="17"/>
      <c r="BL217" s="92"/>
      <c r="BM217" s="92"/>
      <c r="BN217" s="92"/>
      <c r="BO217" s="92"/>
      <c r="BP217" s="92"/>
      <c r="BQ217" s="818"/>
      <c r="BR217" s="54"/>
      <c r="BS217" s="54"/>
      <c r="BT217" s="818"/>
      <c r="BU217" s="818"/>
      <c r="BV217" s="818"/>
      <c r="BW217" s="92"/>
      <c r="BX217" s="92"/>
      <c r="BY217" s="17"/>
      <c r="BZ217" s="17"/>
      <c r="CA217" s="17"/>
      <c r="CB217" s="17"/>
      <c r="CC217" s="17"/>
      <c r="CD217" s="17"/>
    </row>
    <row r="218">
      <c r="A218" s="92"/>
      <c r="B218" s="820"/>
      <c r="O218" s="17"/>
      <c r="P218" s="17"/>
      <c r="Q218" s="17"/>
      <c r="R218" s="17"/>
      <c r="S218" s="813"/>
      <c r="T218" s="17"/>
      <c r="AX218" s="17"/>
      <c r="BB218" s="17"/>
      <c r="BE218" s="17"/>
      <c r="BF218" s="17"/>
      <c r="BG218" s="17"/>
      <c r="BH218" s="17"/>
      <c r="BI218" s="17"/>
      <c r="BJ218" s="17"/>
      <c r="BK218" s="17"/>
      <c r="BL218" s="92"/>
      <c r="BM218" s="92"/>
      <c r="BN218" s="92"/>
      <c r="BO218" s="92"/>
      <c r="BP218" s="92"/>
      <c r="BQ218" s="818"/>
      <c r="BR218" s="54"/>
      <c r="BS218" s="54"/>
      <c r="BT218" s="818"/>
      <c r="BU218" s="818"/>
      <c r="BV218" s="818"/>
      <c r="BW218" s="92"/>
      <c r="BX218" s="92"/>
      <c r="BY218" s="17"/>
      <c r="BZ218" s="17"/>
      <c r="CA218" s="17"/>
      <c r="CB218" s="17"/>
      <c r="CC218" s="17"/>
      <c r="CD218" s="17"/>
    </row>
    <row r="219">
      <c r="A219" s="92"/>
      <c r="B219" s="820"/>
      <c r="O219" s="17"/>
      <c r="P219" s="17"/>
      <c r="Q219" s="17"/>
      <c r="R219" s="17"/>
      <c r="S219" s="813"/>
      <c r="T219" s="17"/>
      <c r="AX219" s="17"/>
      <c r="BB219" s="17"/>
      <c r="BE219" s="17"/>
      <c r="BF219" s="17"/>
      <c r="BG219" s="17"/>
      <c r="BH219" s="17"/>
      <c r="BI219" s="17"/>
      <c r="BJ219" s="17"/>
      <c r="BK219" s="17"/>
      <c r="BL219" s="92"/>
      <c r="BM219" s="92"/>
      <c r="BN219" s="92"/>
      <c r="BO219" s="92"/>
      <c r="BP219" s="92"/>
      <c r="BQ219" s="818"/>
      <c r="BR219" s="54"/>
      <c r="BS219" s="54"/>
      <c r="BT219" s="818"/>
      <c r="BU219" s="818"/>
      <c r="BV219" s="818"/>
      <c r="BW219" s="92"/>
      <c r="BX219" s="92"/>
      <c r="BY219" s="17"/>
      <c r="BZ219" s="17"/>
      <c r="CA219" s="17"/>
      <c r="CB219" s="17"/>
      <c r="CC219" s="17"/>
      <c r="CD219" s="17"/>
    </row>
    <row r="220">
      <c r="A220" s="92"/>
      <c r="B220" s="820"/>
      <c r="O220" s="17"/>
      <c r="P220" s="17"/>
      <c r="Q220" s="17"/>
      <c r="R220" s="17"/>
      <c r="S220" s="813"/>
      <c r="T220" s="17"/>
      <c r="AX220" s="17"/>
      <c r="BB220" s="17"/>
      <c r="BE220" s="17"/>
      <c r="BF220" s="17"/>
      <c r="BG220" s="17"/>
      <c r="BH220" s="17"/>
      <c r="BI220" s="17"/>
      <c r="BJ220" s="17"/>
      <c r="BK220" s="17"/>
      <c r="BL220" s="92"/>
      <c r="BM220" s="92"/>
      <c r="BN220" s="92"/>
      <c r="BO220" s="92"/>
      <c r="BP220" s="92"/>
      <c r="BQ220" s="818"/>
      <c r="BR220" s="54"/>
      <c r="BS220" s="54"/>
      <c r="BT220" s="818"/>
      <c r="BU220" s="818"/>
      <c r="BV220" s="818"/>
      <c r="BW220" s="92"/>
      <c r="BX220" s="92"/>
      <c r="BY220" s="17"/>
      <c r="BZ220" s="17"/>
      <c r="CA220" s="17"/>
      <c r="CB220" s="17"/>
      <c r="CC220" s="17"/>
      <c r="CD220" s="17"/>
    </row>
    <row r="221">
      <c r="A221" s="92"/>
      <c r="B221" s="820"/>
      <c r="O221" s="17"/>
      <c r="P221" s="17"/>
      <c r="Q221" s="17"/>
      <c r="R221" s="17"/>
      <c r="S221" s="813"/>
      <c r="T221" s="17"/>
      <c r="AX221" s="17"/>
      <c r="BB221" s="17"/>
      <c r="BE221" s="17"/>
      <c r="BF221" s="17"/>
      <c r="BG221" s="17"/>
      <c r="BH221" s="17"/>
      <c r="BI221" s="17"/>
      <c r="BJ221" s="17"/>
      <c r="BK221" s="17"/>
      <c r="BL221" s="92"/>
      <c r="BM221" s="92"/>
      <c r="BN221" s="92"/>
      <c r="BO221" s="92"/>
      <c r="BP221" s="92"/>
      <c r="BQ221" s="818"/>
      <c r="BR221" s="54"/>
      <c r="BS221" s="54"/>
      <c r="BT221" s="818"/>
      <c r="BU221" s="818"/>
      <c r="BV221" s="818"/>
      <c r="BW221" s="92"/>
      <c r="BX221" s="92"/>
      <c r="BY221" s="17"/>
      <c r="BZ221" s="17"/>
      <c r="CA221" s="17"/>
      <c r="CB221" s="17"/>
      <c r="CC221" s="17"/>
      <c r="CD221" s="17"/>
    </row>
    <row r="222">
      <c r="A222" s="92"/>
      <c r="B222" s="820"/>
      <c r="O222" s="17"/>
      <c r="P222" s="17"/>
      <c r="Q222" s="17"/>
      <c r="R222" s="17"/>
      <c r="S222" s="813"/>
      <c r="T222" s="17"/>
      <c r="AX222" s="17"/>
      <c r="BB222" s="17"/>
      <c r="BE222" s="17"/>
      <c r="BF222" s="17"/>
      <c r="BG222" s="17"/>
      <c r="BH222" s="17"/>
      <c r="BI222" s="17"/>
      <c r="BJ222" s="17"/>
      <c r="BK222" s="17"/>
      <c r="BL222" s="92"/>
      <c r="BM222" s="92"/>
      <c r="BN222" s="92"/>
      <c r="BO222" s="92"/>
      <c r="BP222" s="92"/>
      <c r="BQ222" s="818"/>
      <c r="BR222" s="54"/>
      <c r="BS222" s="54"/>
      <c r="BT222" s="818"/>
      <c r="BU222" s="818"/>
      <c r="BV222" s="818"/>
      <c r="BW222" s="92"/>
      <c r="BX222" s="92"/>
      <c r="BY222" s="17"/>
      <c r="BZ222" s="17"/>
      <c r="CA222" s="17"/>
      <c r="CB222" s="17"/>
      <c r="CC222" s="17"/>
      <c r="CD222" s="17"/>
    </row>
    <row r="223">
      <c r="A223" s="92"/>
      <c r="B223" s="820"/>
      <c r="O223" s="17"/>
      <c r="P223" s="17"/>
      <c r="Q223" s="17"/>
      <c r="R223" s="17"/>
      <c r="S223" s="813"/>
      <c r="T223" s="17"/>
      <c r="AX223" s="17"/>
      <c r="BB223" s="17"/>
      <c r="BE223" s="17"/>
      <c r="BF223" s="17"/>
      <c r="BG223" s="17"/>
      <c r="BH223" s="17"/>
      <c r="BI223" s="17"/>
      <c r="BJ223" s="17"/>
      <c r="BK223" s="17"/>
      <c r="BL223" s="92"/>
      <c r="BM223" s="92"/>
      <c r="BN223" s="92"/>
      <c r="BO223" s="92"/>
      <c r="BP223" s="92"/>
      <c r="BQ223" s="818"/>
      <c r="BR223" s="54"/>
      <c r="BS223" s="54"/>
      <c r="BT223" s="818"/>
      <c r="BU223" s="818"/>
      <c r="BV223" s="818"/>
      <c r="BW223" s="92"/>
      <c r="BX223" s="92"/>
      <c r="BY223" s="17"/>
      <c r="BZ223" s="17"/>
      <c r="CA223" s="17"/>
      <c r="CB223" s="17"/>
      <c r="CC223" s="17"/>
      <c r="CD223" s="17"/>
    </row>
    <row r="224">
      <c r="A224" s="92"/>
      <c r="B224" s="820"/>
      <c r="O224" s="17"/>
      <c r="P224" s="17"/>
      <c r="Q224" s="17"/>
      <c r="R224" s="17"/>
      <c r="S224" s="813"/>
      <c r="T224" s="17"/>
      <c r="AX224" s="17"/>
      <c r="BB224" s="17"/>
      <c r="BE224" s="17"/>
      <c r="BF224" s="17"/>
      <c r="BG224" s="17"/>
      <c r="BH224" s="17"/>
      <c r="BI224" s="17"/>
      <c r="BJ224" s="17"/>
      <c r="BK224" s="17"/>
      <c r="BL224" s="92"/>
      <c r="BM224" s="92"/>
      <c r="BN224" s="92"/>
      <c r="BO224" s="92"/>
      <c r="BP224" s="92"/>
      <c r="BQ224" s="818"/>
      <c r="BR224" s="54"/>
      <c r="BS224" s="54"/>
      <c r="BT224" s="818"/>
      <c r="BU224" s="818"/>
      <c r="BV224" s="818"/>
      <c r="BW224" s="92"/>
      <c r="BX224" s="92"/>
      <c r="BY224" s="17"/>
      <c r="BZ224" s="17"/>
      <c r="CA224" s="17"/>
      <c r="CB224" s="17"/>
      <c r="CC224" s="17"/>
      <c r="CD224" s="17"/>
    </row>
    <row r="225">
      <c r="A225" s="92"/>
      <c r="B225" s="820"/>
      <c r="O225" s="17"/>
      <c r="P225" s="17"/>
      <c r="Q225" s="17"/>
      <c r="R225" s="17"/>
      <c r="S225" s="813"/>
      <c r="T225" s="17"/>
      <c r="AX225" s="17"/>
      <c r="BB225" s="17"/>
      <c r="BE225" s="17"/>
      <c r="BF225" s="17"/>
      <c r="BG225" s="17"/>
      <c r="BH225" s="17"/>
      <c r="BI225" s="17"/>
      <c r="BJ225" s="17"/>
      <c r="BK225" s="17"/>
      <c r="BL225" s="92"/>
      <c r="BM225" s="92"/>
      <c r="BN225" s="92"/>
      <c r="BO225" s="92"/>
      <c r="BP225" s="92"/>
      <c r="BQ225" s="818"/>
      <c r="BR225" s="54"/>
      <c r="BS225" s="54"/>
      <c r="BT225" s="818"/>
      <c r="BU225" s="818"/>
      <c r="BV225" s="818"/>
      <c r="BW225" s="92"/>
      <c r="BX225" s="92"/>
      <c r="BY225" s="17"/>
      <c r="BZ225" s="17"/>
      <c r="CA225" s="17"/>
      <c r="CB225" s="17"/>
      <c r="CC225" s="17"/>
      <c r="CD225" s="17"/>
    </row>
    <row r="226">
      <c r="A226" s="92"/>
      <c r="B226" s="820"/>
      <c r="O226" s="17"/>
      <c r="P226" s="17"/>
      <c r="Q226" s="17"/>
      <c r="R226" s="17"/>
      <c r="S226" s="813"/>
      <c r="T226" s="17"/>
      <c r="AX226" s="17"/>
      <c r="BB226" s="17"/>
      <c r="BE226" s="17"/>
      <c r="BF226" s="17"/>
      <c r="BG226" s="17"/>
      <c r="BH226" s="17"/>
      <c r="BI226" s="17"/>
      <c r="BJ226" s="17"/>
      <c r="BK226" s="17"/>
      <c r="BL226" s="92"/>
      <c r="BM226" s="92"/>
      <c r="BN226" s="92"/>
      <c r="BO226" s="92"/>
      <c r="BP226" s="92"/>
      <c r="BQ226" s="818"/>
      <c r="BR226" s="54"/>
      <c r="BS226" s="54"/>
      <c r="BT226" s="818"/>
      <c r="BU226" s="818"/>
      <c r="BV226" s="818"/>
      <c r="BW226" s="92"/>
      <c r="BX226" s="92"/>
      <c r="BY226" s="17"/>
      <c r="BZ226" s="17"/>
      <c r="CA226" s="17"/>
      <c r="CB226" s="17"/>
      <c r="CC226" s="17"/>
      <c r="CD226" s="17"/>
    </row>
    <row r="227">
      <c r="A227" s="92"/>
      <c r="B227" s="820"/>
      <c r="O227" s="17"/>
      <c r="P227" s="17"/>
      <c r="Q227" s="17"/>
      <c r="R227" s="17"/>
      <c r="S227" s="813"/>
      <c r="T227" s="17"/>
      <c r="AX227" s="17"/>
      <c r="BB227" s="17"/>
      <c r="BE227" s="17"/>
      <c r="BF227" s="17"/>
      <c r="BG227" s="17"/>
      <c r="BH227" s="17"/>
      <c r="BI227" s="17"/>
      <c r="BJ227" s="17"/>
      <c r="BK227" s="17"/>
      <c r="BL227" s="92"/>
      <c r="BM227" s="92"/>
      <c r="BN227" s="92"/>
      <c r="BO227" s="92"/>
      <c r="BP227" s="92"/>
      <c r="BQ227" s="818"/>
      <c r="BR227" s="54"/>
      <c r="BS227" s="54"/>
      <c r="BT227" s="818"/>
      <c r="BU227" s="818"/>
      <c r="BV227" s="818"/>
      <c r="BW227" s="92"/>
      <c r="BX227" s="92"/>
      <c r="BY227" s="17"/>
      <c r="BZ227" s="17"/>
      <c r="CA227" s="17"/>
      <c r="CB227" s="17"/>
      <c r="CC227" s="17"/>
      <c r="CD227" s="17"/>
    </row>
    <row r="228">
      <c r="A228" s="92"/>
      <c r="B228" s="820"/>
      <c r="O228" s="17"/>
      <c r="P228" s="17"/>
      <c r="Q228" s="17"/>
      <c r="R228" s="17"/>
      <c r="S228" s="813"/>
      <c r="T228" s="17"/>
      <c r="AX228" s="17"/>
      <c r="BB228" s="17"/>
      <c r="BE228" s="17"/>
      <c r="BF228" s="17"/>
      <c r="BG228" s="17"/>
      <c r="BH228" s="17"/>
      <c r="BI228" s="17"/>
      <c r="BJ228" s="17"/>
      <c r="BK228" s="17"/>
      <c r="BL228" s="92"/>
      <c r="BM228" s="92"/>
      <c r="BN228" s="92"/>
      <c r="BO228" s="92"/>
      <c r="BP228" s="92"/>
      <c r="BQ228" s="818"/>
      <c r="BR228" s="54"/>
      <c r="BS228" s="54"/>
      <c r="BT228" s="818"/>
      <c r="BU228" s="818"/>
      <c r="BV228" s="818"/>
      <c r="BW228" s="92"/>
      <c r="BX228" s="92"/>
      <c r="BY228" s="17"/>
      <c r="BZ228" s="17"/>
      <c r="CA228" s="17"/>
      <c r="CB228" s="17"/>
      <c r="CC228" s="17"/>
      <c r="CD228" s="17"/>
    </row>
    <row r="229">
      <c r="A229" s="92"/>
      <c r="B229" s="820"/>
      <c r="O229" s="17"/>
      <c r="P229" s="17"/>
      <c r="Q229" s="17"/>
      <c r="R229" s="17"/>
      <c r="S229" s="813"/>
      <c r="T229" s="17"/>
      <c r="AX229" s="17"/>
      <c r="BB229" s="17"/>
      <c r="BE229" s="17"/>
      <c r="BF229" s="17"/>
      <c r="BG229" s="17"/>
      <c r="BH229" s="17"/>
      <c r="BI229" s="17"/>
      <c r="BJ229" s="17"/>
      <c r="BK229" s="17"/>
      <c r="BL229" s="92"/>
      <c r="BM229" s="92"/>
      <c r="BN229" s="92"/>
      <c r="BO229" s="92"/>
      <c r="BP229" s="92"/>
      <c r="BQ229" s="818"/>
      <c r="BR229" s="54"/>
      <c r="BS229" s="54"/>
      <c r="BT229" s="818"/>
      <c r="BU229" s="818"/>
      <c r="BV229" s="818"/>
      <c r="BW229" s="92"/>
      <c r="BX229" s="92"/>
      <c r="BY229" s="17"/>
      <c r="BZ229" s="17"/>
      <c r="CA229" s="17"/>
      <c r="CB229" s="17"/>
      <c r="CC229" s="17"/>
      <c r="CD229" s="17"/>
    </row>
    <row r="230">
      <c r="A230" s="92"/>
      <c r="B230" s="820"/>
      <c r="O230" s="17"/>
      <c r="P230" s="17"/>
      <c r="Q230" s="17"/>
      <c r="R230" s="17"/>
      <c r="S230" s="813"/>
      <c r="T230" s="17"/>
      <c r="AX230" s="17"/>
      <c r="BB230" s="17"/>
      <c r="BE230" s="17"/>
      <c r="BF230" s="17"/>
      <c r="BG230" s="17"/>
      <c r="BH230" s="17"/>
      <c r="BI230" s="17"/>
      <c r="BJ230" s="17"/>
      <c r="BK230" s="17"/>
      <c r="BL230" s="92"/>
      <c r="BM230" s="92"/>
      <c r="BN230" s="92"/>
      <c r="BO230" s="92"/>
      <c r="BP230" s="92"/>
      <c r="BQ230" s="818"/>
      <c r="BR230" s="54"/>
      <c r="BS230" s="54"/>
      <c r="BT230" s="818"/>
      <c r="BU230" s="818"/>
      <c r="BV230" s="818"/>
      <c r="BW230" s="92"/>
      <c r="BX230" s="92"/>
      <c r="BY230" s="17"/>
      <c r="BZ230" s="17"/>
      <c r="CA230" s="17"/>
      <c r="CB230" s="17"/>
      <c r="CC230" s="17"/>
      <c r="CD230" s="17"/>
    </row>
    <row r="231">
      <c r="A231" s="92"/>
      <c r="B231" s="820"/>
      <c r="O231" s="17"/>
      <c r="P231" s="17"/>
      <c r="Q231" s="17"/>
      <c r="R231" s="17"/>
      <c r="S231" s="813"/>
      <c r="T231" s="17"/>
      <c r="AX231" s="17"/>
      <c r="BB231" s="17"/>
      <c r="BE231" s="17"/>
      <c r="BF231" s="17"/>
      <c r="BG231" s="17"/>
      <c r="BH231" s="17"/>
      <c r="BI231" s="17"/>
      <c r="BJ231" s="17"/>
      <c r="BK231" s="17"/>
      <c r="BL231" s="92"/>
      <c r="BM231" s="92"/>
      <c r="BN231" s="92"/>
      <c r="BO231" s="92"/>
      <c r="BP231" s="92"/>
      <c r="BQ231" s="818"/>
      <c r="BR231" s="54"/>
      <c r="BS231" s="54"/>
      <c r="BT231" s="818"/>
      <c r="BU231" s="818"/>
      <c r="BV231" s="818"/>
      <c r="BW231" s="92"/>
      <c r="BX231" s="92"/>
      <c r="BY231" s="17"/>
      <c r="BZ231" s="17"/>
      <c r="CA231" s="17"/>
      <c r="CB231" s="17"/>
      <c r="CC231" s="17"/>
      <c r="CD231" s="17"/>
    </row>
    <row r="232">
      <c r="A232" s="92"/>
      <c r="B232" s="820"/>
      <c r="O232" s="17"/>
      <c r="P232" s="17"/>
      <c r="Q232" s="17"/>
      <c r="R232" s="17"/>
      <c r="S232" s="813"/>
      <c r="T232" s="17"/>
      <c r="AX232" s="17"/>
      <c r="BB232" s="17"/>
      <c r="BE232" s="17"/>
      <c r="BF232" s="17"/>
      <c r="BG232" s="17"/>
      <c r="BH232" s="17"/>
      <c r="BI232" s="17"/>
      <c r="BJ232" s="17"/>
      <c r="BK232" s="17"/>
      <c r="BL232" s="92"/>
      <c r="BM232" s="92"/>
      <c r="BN232" s="92"/>
      <c r="BO232" s="92"/>
      <c r="BP232" s="92"/>
      <c r="BQ232" s="818"/>
      <c r="BR232" s="54"/>
      <c r="BS232" s="54"/>
      <c r="BT232" s="818"/>
      <c r="BU232" s="818"/>
      <c r="BV232" s="818"/>
      <c r="BW232" s="92"/>
      <c r="BX232" s="92"/>
      <c r="BY232" s="17"/>
      <c r="BZ232" s="17"/>
      <c r="CA232" s="17"/>
      <c r="CB232" s="17"/>
      <c r="CC232" s="17"/>
      <c r="CD232" s="17"/>
    </row>
    <row r="233">
      <c r="A233" s="92"/>
      <c r="B233" s="820"/>
      <c r="O233" s="17"/>
      <c r="P233" s="17"/>
      <c r="Q233" s="17"/>
      <c r="R233" s="17"/>
      <c r="S233" s="813"/>
      <c r="T233" s="17"/>
      <c r="AX233" s="17"/>
      <c r="BB233" s="17"/>
      <c r="BE233" s="17"/>
      <c r="BF233" s="17"/>
      <c r="BG233" s="17"/>
      <c r="BH233" s="17"/>
      <c r="BI233" s="17"/>
      <c r="BJ233" s="17"/>
      <c r="BK233" s="17"/>
      <c r="BL233" s="92"/>
      <c r="BM233" s="92"/>
      <c r="BN233" s="92"/>
      <c r="BO233" s="92"/>
      <c r="BP233" s="92"/>
      <c r="BQ233" s="818"/>
      <c r="BR233" s="54"/>
      <c r="BS233" s="54"/>
      <c r="BT233" s="818"/>
      <c r="BU233" s="818"/>
      <c r="BV233" s="818"/>
      <c r="BW233" s="92"/>
      <c r="BX233" s="92"/>
      <c r="BY233" s="17"/>
      <c r="BZ233" s="17"/>
      <c r="CA233" s="17"/>
      <c r="CB233" s="17"/>
      <c r="CC233" s="17"/>
      <c r="CD233" s="17"/>
    </row>
    <row r="234">
      <c r="A234" s="92"/>
      <c r="B234" s="820"/>
      <c r="O234" s="17"/>
      <c r="P234" s="17"/>
      <c r="Q234" s="17"/>
      <c r="R234" s="17"/>
      <c r="S234" s="813"/>
      <c r="T234" s="17"/>
      <c r="AX234" s="17"/>
      <c r="BB234" s="17"/>
      <c r="BE234" s="17"/>
      <c r="BF234" s="17"/>
      <c r="BG234" s="17"/>
      <c r="BH234" s="17"/>
      <c r="BI234" s="17"/>
      <c r="BJ234" s="17"/>
      <c r="BK234" s="17"/>
      <c r="BL234" s="92"/>
      <c r="BM234" s="92"/>
      <c r="BN234" s="92"/>
      <c r="BO234" s="92"/>
      <c r="BP234" s="92"/>
      <c r="BQ234" s="818"/>
      <c r="BR234" s="54"/>
      <c r="BS234" s="54"/>
      <c r="BT234" s="818"/>
      <c r="BU234" s="818"/>
      <c r="BV234" s="818"/>
      <c r="BW234" s="92"/>
      <c r="BX234" s="92"/>
      <c r="BY234" s="17"/>
      <c r="BZ234" s="17"/>
      <c r="CA234" s="17"/>
      <c r="CB234" s="17"/>
      <c r="CC234" s="17"/>
      <c r="CD234" s="17"/>
    </row>
    <row r="235">
      <c r="A235" s="92"/>
      <c r="B235" s="820"/>
      <c r="O235" s="17"/>
      <c r="P235" s="17"/>
      <c r="Q235" s="17"/>
      <c r="R235" s="17"/>
      <c r="S235" s="813"/>
      <c r="T235" s="17"/>
      <c r="AX235" s="17"/>
      <c r="BB235" s="17"/>
      <c r="BE235" s="17"/>
      <c r="BF235" s="17"/>
      <c r="BG235" s="17"/>
      <c r="BH235" s="17"/>
      <c r="BI235" s="17"/>
      <c r="BJ235" s="17"/>
      <c r="BK235" s="17"/>
      <c r="BL235" s="92"/>
      <c r="BM235" s="92"/>
      <c r="BN235" s="92"/>
      <c r="BO235" s="92"/>
      <c r="BP235" s="92"/>
      <c r="BQ235" s="818"/>
      <c r="BR235" s="54"/>
      <c r="BS235" s="54"/>
      <c r="BT235" s="818"/>
      <c r="BU235" s="818"/>
      <c r="BV235" s="818"/>
      <c r="BW235" s="92"/>
      <c r="BX235" s="92"/>
      <c r="BY235" s="17"/>
      <c r="BZ235" s="17"/>
      <c r="CA235" s="17"/>
      <c r="CB235" s="17"/>
      <c r="CC235" s="17"/>
      <c r="CD235" s="17"/>
    </row>
    <row r="236">
      <c r="A236" s="92"/>
      <c r="B236" s="820"/>
      <c r="O236" s="17"/>
      <c r="P236" s="17"/>
      <c r="Q236" s="17"/>
      <c r="R236" s="17"/>
      <c r="S236" s="813"/>
      <c r="T236" s="17"/>
      <c r="AX236" s="17"/>
      <c r="BB236" s="17"/>
      <c r="BE236" s="17"/>
      <c r="BF236" s="17"/>
      <c r="BG236" s="17"/>
      <c r="BH236" s="17"/>
      <c r="BI236" s="17"/>
      <c r="BJ236" s="17"/>
      <c r="BK236" s="17"/>
      <c r="BL236" s="92"/>
      <c r="BM236" s="92"/>
      <c r="BN236" s="92"/>
      <c r="BO236" s="92"/>
      <c r="BP236" s="92"/>
      <c r="BQ236" s="818"/>
      <c r="BR236" s="54"/>
      <c r="BS236" s="54"/>
      <c r="BT236" s="818"/>
      <c r="BU236" s="818"/>
      <c r="BV236" s="818"/>
      <c r="BW236" s="92"/>
      <c r="BX236" s="92"/>
      <c r="BY236" s="17"/>
      <c r="BZ236" s="17"/>
      <c r="CA236" s="17"/>
      <c r="CB236" s="17"/>
      <c r="CC236" s="17"/>
      <c r="CD236" s="17"/>
    </row>
    <row r="237">
      <c r="A237" s="92"/>
      <c r="B237" s="820"/>
      <c r="O237" s="17"/>
      <c r="P237" s="17"/>
      <c r="Q237" s="17"/>
      <c r="R237" s="17"/>
      <c r="S237" s="813"/>
      <c r="T237" s="17"/>
      <c r="AX237" s="17"/>
      <c r="BB237" s="17"/>
      <c r="BE237" s="17"/>
      <c r="BF237" s="17"/>
      <c r="BG237" s="17"/>
      <c r="BH237" s="17"/>
      <c r="BI237" s="17"/>
      <c r="BJ237" s="17"/>
      <c r="BK237" s="17"/>
      <c r="BL237" s="92"/>
      <c r="BM237" s="92"/>
      <c r="BN237" s="92"/>
      <c r="BO237" s="92"/>
      <c r="BP237" s="92"/>
      <c r="BQ237" s="818"/>
      <c r="BR237" s="54"/>
      <c r="BS237" s="54"/>
      <c r="BT237" s="818"/>
      <c r="BU237" s="818"/>
      <c r="BV237" s="818"/>
      <c r="BW237" s="92"/>
      <c r="BX237" s="92"/>
      <c r="BY237" s="17"/>
      <c r="BZ237" s="17"/>
      <c r="CA237" s="17"/>
      <c r="CB237" s="17"/>
      <c r="CC237" s="17"/>
      <c r="CD237" s="17"/>
    </row>
    <row r="238">
      <c r="A238" s="92"/>
      <c r="B238" s="820"/>
      <c r="O238" s="17"/>
      <c r="P238" s="17"/>
      <c r="Q238" s="17"/>
      <c r="R238" s="17"/>
      <c r="S238" s="813"/>
      <c r="T238" s="17"/>
      <c r="AX238" s="17"/>
      <c r="BB238" s="17"/>
      <c r="BE238" s="17"/>
      <c r="BF238" s="17"/>
      <c r="BG238" s="17"/>
      <c r="BH238" s="17"/>
      <c r="BI238" s="17"/>
      <c r="BJ238" s="17"/>
      <c r="BK238" s="17"/>
      <c r="BL238" s="92"/>
      <c r="BM238" s="92"/>
      <c r="BN238" s="92"/>
      <c r="BO238" s="92"/>
      <c r="BP238" s="92"/>
      <c r="BQ238" s="818"/>
      <c r="BR238" s="54"/>
      <c r="BS238" s="54"/>
      <c r="BT238" s="818"/>
      <c r="BU238" s="818"/>
      <c r="BV238" s="818"/>
      <c r="BW238" s="92"/>
      <c r="BX238" s="92"/>
      <c r="BY238" s="17"/>
      <c r="BZ238" s="17"/>
      <c r="CA238" s="17"/>
      <c r="CB238" s="17"/>
      <c r="CC238" s="17"/>
      <c r="CD238" s="17"/>
    </row>
    <row r="239">
      <c r="A239" s="92"/>
      <c r="B239" s="820"/>
      <c r="O239" s="17"/>
      <c r="P239" s="17"/>
      <c r="Q239" s="17"/>
      <c r="R239" s="17"/>
      <c r="S239" s="813"/>
      <c r="T239" s="17"/>
      <c r="AX239" s="17"/>
      <c r="BB239" s="17"/>
      <c r="BE239" s="17"/>
      <c r="BF239" s="17"/>
      <c r="BG239" s="17"/>
      <c r="BH239" s="17"/>
      <c r="BI239" s="17"/>
      <c r="BJ239" s="17"/>
      <c r="BK239" s="17"/>
      <c r="BL239" s="92"/>
      <c r="BM239" s="92"/>
      <c r="BN239" s="92"/>
      <c r="BO239" s="92"/>
      <c r="BP239" s="92"/>
      <c r="BQ239" s="818"/>
      <c r="BR239" s="54"/>
      <c r="BS239" s="54"/>
      <c r="BT239" s="818"/>
      <c r="BU239" s="818"/>
      <c r="BV239" s="818"/>
      <c r="BW239" s="92"/>
      <c r="BX239" s="92"/>
      <c r="BY239" s="17"/>
      <c r="BZ239" s="17"/>
      <c r="CA239" s="17"/>
      <c r="CB239" s="17"/>
      <c r="CC239" s="17"/>
      <c r="CD239" s="17"/>
    </row>
    <row r="240">
      <c r="A240" s="92"/>
      <c r="B240" s="820"/>
      <c r="O240" s="17"/>
      <c r="P240" s="17"/>
      <c r="Q240" s="17"/>
      <c r="R240" s="17"/>
      <c r="S240" s="813"/>
      <c r="T240" s="17"/>
      <c r="AX240" s="17"/>
      <c r="BB240" s="17"/>
      <c r="BE240" s="17"/>
      <c r="BF240" s="17"/>
      <c r="BG240" s="17"/>
      <c r="BH240" s="17"/>
      <c r="BI240" s="17"/>
      <c r="BJ240" s="17"/>
      <c r="BK240" s="17"/>
      <c r="BL240" s="92"/>
      <c r="BM240" s="92"/>
      <c r="BN240" s="92"/>
      <c r="BO240" s="92"/>
      <c r="BP240" s="92"/>
      <c r="BQ240" s="818"/>
      <c r="BR240" s="54"/>
      <c r="BS240" s="54"/>
      <c r="BT240" s="818"/>
      <c r="BU240" s="818"/>
      <c r="BV240" s="818"/>
      <c r="BW240" s="92"/>
      <c r="BX240" s="92"/>
      <c r="BY240" s="17"/>
      <c r="BZ240" s="17"/>
      <c r="CA240" s="17"/>
      <c r="CB240" s="17"/>
      <c r="CC240" s="17"/>
      <c r="CD240" s="17"/>
    </row>
    <row r="241">
      <c r="A241" s="92"/>
      <c r="B241" s="820"/>
      <c r="O241" s="17"/>
      <c r="P241" s="17"/>
      <c r="Q241" s="17"/>
      <c r="R241" s="17"/>
      <c r="S241" s="813"/>
      <c r="T241" s="17"/>
      <c r="AX241" s="17"/>
      <c r="BB241" s="17"/>
      <c r="BE241" s="17"/>
      <c r="BF241" s="17"/>
      <c r="BG241" s="17"/>
      <c r="BH241" s="17"/>
      <c r="BI241" s="17"/>
      <c r="BJ241" s="17"/>
      <c r="BK241" s="17"/>
      <c r="BL241" s="92"/>
      <c r="BM241" s="92"/>
      <c r="BN241" s="92"/>
      <c r="BO241" s="92"/>
      <c r="BP241" s="92"/>
      <c r="BQ241" s="818"/>
      <c r="BR241" s="54"/>
      <c r="BS241" s="54"/>
      <c r="BT241" s="818"/>
      <c r="BU241" s="818"/>
      <c r="BV241" s="818"/>
      <c r="BW241" s="92"/>
      <c r="BX241" s="92"/>
      <c r="BY241" s="17"/>
      <c r="BZ241" s="17"/>
      <c r="CA241" s="17"/>
      <c r="CB241" s="17"/>
      <c r="CC241" s="17"/>
      <c r="CD241" s="17"/>
    </row>
    <row r="242">
      <c r="A242" s="92"/>
      <c r="B242" s="820"/>
      <c r="O242" s="17"/>
      <c r="P242" s="17"/>
      <c r="Q242" s="17"/>
      <c r="R242" s="17"/>
      <c r="S242" s="813"/>
      <c r="T242" s="17"/>
      <c r="AX242" s="17"/>
      <c r="BB242" s="17"/>
      <c r="BE242" s="17"/>
      <c r="BF242" s="17"/>
      <c r="BG242" s="17"/>
      <c r="BH242" s="17"/>
      <c r="BI242" s="17"/>
      <c r="BJ242" s="17"/>
      <c r="BK242" s="17"/>
      <c r="BL242" s="92"/>
      <c r="BM242" s="92"/>
      <c r="BN242" s="92"/>
      <c r="BO242" s="92"/>
      <c r="BP242" s="92"/>
      <c r="BQ242" s="818"/>
      <c r="BR242" s="54"/>
      <c r="BS242" s="54"/>
      <c r="BT242" s="818"/>
      <c r="BU242" s="818"/>
      <c r="BV242" s="818"/>
      <c r="BW242" s="92"/>
      <c r="BX242" s="92"/>
      <c r="BY242" s="17"/>
      <c r="BZ242" s="17"/>
      <c r="CA242" s="17"/>
      <c r="CB242" s="17"/>
      <c r="CC242" s="17"/>
      <c r="CD242" s="17"/>
    </row>
    <row r="243">
      <c r="A243" s="92"/>
      <c r="B243" s="820"/>
      <c r="O243" s="17"/>
      <c r="P243" s="17"/>
      <c r="Q243" s="17"/>
      <c r="R243" s="17"/>
      <c r="S243" s="813"/>
      <c r="T243" s="17"/>
      <c r="AX243" s="17"/>
      <c r="BB243" s="17"/>
      <c r="BE243" s="17"/>
      <c r="BF243" s="17"/>
      <c r="BG243" s="17"/>
      <c r="BH243" s="17"/>
      <c r="BI243" s="17"/>
      <c r="BJ243" s="17"/>
      <c r="BK243" s="17"/>
      <c r="BL243" s="92"/>
      <c r="BM243" s="92"/>
      <c r="BN243" s="92"/>
      <c r="BO243" s="92"/>
      <c r="BP243" s="92"/>
      <c r="BQ243" s="818"/>
      <c r="BR243" s="54"/>
      <c r="BS243" s="54"/>
      <c r="BT243" s="818"/>
      <c r="BU243" s="818"/>
      <c r="BV243" s="818"/>
      <c r="BW243" s="92"/>
      <c r="BX243" s="92"/>
      <c r="BY243" s="17"/>
      <c r="BZ243" s="17"/>
      <c r="CA243" s="17"/>
      <c r="CB243" s="17"/>
      <c r="CC243" s="17"/>
      <c r="CD243" s="17"/>
    </row>
    <row r="244">
      <c r="A244" s="92"/>
      <c r="B244" s="820"/>
      <c r="O244" s="17"/>
      <c r="P244" s="17"/>
      <c r="Q244" s="17"/>
      <c r="R244" s="17"/>
      <c r="S244" s="813"/>
      <c r="T244" s="17"/>
      <c r="AX244" s="17"/>
      <c r="BB244" s="17"/>
      <c r="BE244" s="17"/>
      <c r="BF244" s="17"/>
      <c r="BG244" s="17"/>
      <c r="BH244" s="17"/>
      <c r="BI244" s="17"/>
      <c r="BJ244" s="17"/>
      <c r="BK244" s="17"/>
      <c r="BL244" s="92"/>
      <c r="BM244" s="92"/>
      <c r="BN244" s="92"/>
      <c r="BO244" s="92"/>
      <c r="BP244" s="92"/>
      <c r="BQ244" s="818"/>
      <c r="BR244" s="54"/>
      <c r="BS244" s="54"/>
      <c r="BT244" s="818"/>
      <c r="BU244" s="818"/>
      <c r="BV244" s="818"/>
      <c r="BW244" s="92"/>
      <c r="BX244" s="92"/>
      <c r="BY244" s="17"/>
      <c r="BZ244" s="17"/>
      <c r="CA244" s="17"/>
      <c r="CB244" s="17"/>
      <c r="CC244" s="17"/>
      <c r="CD244" s="17"/>
    </row>
    <row r="245">
      <c r="A245" s="92"/>
      <c r="B245" s="820"/>
      <c r="O245" s="17"/>
      <c r="P245" s="17"/>
      <c r="Q245" s="17"/>
      <c r="R245" s="17"/>
      <c r="S245" s="813"/>
      <c r="T245" s="17"/>
      <c r="AX245" s="17"/>
      <c r="BB245" s="17"/>
      <c r="BE245" s="17"/>
      <c r="BF245" s="17"/>
      <c r="BG245" s="17"/>
      <c r="BH245" s="17"/>
      <c r="BI245" s="17"/>
      <c r="BJ245" s="17"/>
      <c r="BK245" s="17"/>
      <c r="BL245" s="92"/>
      <c r="BM245" s="92"/>
      <c r="BN245" s="92"/>
      <c r="BO245" s="92"/>
      <c r="BP245" s="92"/>
      <c r="BQ245" s="818"/>
      <c r="BR245" s="54"/>
      <c r="BS245" s="54"/>
      <c r="BT245" s="818"/>
      <c r="BU245" s="818"/>
      <c r="BV245" s="818"/>
      <c r="BW245" s="92"/>
      <c r="BX245" s="92"/>
      <c r="BY245" s="17"/>
      <c r="BZ245" s="17"/>
      <c r="CA245" s="17"/>
      <c r="CB245" s="17"/>
      <c r="CC245" s="17"/>
      <c r="CD245" s="17"/>
    </row>
    <row r="246">
      <c r="A246" s="92"/>
      <c r="B246" s="820"/>
      <c r="O246" s="17"/>
      <c r="P246" s="17"/>
      <c r="Q246" s="17"/>
      <c r="R246" s="17"/>
      <c r="S246" s="813"/>
      <c r="T246" s="17"/>
      <c r="AX246" s="17"/>
      <c r="BB246" s="17"/>
      <c r="BE246" s="17"/>
      <c r="BF246" s="17"/>
      <c r="BG246" s="17"/>
      <c r="BH246" s="17"/>
      <c r="BI246" s="17"/>
      <c r="BJ246" s="17"/>
      <c r="BK246" s="17"/>
      <c r="BL246" s="92"/>
      <c r="BM246" s="92"/>
      <c r="BN246" s="92"/>
      <c r="BO246" s="92"/>
      <c r="BP246" s="92"/>
      <c r="BQ246" s="818"/>
      <c r="BR246" s="54"/>
      <c r="BS246" s="54"/>
      <c r="BT246" s="818"/>
      <c r="BU246" s="818"/>
      <c r="BV246" s="818"/>
      <c r="BW246" s="92"/>
      <c r="BX246" s="92"/>
      <c r="BY246" s="17"/>
      <c r="BZ246" s="17"/>
      <c r="CA246" s="17"/>
      <c r="CB246" s="17"/>
      <c r="CC246" s="17"/>
      <c r="CD246" s="17"/>
    </row>
    <row r="247">
      <c r="A247" s="92"/>
      <c r="B247" s="820"/>
      <c r="O247" s="17"/>
      <c r="P247" s="17"/>
      <c r="Q247" s="17"/>
      <c r="R247" s="17"/>
      <c r="S247" s="813"/>
      <c r="T247" s="17"/>
      <c r="AX247" s="17"/>
      <c r="BB247" s="17"/>
      <c r="BE247" s="17"/>
      <c r="BF247" s="17"/>
      <c r="BG247" s="17"/>
      <c r="BH247" s="17"/>
      <c r="BI247" s="17"/>
      <c r="BJ247" s="17"/>
      <c r="BK247" s="17"/>
      <c r="BL247" s="92"/>
      <c r="BM247" s="92"/>
      <c r="BN247" s="92"/>
      <c r="BO247" s="92"/>
      <c r="BP247" s="92"/>
      <c r="BQ247" s="818"/>
      <c r="BR247" s="54"/>
      <c r="BS247" s="54"/>
      <c r="BT247" s="818"/>
      <c r="BU247" s="818"/>
      <c r="BV247" s="818"/>
      <c r="BW247" s="92"/>
      <c r="BX247" s="92"/>
      <c r="BY247" s="17"/>
      <c r="BZ247" s="17"/>
      <c r="CA247" s="17"/>
      <c r="CB247" s="17"/>
      <c r="CC247" s="17"/>
      <c r="CD247" s="17"/>
    </row>
    <row r="248">
      <c r="A248" s="92"/>
      <c r="B248" s="820"/>
      <c r="O248" s="17"/>
      <c r="P248" s="17"/>
      <c r="Q248" s="17"/>
      <c r="R248" s="17"/>
      <c r="S248" s="813"/>
      <c r="T248" s="17"/>
      <c r="AX248" s="17"/>
      <c r="BB248" s="17"/>
      <c r="BE248" s="17"/>
      <c r="BF248" s="17"/>
      <c r="BG248" s="17"/>
      <c r="BH248" s="17"/>
      <c r="BI248" s="17"/>
      <c r="BJ248" s="17"/>
      <c r="BK248" s="17"/>
      <c r="BL248" s="92"/>
      <c r="BM248" s="92"/>
      <c r="BN248" s="92"/>
      <c r="BO248" s="92"/>
      <c r="BP248" s="92"/>
      <c r="BQ248" s="818"/>
      <c r="BR248" s="54"/>
      <c r="BS248" s="54"/>
      <c r="BT248" s="818"/>
      <c r="BU248" s="818"/>
      <c r="BV248" s="818"/>
      <c r="BW248" s="92"/>
      <c r="BX248" s="92"/>
      <c r="BY248" s="17"/>
      <c r="BZ248" s="17"/>
      <c r="CA248" s="17"/>
      <c r="CB248" s="17"/>
      <c r="CC248" s="17"/>
      <c r="CD248" s="17"/>
    </row>
    <row r="249">
      <c r="A249" s="92"/>
      <c r="B249" s="820"/>
      <c r="O249" s="17"/>
      <c r="P249" s="17"/>
      <c r="Q249" s="17"/>
      <c r="R249" s="17"/>
      <c r="S249" s="813"/>
      <c r="T249" s="17"/>
      <c r="AX249" s="17"/>
      <c r="BB249" s="17"/>
      <c r="BE249" s="17"/>
      <c r="BF249" s="17"/>
      <c r="BG249" s="17"/>
      <c r="BH249" s="17"/>
      <c r="BI249" s="17"/>
      <c r="BJ249" s="17"/>
      <c r="BK249" s="17"/>
      <c r="BL249" s="92"/>
      <c r="BM249" s="92"/>
      <c r="BN249" s="92"/>
      <c r="BO249" s="92"/>
      <c r="BP249" s="92"/>
      <c r="BQ249" s="818"/>
      <c r="BR249" s="54"/>
      <c r="BS249" s="54"/>
      <c r="BT249" s="818"/>
      <c r="BU249" s="818"/>
      <c r="BV249" s="818"/>
      <c r="BW249" s="92"/>
      <c r="BX249" s="92"/>
      <c r="BY249" s="17"/>
      <c r="BZ249" s="17"/>
      <c r="CA249" s="17"/>
      <c r="CB249" s="17"/>
      <c r="CC249" s="17"/>
      <c r="CD249" s="17"/>
    </row>
    <row r="250">
      <c r="A250" s="92"/>
      <c r="B250" s="820"/>
      <c r="O250" s="17"/>
      <c r="P250" s="17"/>
      <c r="Q250" s="17"/>
      <c r="R250" s="17"/>
      <c r="S250" s="813"/>
      <c r="T250" s="17"/>
      <c r="AX250" s="17"/>
      <c r="BB250" s="17"/>
      <c r="BE250" s="17"/>
      <c r="BF250" s="17"/>
      <c r="BG250" s="17"/>
      <c r="BH250" s="17"/>
      <c r="BI250" s="17"/>
      <c r="BJ250" s="17"/>
      <c r="BK250" s="17"/>
      <c r="BL250" s="92"/>
      <c r="BM250" s="92"/>
      <c r="BN250" s="92"/>
      <c r="BO250" s="92"/>
      <c r="BP250" s="92"/>
      <c r="BQ250" s="818"/>
      <c r="BR250" s="54"/>
      <c r="BS250" s="54"/>
      <c r="BT250" s="818"/>
      <c r="BU250" s="818"/>
      <c r="BV250" s="818"/>
      <c r="BW250" s="92"/>
      <c r="BX250" s="92"/>
      <c r="BY250" s="17"/>
      <c r="BZ250" s="17"/>
      <c r="CA250" s="17"/>
      <c r="CB250" s="17"/>
      <c r="CC250" s="17"/>
      <c r="CD250" s="17"/>
    </row>
    <row r="251">
      <c r="A251" s="92"/>
      <c r="B251" s="820"/>
      <c r="O251" s="17"/>
      <c r="P251" s="17"/>
      <c r="Q251" s="17"/>
      <c r="R251" s="17"/>
      <c r="S251" s="813"/>
      <c r="T251" s="17"/>
      <c r="AX251" s="17"/>
      <c r="BB251" s="17"/>
      <c r="BE251" s="17"/>
      <c r="BF251" s="17"/>
      <c r="BG251" s="17"/>
      <c r="BH251" s="17"/>
      <c r="BI251" s="17"/>
      <c r="BJ251" s="17"/>
      <c r="BK251" s="17"/>
      <c r="BL251" s="92"/>
      <c r="BM251" s="92"/>
      <c r="BN251" s="92"/>
      <c r="BO251" s="92"/>
      <c r="BP251" s="92"/>
      <c r="BQ251" s="818"/>
      <c r="BR251" s="54"/>
      <c r="BS251" s="54"/>
      <c r="BT251" s="818"/>
      <c r="BU251" s="818"/>
      <c r="BV251" s="818"/>
      <c r="BW251" s="92"/>
      <c r="BX251" s="92"/>
      <c r="BY251" s="17"/>
      <c r="BZ251" s="17"/>
      <c r="CA251" s="17"/>
      <c r="CB251" s="17"/>
      <c r="CC251" s="17"/>
      <c r="CD251" s="17"/>
    </row>
    <row r="252">
      <c r="A252" s="92"/>
      <c r="B252" s="820"/>
      <c r="O252" s="17"/>
      <c r="P252" s="17"/>
      <c r="Q252" s="17"/>
      <c r="R252" s="17"/>
      <c r="S252" s="813"/>
      <c r="T252" s="17"/>
      <c r="AX252" s="17"/>
      <c r="BB252" s="17"/>
      <c r="BE252" s="17"/>
      <c r="BF252" s="17"/>
      <c r="BG252" s="17"/>
      <c r="BH252" s="17"/>
      <c r="BI252" s="17"/>
      <c r="BJ252" s="17"/>
      <c r="BK252" s="17"/>
      <c r="BL252" s="92"/>
      <c r="BM252" s="92"/>
      <c r="BN252" s="92"/>
      <c r="BO252" s="92"/>
      <c r="BP252" s="92"/>
      <c r="BQ252" s="818"/>
      <c r="BR252" s="54"/>
      <c r="BS252" s="54"/>
      <c r="BT252" s="818"/>
      <c r="BU252" s="818"/>
      <c r="BV252" s="818"/>
      <c r="BW252" s="92"/>
      <c r="BX252" s="92"/>
      <c r="BY252" s="17"/>
      <c r="BZ252" s="17"/>
      <c r="CA252" s="17"/>
      <c r="CB252" s="17"/>
      <c r="CC252" s="17"/>
      <c r="CD252" s="17"/>
    </row>
    <row r="253">
      <c r="A253" s="92"/>
      <c r="B253" s="820"/>
      <c r="O253" s="17"/>
      <c r="P253" s="17"/>
      <c r="Q253" s="17"/>
      <c r="R253" s="17"/>
      <c r="S253" s="813"/>
      <c r="T253" s="17"/>
      <c r="AX253" s="17"/>
      <c r="BB253" s="17"/>
      <c r="BE253" s="17"/>
      <c r="BF253" s="17"/>
      <c r="BG253" s="17"/>
      <c r="BH253" s="17"/>
      <c r="BI253" s="17"/>
      <c r="BJ253" s="17"/>
      <c r="BK253" s="17"/>
      <c r="BL253" s="92"/>
      <c r="BM253" s="92"/>
      <c r="BN253" s="92"/>
      <c r="BO253" s="92"/>
      <c r="BP253" s="92"/>
      <c r="BQ253" s="818"/>
      <c r="BR253" s="54"/>
      <c r="BS253" s="54"/>
      <c r="BT253" s="818"/>
      <c r="BU253" s="818"/>
      <c r="BV253" s="818"/>
      <c r="BW253" s="92"/>
      <c r="BX253" s="92"/>
      <c r="BY253" s="17"/>
      <c r="BZ253" s="17"/>
      <c r="CA253" s="17"/>
      <c r="CB253" s="17"/>
      <c r="CC253" s="17"/>
      <c r="CD253" s="17"/>
    </row>
    <row r="254">
      <c r="A254" s="92"/>
      <c r="B254" s="820"/>
      <c r="O254" s="17"/>
      <c r="P254" s="17"/>
      <c r="Q254" s="17"/>
      <c r="R254" s="17"/>
      <c r="S254" s="813"/>
      <c r="T254" s="17"/>
      <c r="AX254" s="17"/>
      <c r="BB254" s="17"/>
      <c r="BE254" s="17"/>
      <c r="BF254" s="17"/>
      <c r="BG254" s="17"/>
      <c r="BH254" s="17"/>
      <c r="BI254" s="17"/>
      <c r="BJ254" s="17"/>
      <c r="BK254" s="17"/>
      <c r="BL254" s="92"/>
      <c r="BM254" s="92"/>
      <c r="BN254" s="92"/>
      <c r="BO254" s="92"/>
      <c r="BP254" s="92"/>
      <c r="BQ254" s="818"/>
      <c r="BR254" s="54"/>
      <c r="BS254" s="54"/>
      <c r="BT254" s="818"/>
      <c r="BU254" s="818"/>
      <c r="BV254" s="818"/>
      <c r="BW254" s="92"/>
      <c r="BX254" s="92"/>
      <c r="BY254" s="17"/>
      <c r="BZ254" s="17"/>
      <c r="CA254" s="17"/>
      <c r="CB254" s="17"/>
      <c r="CC254" s="17"/>
      <c r="CD254" s="17"/>
    </row>
    <row r="255">
      <c r="A255" s="92"/>
      <c r="B255" s="820"/>
      <c r="O255" s="17"/>
      <c r="P255" s="17"/>
      <c r="Q255" s="17"/>
      <c r="R255" s="17"/>
      <c r="S255" s="813"/>
      <c r="T255" s="17"/>
      <c r="AX255" s="17"/>
      <c r="BB255" s="17"/>
      <c r="BE255" s="17"/>
      <c r="BF255" s="17"/>
      <c r="BG255" s="17"/>
      <c r="BH255" s="17"/>
      <c r="BI255" s="17"/>
      <c r="BJ255" s="17"/>
      <c r="BK255" s="17"/>
      <c r="BL255" s="92"/>
      <c r="BM255" s="92"/>
      <c r="BN255" s="92"/>
      <c r="BO255" s="92"/>
      <c r="BP255" s="92"/>
      <c r="BQ255" s="818"/>
      <c r="BR255" s="54"/>
      <c r="BS255" s="54"/>
      <c r="BT255" s="818"/>
      <c r="BU255" s="818"/>
      <c r="BV255" s="818"/>
      <c r="BW255" s="92"/>
      <c r="BX255" s="92"/>
      <c r="BY255" s="17"/>
      <c r="BZ255" s="17"/>
      <c r="CA255" s="17"/>
      <c r="CB255" s="17"/>
      <c r="CC255" s="17"/>
      <c r="CD255" s="17"/>
    </row>
    <row r="256">
      <c r="A256" s="92"/>
      <c r="B256" s="820"/>
      <c r="O256" s="17"/>
      <c r="P256" s="17"/>
      <c r="Q256" s="17"/>
      <c r="R256" s="17"/>
      <c r="S256" s="813"/>
      <c r="T256" s="17"/>
      <c r="AX256" s="17"/>
      <c r="BB256" s="17"/>
      <c r="BE256" s="17"/>
      <c r="BF256" s="17"/>
      <c r="BG256" s="17"/>
      <c r="BH256" s="17"/>
      <c r="BI256" s="17"/>
      <c r="BJ256" s="17"/>
      <c r="BK256" s="17"/>
      <c r="BL256" s="92"/>
      <c r="BM256" s="92"/>
      <c r="BN256" s="92"/>
      <c r="BO256" s="92"/>
      <c r="BP256" s="92"/>
      <c r="BQ256" s="818"/>
      <c r="BR256" s="54"/>
      <c r="BS256" s="54"/>
      <c r="BT256" s="818"/>
      <c r="BU256" s="818"/>
      <c r="BV256" s="818"/>
      <c r="BW256" s="92"/>
      <c r="BX256" s="92"/>
      <c r="BY256" s="17"/>
      <c r="BZ256" s="17"/>
      <c r="CA256" s="17"/>
      <c r="CB256" s="17"/>
      <c r="CC256" s="17"/>
      <c r="CD256" s="17"/>
    </row>
    <row r="257">
      <c r="A257" s="92"/>
      <c r="B257" s="820"/>
      <c r="O257" s="17"/>
      <c r="P257" s="17"/>
      <c r="Q257" s="17"/>
      <c r="R257" s="17"/>
      <c r="S257" s="813"/>
      <c r="T257" s="17"/>
      <c r="AX257" s="17"/>
      <c r="BB257" s="17"/>
      <c r="BE257" s="17"/>
      <c r="BF257" s="17"/>
      <c r="BG257" s="17"/>
      <c r="BH257" s="17"/>
      <c r="BI257" s="17"/>
      <c r="BJ257" s="17"/>
      <c r="BK257" s="17"/>
      <c r="BL257" s="92"/>
      <c r="BM257" s="92"/>
      <c r="BN257" s="92"/>
      <c r="BO257" s="92"/>
      <c r="BP257" s="92"/>
      <c r="BQ257" s="818"/>
      <c r="BR257" s="54"/>
      <c r="BS257" s="54"/>
      <c r="BT257" s="818"/>
      <c r="BU257" s="818"/>
      <c r="BV257" s="818"/>
      <c r="BW257" s="92"/>
      <c r="BX257" s="92"/>
      <c r="BY257" s="17"/>
      <c r="BZ257" s="17"/>
      <c r="CA257" s="17"/>
      <c r="CB257" s="17"/>
      <c r="CC257" s="17"/>
      <c r="CD257" s="17"/>
    </row>
    <row r="258">
      <c r="A258" s="92"/>
      <c r="B258" s="820"/>
      <c r="O258" s="17"/>
      <c r="P258" s="17"/>
      <c r="Q258" s="17"/>
      <c r="R258" s="17"/>
      <c r="S258" s="813"/>
      <c r="T258" s="17"/>
      <c r="AX258" s="17"/>
      <c r="BB258" s="17"/>
      <c r="BE258" s="17"/>
      <c r="BF258" s="17"/>
      <c r="BG258" s="17"/>
      <c r="BH258" s="17"/>
      <c r="BI258" s="17"/>
      <c r="BJ258" s="17"/>
      <c r="BK258" s="17"/>
      <c r="BL258" s="92"/>
      <c r="BM258" s="92"/>
      <c r="BN258" s="92"/>
      <c r="BO258" s="92"/>
      <c r="BP258" s="92"/>
      <c r="BQ258" s="818"/>
      <c r="BR258" s="54"/>
      <c r="BS258" s="54"/>
      <c r="BT258" s="818"/>
      <c r="BU258" s="818"/>
      <c r="BV258" s="818"/>
      <c r="BW258" s="92"/>
      <c r="BX258" s="92"/>
      <c r="BY258" s="17"/>
      <c r="BZ258" s="17"/>
      <c r="CA258" s="17"/>
      <c r="CB258" s="17"/>
      <c r="CC258" s="17"/>
      <c r="CD258" s="17"/>
    </row>
    <row r="259">
      <c r="A259" s="92"/>
      <c r="B259" s="820"/>
      <c r="O259" s="17"/>
      <c r="P259" s="17"/>
      <c r="Q259" s="17"/>
      <c r="R259" s="17"/>
      <c r="S259" s="813"/>
      <c r="T259" s="17"/>
      <c r="AX259" s="17"/>
      <c r="BB259" s="17"/>
      <c r="BE259" s="17"/>
      <c r="BF259" s="17"/>
      <c r="BG259" s="17"/>
      <c r="BH259" s="17"/>
      <c r="BI259" s="17"/>
      <c r="BJ259" s="17"/>
      <c r="BK259" s="17"/>
      <c r="BL259" s="92"/>
      <c r="BM259" s="92"/>
      <c r="BN259" s="92"/>
      <c r="BO259" s="92"/>
      <c r="BP259" s="92"/>
      <c r="BQ259" s="818"/>
      <c r="BR259" s="54"/>
      <c r="BS259" s="54"/>
      <c r="BT259" s="818"/>
      <c r="BU259" s="818"/>
      <c r="BV259" s="818"/>
      <c r="BW259" s="92"/>
      <c r="BX259" s="92"/>
      <c r="BY259" s="17"/>
      <c r="BZ259" s="17"/>
      <c r="CA259" s="17"/>
      <c r="CB259" s="17"/>
      <c r="CC259" s="17"/>
      <c r="CD259" s="17"/>
    </row>
    <row r="260">
      <c r="A260" s="92"/>
      <c r="B260" s="820"/>
      <c r="O260" s="17"/>
      <c r="P260" s="17"/>
      <c r="Q260" s="17"/>
      <c r="R260" s="17"/>
      <c r="S260" s="813"/>
      <c r="T260" s="17"/>
      <c r="AX260" s="17"/>
      <c r="BB260" s="17"/>
      <c r="BE260" s="17"/>
      <c r="BF260" s="17"/>
      <c r="BG260" s="17"/>
      <c r="BH260" s="17"/>
      <c r="BI260" s="17"/>
      <c r="BJ260" s="17"/>
      <c r="BK260" s="17"/>
      <c r="BL260" s="92"/>
      <c r="BM260" s="92"/>
      <c r="BN260" s="92"/>
      <c r="BO260" s="92"/>
      <c r="BP260" s="92"/>
      <c r="BQ260" s="818"/>
      <c r="BR260" s="54"/>
      <c r="BS260" s="54"/>
      <c r="BT260" s="818"/>
      <c r="BU260" s="818"/>
      <c r="BV260" s="818"/>
      <c r="BW260" s="92"/>
      <c r="BX260" s="92"/>
      <c r="BY260" s="17"/>
      <c r="BZ260" s="17"/>
      <c r="CA260" s="17"/>
      <c r="CB260" s="17"/>
      <c r="CC260" s="17"/>
      <c r="CD260" s="17"/>
    </row>
    <row r="261">
      <c r="A261" s="92"/>
      <c r="B261" s="820"/>
      <c r="O261" s="17"/>
      <c r="P261" s="17"/>
      <c r="Q261" s="17"/>
      <c r="R261" s="17"/>
      <c r="S261" s="813"/>
      <c r="T261" s="17"/>
      <c r="AX261" s="17"/>
      <c r="BB261" s="17"/>
      <c r="BE261" s="17"/>
      <c r="BF261" s="17"/>
      <c r="BG261" s="17"/>
      <c r="BH261" s="17"/>
      <c r="BI261" s="17"/>
      <c r="BJ261" s="17"/>
      <c r="BK261" s="17"/>
      <c r="BL261" s="92"/>
      <c r="BM261" s="92"/>
      <c r="BN261" s="92"/>
      <c r="BO261" s="92"/>
      <c r="BP261" s="92"/>
      <c r="BQ261" s="818"/>
      <c r="BR261" s="54"/>
      <c r="BS261" s="54"/>
      <c r="BT261" s="818"/>
      <c r="BU261" s="818"/>
      <c r="BV261" s="818"/>
      <c r="BW261" s="92"/>
      <c r="BX261" s="92"/>
      <c r="BY261" s="17"/>
      <c r="BZ261" s="17"/>
      <c r="CA261" s="17"/>
      <c r="CB261" s="17"/>
      <c r="CC261" s="17"/>
      <c r="CD261" s="17"/>
    </row>
    <row r="262">
      <c r="A262" s="92"/>
      <c r="B262" s="820"/>
      <c r="O262" s="17"/>
      <c r="P262" s="17"/>
      <c r="Q262" s="17"/>
      <c r="R262" s="17"/>
      <c r="S262" s="813"/>
      <c r="T262" s="17"/>
      <c r="AX262" s="17"/>
      <c r="BB262" s="17"/>
      <c r="BE262" s="17"/>
      <c r="BF262" s="17"/>
      <c r="BG262" s="17"/>
      <c r="BH262" s="17"/>
      <c r="BI262" s="17"/>
      <c r="BJ262" s="17"/>
      <c r="BK262" s="17"/>
      <c r="BL262" s="92"/>
      <c r="BM262" s="92"/>
      <c r="BN262" s="92"/>
      <c r="BO262" s="92"/>
      <c r="BP262" s="92"/>
      <c r="BQ262" s="818"/>
      <c r="BR262" s="54"/>
      <c r="BS262" s="54"/>
      <c r="BT262" s="818"/>
      <c r="BU262" s="818"/>
      <c r="BV262" s="818"/>
      <c r="BW262" s="92"/>
      <c r="BX262" s="92"/>
      <c r="BY262" s="17"/>
      <c r="BZ262" s="17"/>
      <c r="CA262" s="17"/>
      <c r="CB262" s="17"/>
      <c r="CC262" s="17"/>
      <c r="CD262" s="17"/>
    </row>
    <row r="263">
      <c r="A263" s="92"/>
      <c r="B263" s="820"/>
      <c r="O263" s="17"/>
      <c r="P263" s="17"/>
      <c r="Q263" s="17"/>
      <c r="R263" s="17"/>
      <c r="S263" s="813"/>
      <c r="T263" s="17"/>
      <c r="AX263" s="17"/>
      <c r="BB263" s="17"/>
      <c r="BE263" s="17"/>
      <c r="BF263" s="17"/>
      <c r="BG263" s="17"/>
      <c r="BH263" s="17"/>
      <c r="BI263" s="17"/>
      <c r="BJ263" s="17"/>
      <c r="BK263" s="17"/>
      <c r="BL263" s="92"/>
      <c r="BM263" s="92"/>
      <c r="BN263" s="92"/>
      <c r="BO263" s="92"/>
      <c r="BP263" s="92"/>
      <c r="BQ263" s="818"/>
      <c r="BR263" s="54"/>
      <c r="BS263" s="54"/>
      <c r="BT263" s="818"/>
      <c r="BU263" s="818"/>
      <c r="BV263" s="818"/>
      <c r="BW263" s="92"/>
      <c r="BX263" s="92"/>
      <c r="BY263" s="17"/>
      <c r="BZ263" s="17"/>
      <c r="CA263" s="17"/>
      <c r="CB263" s="17"/>
      <c r="CC263" s="17"/>
      <c r="CD263" s="17"/>
    </row>
    <row r="264">
      <c r="A264" s="92"/>
      <c r="B264" s="820"/>
      <c r="O264" s="17"/>
      <c r="P264" s="17"/>
      <c r="Q264" s="17"/>
      <c r="R264" s="17"/>
      <c r="S264" s="813"/>
      <c r="T264" s="17"/>
      <c r="AX264" s="17"/>
      <c r="BB264" s="17"/>
      <c r="BE264" s="17"/>
      <c r="BF264" s="17"/>
      <c r="BG264" s="17"/>
      <c r="BH264" s="17"/>
      <c r="BI264" s="17"/>
      <c r="BJ264" s="17"/>
      <c r="BK264" s="17"/>
      <c r="BL264" s="92"/>
      <c r="BM264" s="92"/>
      <c r="BN264" s="92"/>
      <c r="BO264" s="92"/>
      <c r="BP264" s="92"/>
      <c r="BQ264" s="818"/>
      <c r="BR264" s="54"/>
      <c r="BS264" s="54"/>
      <c r="BT264" s="818"/>
      <c r="BU264" s="818"/>
      <c r="BV264" s="818"/>
      <c r="BW264" s="92"/>
      <c r="BX264" s="92"/>
      <c r="BY264" s="17"/>
      <c r="BZ264" s="17"/>
      <c r="CA264" s="17"/>
      <c r="CB264" s="17"/>
      <c r="CC264" s="17"/>
      <c r="CD264" s="17"/>
    </row>
    <row r="265">
      <c r="A265" s="92"/>
      <c r="B265" s="820"/>
      <c r="O265" s="17"/>
      <c r="P265" s="17"/>
      <c r="Q265" s="17"/>
      <c r="R265" s="17"/>
      <c r="S265" s="813"/>
      <c r="T265" s="17"/>
      <c r="AX265" s="17"/>
      <c r="BB265" s="17"/>
      <c r="BE265" s="17"/>
      <c r="BF265" s="17"/>
      <c r="BG265" s="17"/>
      <c r="BH265" s="17"/>
      <c r="BI265" s="17"/>
      <c r="BJ265" s="17"/>
      <c r="BK265" s="17"/>
      <c r="BL265" s="92"/>
      <c r="BM265" s="92"/>
      <c r="BN265" s="92"/>
      <c r="BO265" s="92"/>
      <c r="BP265" s="92"/>
      <c r="BQ265" s="818"/>
      <c r="BR265" s="54"/>
      <c r="BS265" s="54"/>
      <c r="BT265" s="818"/>
      <c r="BU265" s="818"/>
      <c r="BV265" s="818"/>
      <c r="BW265" s="92"/>
      <c r="BX265" s="92"/>
      <c r="BY265" s="17"/>
      <c r="BZ265" s="17"/>
      <c r="CA265" s="17"/>
      <c r="CB265" s="17"/>
      <c r="CC265" s="17"/>
      <c r="CD265" s="17"/>
    </row>
    <row r="266">
      <c r="A266" s="92"/>
      <c r="B266" s="820"/>
      <c r="O266" s="17"/>
      <c r="P266" s="17"/>
      <c r="Q266" s="17"/>
      <c r="R266" s="17"/>
      <c r="S266" s="813"/>
      <c r="T266" s="17"/>
      <c r="AX266" s="17"/>
      <c r="BB266" s="17"/>
      <c r="BE266" s="17"/>
      <c r="BF266" s="17"/>
      <c r="BG266" s="17"/>
      <c r="BH266" s="17"/>
      <c r="BI266" s="17"/>
      <c r="BJ266" s="17"/>
      <c r="BK266" s="17"/>
      <c r="BL266" s="92"/>
      <c r="BM266" s="92"/>
      <c r="BN266" s="92"/>
      <c r="BO266" s="92"/>
      <c r="BP266" s="92"/>
      <c r="BQ266" s="818"/>
      <c r="BR266" s="54"/>
      <c r="BS266" s="54"/>
      <c r="BT266" s="818"/>
      <c r="BU266" s="818"/>
      <c r="BV266" s="818"/>
      <c r="BW266" s="92"/>
      <c r="BX266" s="92"/>
      <c r="BY266" s="17"/>
      <c r="BZ266" s="17"/>
      <c r="CA266" s="17"/>
      <c r="CB266" s="17"/>
      <c r="CC266" s="17"/>
      <c r="CD266" s="17"/>
    </row>
    <row r="267">
      <c r="A267" s="92"/>
      <c r="B267" s="820"/>
      <c r="O267" s="17"/>
      <c r="P267" s="17"/>
      <c r="Q267" s="17"/>
      <c r="R267" s="17"/>
      <c r="S267" s="813"/>
      <c r="T267" s="17"/>
      <c r="AX267" s="17"/>
      <c r="BB267" s="17"/>
      <c r="BE267" s="17"/>
      <c r="BF267" s="17"/>
      <c r="BG267" s="17"/>
      <c r="BH267" s="17"/>
      <c r="BI267" s="17"/>
      <c r="BJ267" s="17"/>
      <c r="BK267" s="17"/>
      <c r="BL267" s="92"/>
      <c r="BM267" s="92"/>
      <c r="BN267" s="92"/>
      <c r="BO267" s="92"/>
      <c r="BP267" s="92"/>
      <c r="BQ267" s="818"/>
      <c r="BR267" s="54"/>
      <c r="BS267" s="54"/>
      <c r="BT267" s="818"/>
      <c r="BU267" s="818"/>
      <c r="BV267" s="818"/>
      <c r="BW267" s="92"/>
      <c r="BX267" s="92"/>
      <c r="BY267" s="17"/>
      <c r="BZ267" s="17"/>
      <c r="CA267" s="17"/>
      <c r="CB267" s="17"/>
      <c r="CC267" s="17"/>
      <c r="CD267" s="17"/>
    </row>
    <row r="268">
      <c r="A268" s="92"/>
      <c r="B268" s="820"/>
      <c r="O268" s="17"/>
      <c r="P268" s="17"/>
      <c r="Q268" s="17"/>
      <c r="R268" s="17"/>
      <c r="S268" s="813"/>
      <c r="T268" s="17"/>
      <c r="AX268" s="17"/>
      <c r="BB268" s="17"/>
      <c r="BE268" s="17"/>
      <c r="BF268" s="17"/>
      <c r="BG268" s="17"/>
      <c r="BH268" s="17"/>
      <c r="BI268" s="17"/>
      <c r="BJ268" s="17"/>
      <c r="BK268" s="17"/>
      <c r="BL268" s="92"/>
      <c r="BM268" s="92"/>
      <c r="BN268" s="92"/>
      <c r="BO268" s="92"/>
      <c r="BP268" s="92"/>
      <c r="BQ268" s="818"/>
      <c r="BR268" s="54"/>
      <c r="BS268" s="54"/>
      <c r="BT268" s="818"/>
      <c r="BU268" s="818"/>
      <c r="BV268" s="818"/>
      <c r="BW268" s="92"/>
      <c r="BX268" s="92"/>
      <c r="BY268" s="17"/>
      <c r="BZ268" s="17"/>
      <c r="CA268" s="17"/>
      <c r="CB268" s="17"/>
      <c r="CC268" s="17"/>
      <c r="CD268" s="17"/>
    </row>
    <row r="269">
      <c r="A269" s="92"/>
      <c r="B269" s="820"/>
      <c r="O269" s="17"/>
      <c r="P269" s="17"/>
      <c r="Q269" s="17"/>
      <c r="R269" s="17"/>
      <c r="S269" s="813"/>
      <c r="T269" s="17"/>
      <c r="AX269" s="17"/>
      <c r="BB269" s="17"/>
      <c r="BE269" s="17"/>
      <c r="BF269" s="17"/>
      <c r="BG269" s="17"/>
      <c r="BH269" s="17"/>
      <c r="BI269" s="17"/>
      <c r="BJ269" s="17"/>
      <c r="BK269" s="17"/>
      <c r="BL269" s="92"/>
      <c r="BM269" s="92"/>
      <c r="BN269" s="92"/>
      <c r="BO269" s="92"/>
      <c r="BP269" s="92"/>
      <c r="BQ269" s="818"/>
      <c r="BR269" s="54"/>
      <c r="BS269" s="54"/>
      <c r="BT269" s="818"/>
      <c r="BU269" s="818"/>
      <c r="BV269" s="818"/>
      <c r="BW269" s="92"/>
      <c r="BX269" s="92"/>
      <c r="BY269" s="17"/>
      <c r="BZ269" s="17"/>
      <c r="CA269" s="17"/>
      <c r="CB269" s="17"/>
      <c r="CC269" s="17"/>
      <c r="CD269" s="17"/>
    </row>
    <row r="270">
      <c r="A270" s="92"/>
      <c r="B270" s="820"/>
      <c r="O270" s="17"/>
      <c r="P270" s="17"/>
      <c r="Q270" s="17"/>
      <c r="R270" s="17"/>
      <c r="S270" s="813"/>
      <c r="T270" s="17"/>
      <c r="AX270" s="17"/>
      <c r="BB270" s="17"/>
      <c r="BE270" s="17"/>
      <c r="BF270" s="17"/>
      <c r="BG270" s="17"/>
      <c r="BH270" s="17"/>
      <c r="BI270" s="17"/>
      <c r="BJ270" s="17"/>
      <c r="BK270" s="17"/>
      <c r="BL270" s="92"/>
      <c r="BM270" s="92"/>
      <c r="BN270" s="92"/>
      <c r="BO270" s="92"/>
      <c r="BP270" s="92"/>
      <c r="BQ270" s="818"/>
      <c r="BR270" s="54"/>
      <c r="BS270" s="54"/>
      <c r="BT270" s="818"/>
      <c r="BU270" s="818"/>
      <c r="BV270" s="818"/>
      <c r="BW270" s="92"/>
      <c r="BX270" s="92"/>
      <c r="BY270" s="17"/>
      <c r="BZ270" s="17"/>
      <c r="CA270" s="17"/>
      <c r="CB270" s="17"/>
      <c r="CC270" s="17"/>
      <c r="CD270" s="17"/>
    </row>
    <row r="271">
      <c r="A271" s="92"/>
      <c r="B271" s="820"/>
      <c r="O271" s="17"/>
      <c r="P271" s="17"/>
      <c r="Q271" s="17"/>
      <c r="R271" s="17"/>
      <c r="S271" s="813"/>
      <c r="T271" s="17"/>
      <c r="AX271" s="17"/>
      <c r="BB271" s="17"/>
      <c r="BE271" s="17"/>
      <c r="BF271" s="17"/>
      <c r="BG271" s="17"/>
      <c r="BH271" s="17"/>
      <c r="BI271" s="17"/>
      <c r="BJ271" s="17"/>
      <c r="BK271" s="17"/>
      <c r="BL271" s="92"/>
      <c r="BM271" s="92"/>
      <c r="BN271" s="92"/>
      <c r="BO271" s="92"/>
      <c r="BP271" s="92"/>
      <c r="BQ271" s="818"/>
      <c r="BR271" s="54"/>
      <c r="BS271" s="54"/>
      <c r="BT271" s="818"/>
      <c r="BU271" s="818"/>
      <c r="BV271" s="818"/>
      <c r="BW271" s="92"/>
      <c r="BX271" s="92"/>
      <c r="BY271" s="17"/>
      <c r="BZ271" s="17"/>
      <c r="CA271" s="17"/>
      <c r="CB271" s="17"/>
      <c r="CC271" s="17"/>
      <c r="CD271" s="17"/>
    </row>
    <row r="272">
      <c r="A272" s="92"/>
      <c r="B272" s="820"/>
      <c r="O272" s="17"/>
      <c r="P272" s="17"/>
      <c r="Q272" s="17"/>
      <c r="R272" s="17"/>
      <c r="S272" s="813"/>
      <c r="T272" s="17"/>
      <c r="AX272" s="17"/>
      <c r="BB272" s="17"/>
      <c r="BE272" s="17"/>
      <c r="BF272" s="17"/>
      <c r="BG272" s="17"/>
      <c r="BH272" s="17"/>
      <c r="BI272" s="17"/>
      <c r="BJ272" s="17"/>
      <c r="BK272" s="17"/>
      <c r="BL272" s="92"/>
      <c r="BM272" s="92"/>
      <c r="BN272" s="92"/>
      <c r="BO272" s="92"/>
      <c r="BP272" s="92"/>
      <c r="BQ272" s="818"/>
      <c r="BR272" s="54"/>
      <c r="BS272" s="54"/>
      <c r="BT272" s="818"/>
      <c r="BU272" s="818"/>
      <c r="BV272" s="818"/>
      <c r="BW272" s="92"/>
      <c r="BX272" s="92"/>
      <c r="BY272" s="17"/>
      <c r="BZ272" s="17"/>
      <c r="CA272" s="17"/>
      <c r="CB272" s="17"/>
      <c r="CC272" s="17"/>
      <c r="CD272" s="17"/>
    </row>
    <row r="273">
      <c r="A273" s="92"/>
      <c r="B273" s="820"/>
      <c r="O273" s="17"/>
      <c r="P273" s="17"/>
      <c r="Q273" s="17"/>
      <c r="R273" s="17"/>
      <c r="S273" s="813"/>
      <c r="T273" s="17"/>
      <c r="AX273" s="17"/>
      <c r="BB273" s="17"/>
      <c r="BE273" s="17"/>
      <c r="BF273" s="17"/>
      <c r="BG273" s="17"/>
      <c r="BH273" s="17"/>
      <c r="BI273" s="17"/>
      <c r="BJ273" s="17"/>
      <c r="BK273" s="17"/>
      <c r="BL273" s="92"/>
      <c r="BM273" s="92"/>
      <c r="BN273" s="92"/>
      <c r="BO273" s="92"/>
      <c r="BP273" s="92"/>
      <c r="BQ273" s="818"/>
      <c r="BR273" s="54"/>
      <c r="BS273" s="54"/>
      <c r="BT273" s="818"/>
      <c r="BU273" s="818"/>
      <c r="BV273" s="818"/>
      <c r="BW273" s="92"/>
      <c r="BX273" s="92"/>
      <c r="BY273" s="17"/>
      <c r="BZ273" s="17"/>
      <c r="CA273" s="17"/>
      <c r="CB273" s="17"/>
      <c r="CC273" s="17"/>
      <c r="CD273" s="17"/>
    </row>
    <row r="274">
      <c r="A274" s="92"/>
      <c r="B274" s="820"/>
      <c r="O274" s="17"/>
      <c r="P274" s="17"/>
      <c r="Q274" s="17"/>
      <c r="R274" s="17"/>
      <c r="S274" s="813"/>
      <c r="T274" s="17"/>
      <c r="AX274" s="17"/>
      <c r="BB274" s="17"/>
      <c r="BE274" s="17"/>
      <c r="BF274" s="17"/>
      <c r="BG274" s="17"/>
      <c r="BH274" s="17"/>
      <c r="BI274" s="17"/>
      <c r="BJ274" s="17"/>
      <c r="BK274" s="17"/>
      <c r="BL274" s="92"/>
      <c r="BM274" s="92"/>
      <c r="BN274" s="92"/>
      <c r="BO274" s="92"/>
      <c r="BP274" s="92"/>
      <c r="BQ274" s="818"/>
      <c r="BR274" s="54"/>
      <c r="BS274" s="54"/>
      <c r="BT274" s="818"/>
      <c r="BU274" s="818"/>
      <c r="BV274" s="818"/>
      <c r="BW274" s="92"/>
      <c r="BX274" s="92"/>
      <c r="BY274" s="17"/>
      <c r="BZ274" s="17"/>
      <c r="CA274" s="17"/>
      <c r="CB274" s="17"/>
      <c r="CC274" s="17"/>
      <c r="CD274" s="17"/>
    </row>
    <row r="275">
      <c r="A275" s="92"/>
      <c r="B275" s="820"/>
      <c r="O275" s="17"/>
      <c r="P275" s="17"/>
      <c r="Q275" s="17"/>
      <c r="R275" s="17"/>
      <c r="S275" s="813"/>
      <c r="T275" s="17"/>
      <c r="AX275" s="17"/>
      <c r="BB275" s="17"/>
      <c r="BE275" s="17"/>
      <c r="BF275" s="17"/>
      <c r="BG275" s="17"/>
      <c r="BH275" s="17"/>
      <c r="BI275" s="17"/>
      <c r="BJ275" s="17"/>
      <c r="BK275" s="17"/>
      <c r="BL275" s="92"/>
      <c r="BM275" s="92"/>
      <c r="BN275" s="92"/>
      <c r="BO275" s="92"/>
      <c r="BP275" s="92"/>
      <c r="BQ275" s="818"/>
      <c r="BR275" s="54"/>
      <c r="BS275" s="54"/>
      <c r="BT275" s="818"/>
      <c r="BU275" s="818"/>
      <c r="BV275" s="818"/>
      <c r="BW275" s="92"/>
      <c r="BX275" s="92"/>
      <c r="BY275" s="17"/>
      <c r="BZ275" s="17"/>
      <c r="CA275" s="17"/>
      <c r="CB275" s="17"/>
      <c r="CC275" s="17"/>
      <c r="CD275" s="17"/>
    </row>
    <row r="276">
      <c r="A276" s="92"/>
      <c r="B276" s="820"/>
      <c r="O276" s="17"/>
      <c r="P276" s="17"/>
      <c r="Q276" s="17"/>
      <c r="R276" s="17"/>
      <c r="S276" s="813"/>
      <c r="T276" s="17"/>
      <c r="AX276" s="17"/>
      <c r="BB276" s="17"/>
      <c r="BE276" s="17"/>
      <c r="BF276" s="17"/>
      <c r="BG276" s="17"/>
      <c r="BH276" s="17"/>
      <c r="BI276" s="17"/>
      <c r="BJ276" s="17"/>
      <c r="BK276" s="17"/>
      <c r="BL276" s="92"/>
      <c r="BM276" s="92"/>
      <c r="BN276" s="92"/>
      <c r="BO276" s="92"/>
      <c r="BP276" s="92"/>
      <c r="BQ276" s="818"/>
      <c r="BR276" s="54"/>
      <c r="BS276" s="54"/>
      <c r="BT276" s="818"/>
      <c r="BU276" s="818"/>
      <c r="BV276" s="818"/>
      <c r="BW276" s="92"/>
      <c r="BX276" s="92"/>
      <c r="BY276" s="17"/>
      <c r="BZ276" s="17"/>
      <c r="CA276" s="17"/>
      <c r="CB276" s="17"/>
      <c r="CC276" s="17"/>
      <c r="CD276" s="17"/>
    </row>
    <row r="277">
      <c r="A277" s="92"/>
      <c r="B277" s="820"/>
      <c r="O277" s="17"/>
      <c r="P277" s="17"/>
      <c r="Q277" s="17"/>
      <c r="R277" s="17"/>
      <c r="S277" s="813"/>
      <c r="T277" s="17"/>
      <c r="AX277" s="17"/>
      <c r="BB277" s="17"/>
      <c r="BE277" s="17"/>
      <c r="BF277" s="17"/>
      <c r="BG277" s="17"/>
      <c r="BH277" s="17"/>
      <c r="BI277" s="17"/>
      <c r="BJ277" s="17"/>
      <c r="BK277" s="17"/>
      <c r="BL277" s="92"/>
      <c r="BM277" s="92"/>
      <c r="BN277" s="92"/>
      <c r="BO277" s="92"/>
      <c r="BP277" s="92"/>
      <c r="BQ277" s="818"/>
      <c r="BR277" s="54"/>
      <c r="BS277" s="54"/>
      <c r="BT277" s="818"/>
      <c r="BU277" s="818"/>
      <c r="BV277" s="818"/>
      <c r="BW277" s="92"/>
      <c r="BX277" s="92"/>
      <c r="BY277" s="17"/>
      <c r="BZ277" s="17"/>
      <c r="CA277" s="17"/>
      <c r="CB277" s="17"/>
      <c r="CC277" s="17"/>
      <c r="CD277" s="17"/>
    </row>
    <row r="278">
      <c r="A278" s="92"/>
      <c r="B278" s="820"/>
      <c r="O278" s="17"/>
      <c r="P278" s="17"/>
      <c r="Q278" s="17"/>
      <c r="R278" s="17"/>
      <c r="S278" s="813"/>
      <c r="T278" s="17"/>
      <c r="AX278" s="17"/>
      <c r="BB278" s="17"/>
      <c r="BE278" s="17"/>
      <c r="BF278" s="17"/>
      <c r="BG278" s="17"/>
      <c r="BH278" s="17"/>
      <c r="BI278" s="17"/>
      <c r="BJ278" s="17"/>
      <c r="BK278" s="17"/>
      <c r="BL278" s="92"/>
      <c r="BM278" s="92"/>
      <c r="BN278" s="92"/>
      <c r="BO278" s="92"/>
      <c r="BP278" s="92"/>
      <c r="BQ278" s="818"/>
      <c r="BR278" s="54"/>
      <c r="BS278" s="54"/>
      <c r="BT278" s="818"/>
      <c r="BU278" s="818"/>
      <c r="BV278" s="818"/>
      <c r="BW278" s="92"/>
      <c r="BX278" s="92"/>
      <c r="BY278" s="17"/>
      <c r="BZ278" s="17"/>
      <c r="CA278" s="17"/>
      <c r="CB278" s="17"/>
      <c r="CC278" s="17"/>
      <c r="CD278" s="17"/>
    </row>
    <row r="279">
      <c r="A279" s="92"/>
      <c r="B279" s="820"/>
      <c r="O279" s="17"/>
      <c r="P279" s="17"/>
      <c r="Q279" s="17"/>
      <c r="R279" s="17"/>
      <c r="S279" s="813"/>
      <c r="T279" s="17"/>
      <c r="AX279" s="17"/>
      <c r="BB279" s="17"/>
      <c r="BE279" s="17"/>
      <c r="BF279" s="17"/>
      <c r="BG279" s="17"/>
      <c r="BH279" s="17"/>
      <c r="BI279" s="17"/>
      <c r="BJ279" s="17"/>
      <c r="BK279" s="17"/>
      <c r="BL279" s="92"/>
      <c r="BM279" s="92"/>
      <c r="BN279" s="92"/>
      <c r="BO279" s="92"/>
      <c r="BP279" s="92"/>
      <c r="BQ279" s="818"/>
      <c r="BR279" s="54"/>
      <c r="BS279" s="54"/>
      <c r="BT279" s="818"/>
      <c r="BU279" s="818"/>
      <c r="BV279" s="818"/>
      <c r="BW279" s="92"/>
      <c r="BX279" s="92"/>
      <c r="BY279" s="17"/>
      <c r="BZ279" s="17"/>
      <c r="CA279" s="17"/>
      <c r="CB279" s="17"/>
      <c r="CC279" s="17"/>
      <c r="CD279" s="17"/>
    </row>
    <row r="280">
      <c r="A280" s="92"/>
      <c r="B280" s="820"/>
      <c r="O280" s="17"/>
      <c r="P280" s="17"/>
      <c r="Q280" s="17"/>
      <c r="R280" s="17"/>
      <c r="S280" s="813"/>
      <c r="T280" s="17"/>
      <c r="AX280" s="17"/>
      <c r="BB280" s="17"/>
      <c r="BE280" s="17"/>
      <c r="BF280" s="17"/>
      <c r="BG280" s="17"/>
      <c r="BH280" s="17"/>
      <c r="BI280" s="17"/>
      <c r="BJ280" s="17"/>
      <c r="BK280" s="17"/>
      <c r="BL280" s="92"/>
      <c r="BM280" s="92"/>
      <c r="BN280" s="92"/>
      <c r="BO280" s="92"/>
      <c r="BP280" s="92"/>
      <c r="BQ280" s="818"/>
      <c r="BR280" s="54"/>
      <c r="BS280" s="54"/>
      <c r="BT280" s="818"/>
      <c r="BU280" s="818"/>
      <c r="BV280" s="818"/>
      <c r="BW280" s="92"/>
      <c r="BX280" s="92"/>
      <c r="BY280" s="17"/>
      <c r="BZ280" s="17"/>
      <c r="CA280" s="17"/>
      <c r="CB280" s="17"/>
      <c r="CC280" s="17"/>
      <c r="CD280" s="17"/>
    </row>
    <row r="281">
      <c r="A281" s="92"/>
      <c r="B281" s="820"/>
      <c r="O281" s="17"/>
      <c r="P281" s="17"/>
      <c r="Q281" s="17"/>
      <c r="R281" s="17"/>
      <c r="S281" s="813"/>
      <c r="T281" s="17"/>
      <c r="AX281" s="17"/>
      <c r="BB281" s="17"/>
      <c r="BE281" s="17"/>
      <c r="BF281" s="17"/>
      <c r="BG281" s="17"/>
      <c r="BH281" s="17"/>
      <c r="BI281" s="17"/>
      <c r="BJ281" s="17"/>
      <c r="BK281" s="17"/>
      <c r="BL281" s="92"/>
      <c r="BM281" s="92"/>
      <c r="BN281" s="92"/>
      <c r="BO281" s="92"/>
      <c r="BP281" s="92"/>
      <c r="BQ281" s="818"/>
      <c r="BR281" s="54"/>
      <c r="BS281" s="54"/>
      <c r="BT281" s="818"/>
      <c r="BU281" s="818"/>
      <c r="BV281" s="818"/>
      <c r="BW281" s="92"/>
      <c r="BX281" s="92"/>
      <c r="BY281" s="17"/>
      <c r="BZ281" s="17"/>
      <c r="CA281" s="17"/>
      <c r="CB281" s="17"/>
      <c r="CC281" s="17"/>
      <c r="CD281" s="17"/>
    </row>
    <row r="282">
      <c r="A282" s="92"/>
      <c r="B282" s="820"/>
      <c r="O282" s="17"/>
      <c r="P282" s="17"/>
      <c r="Q282" s="17"/>
      <c r="R282" s="17"/>
      <c r="S282" s="813"/>
      <c r="T282" s="17"/>
      <c r="AX282" s="17"/>
      <c r="BB282" s="17"/>
      <c r="BE282" s="17"/>
      <c r="BF282" s="17"/>
      <c r="BG282" s="17"/>
      <c r="BH282" s="17"/>
      <c r="BI282" s="17"/>
      <c r="BJ282" s="17"/>
      <c r="BK282" s="17"/>
      <c r="BL282" s="92"/>
      <c r="BM282" s="92"/>
      <c r="BN282" s="92"/>
      <c r="BO282" s="92"/>
      <c r="BP282" s="92"/>
      <c r="BQ282" s="818"/>
      <c r="BR282" s="54"/>
      <c r="BS282" s="54"/>
      <c r="BT282" s="818"/>
      <c r="BU282" s="818"/>
      <c r="BV282" s="818"/>
      <c r="BW282" s="92"/>
      <c r="BX282" s="92"/>
      <c r="BY282" s="17"/>
      <c r="BZ282" s="17"/>
      <c r="CA282" s="17"/>
      <c r="CB282" s="17"/>
      <c r="CC282" s="17"/>
      <c r="CD282" s="17"/>
    </row>
    <row r="283">
      <c r="A283" s="92"/>
      <c r="B283" s="820"/>
      <c r="O283" s="17"/>
      <c r="P283" s="17"/>
      <c r="Q283" s="17"/>
      <c r="R283" s="17"/>
      <c r="S283" s="813"/>
      <c r="T283" s="17"/>
      <c r="AX283" s="17"/>
      <c r="BB283" s="17"/>
      <c r="BE283" s="17"/>
      <c r="BF283" s="17"/>
      <c r="BG283" s="17"/>
      <c r="BH283" s="17"/>
      <c r="BI283" s="17"/>
      <c r="BJ283" s="17"/>
      <c r="BK283" s="17"/>
      <c r="BL283" s="92"/>
      <c r="BM283" s="92"/>
      <c r="BN283" s="92"/>
      <c r="BO283" s="92"/>
      <c r="BP283" s="92"/>
      <c r="BQ283" s="818"/>
      <c r="BR283" s="54"/>
      <c r="BS283" s="54"/>
      <c r="BT283" s="818"/>
      <c r="BU283" s="818"/>
      <c r="BV283" s="818"/>
      <c r="BW283" s="92"/>
      <c r="BX283" s="92"/>
      <c r="BY283" s="17"/>
      <c r="BZ283" s="17"/>
      <c r="CA283" s="17"/>
      <c r="CB283" s="17"/>
      <c r="CC283" s="17"/>
      <c r="CD283" s="17"/>
    </row>
    <row r="284">
      <c r="A284" s="92"/>
      <c r="B284" s="820"/>
      <c r="O284" s="17"/>
      <c r="P284" s="17"/>
      <c r="Q284" s="17"/>
      <c r="R284" s="17"/>
      <c r="S284" s="813"/>
      <c r="T284" s="17"/>
      <c r="AX284" s="17"/>
      <c r="BB284" s="17"/>
      <c r="BE284" s="17"/>
      <c r="BF284" s="17"/>
      <c r="BG284" s="17"/>
      <c r="BH284" s="17"/>
      <c r="BI284" s="17"/>
      <c r="BJ284" s="17"/>
      <c r="BK284" s="17"/>
      <c r="BL284" s="92"/>
      <c r="BM284" s="92"/>
      <c r="BN284" s="92"/>
      <c r="BO284" s="92"/>
      <c r="BP284" s="92"/>
      <c r="BQ284" s="818"/>
      <c r="BR284" s="54"/>
      <c r="BS284" s="54"/>
      <c r="BT284" s="818"/>
      <c r="BU284" s="818"/>
      <c r="BV284" s="818"/>
      <c r="BW284" s="92"/>
      <c r="BX284" s="92"/>
      <c r="BY284" s="17"/>
      <c r="BZ284" s="17"/>
      <c r="CA284" s="17"/>
      <c r="CB284" s="17"/>
      <c r="CC284" s="17"/>
      <c r="CD284" s="17"/>
    </row>
    <row r="285">
      <c r="A285" s="92"/>
      <c r="B285" s="820"/>
      <c r="O285" s="17"/>
      <c r="P285" s="17"/>
      <c r="Q285" s="17"/>
      <c r="R285" s="17"/>
      <c r="S285" s="813"/>
      <c r="T285" s="17"/>
      <c r="AX285" s="17"/>
      <c r="BB285" s="17"/>
      <c r="BE285" s="17"/>
      <c r="BF285" s="17"/>
      <c r="BG285" s="17"/>
      <c r="BH285" s="17"/>
      <c r="BI285" s="17"/>
      <c r="BJ285" s="17"/>
      <c r="BK285" s="17"/>
      <c r="BL285" s="92"/>
      <c r="BM285" s="92"/>
      <c r="BN285" s="92"/>
      <c r="BO285" s="92"/>
      <c r="BP285" s="92"/>
      <c r="BQ285" s="818"/>
      <c r="BR285" s="54"/>
      <c r="BS285" s="54"/>
      <c r="BT285" s="818"/>
      <c r="BU285" s="818"/>
      <c r="BV285" s="818"/>
      <c r="BW285" s="92"/>
      <c r="BX285" s="92"/>
      <c r="BY285" s="17"/>
      <c r="BZ285" s="17"/>
      <c r="CA285" s="17"/>
      <c r="CB285" s="17"/>
      <c r="CC285" s="17"/>
      <c r="CD285" s="17"/>
    </row>
    <row r="286">
      <c r="A286" s="92"/>
      <c r="B286" s="820"/>
      <c r="O286" s="17"/>
      <c r="P286" s="17"/>
      <c r="Q286" s="17"/>
      <c r="R286" s="17"/>
      <c r="S286" s="813"/>
      <c r="T286" s="17"/>
      <c r="AX286" s="17"/>
      <c r="BB286" s="17"/>
      <c r="BE286" s="17"/>
      <c r="BF286" s="17"/>
      <c r="BG286" s="17"/>
      <c r="BH286" s="17"/>
      <c r="BI286" s="17"/>
      <c r="BJ286" s="17"/>
      <c r="BK286" s="17"/>
      <c r="BL286" s="92"/>
      <c r="BM286" s="92"/>
      <c r="BN286" s="92"/>
      <c r="BO286" s="92"/>
      <c r="BP286" s="92"/>
      <c r="BQ286" s="818"/>
      <c r="BR286" s="54"/>
      <c r="BS286" s="54"/>
      <c r="BT286" s="818"/>
      <c r="BU286" s="818"/>
      <c r="BV286" s="818"/>
      <c r="BW286" s="92"/>
      <c r="BX286" s="92"/>
      <c r="BY286" s="17"/>
      <c r="BZ286" s="17"/>
      <c r="CA286" s="17"/>
      <c r="CB286" s="17"/>
      <c r="CC286" s="17"/>
      <c r="CD286" s="17"/>
    </row>
    <row r="287">
      <c r="A287" s="92"/>
      <c r="B287" s="820"/>
      <c r="O287" s="17"/>
      <c r="P287" s="17"/>
      <c r="Q287" s="17"/>
      <c r="R287" s="17"/>
      <c r="S287" s="813"/>
      <c r="T287" s="17"/>
      <c r="AX287" s="17"/>
      <c r="BB287" s="17"/>
      <c r="BE287" s="17"/>
      <c r="BF287" s="17"/>
      <c r="BG287" s="17"/>
      <c r="BH287" s="17"/>
      <c r="BI287" s="17"/>
      <c r="BJ287" s="17"/>
      <c r="BK287" s="17"/>
      <c r="BL287" s="92"/>
      <c r="BM287" s="92"/>
      <c r="BN287" s="92"/>
      <c r="BO287" s="92"/>
      <c r="BP287" s="92"/>
      <c r="BQ287" s="818"/>
      <c r="BR287" s="54"/>
      <c r="BS287" s="54"/>
      <c r="BT287" s="818"/>
      <c r="BU287" s="818"/>
      <c r="BV287" s="818"/>
      <c r="BW287" s="92"/>
      <c r="BX287" s="92"/>
      <c r="BY287" s="17"/>
      <c r="BZ287" s="17"/>
      <c r="CA287" s="17"/>
      <c r="CB287" s="17"/>
      <c r="CC287" s="17"/>
      <c r="CD287" s="17"/>
    </row>
    <row r="288">
      <c r="A288" s="92"/>
      <c r="B288" s="820"/>
      <c r="O288" s="17"/>
      <c r="P288" s="17"/>
      <c r="Q288" s="17"/>
      <c r="R288" s="17"/>
      <c r="S288" s="813"/>
      <c r="T288" s="17"/>
      <c r="AX288" s="17"/>
      <c r="BB288" s="17"/>
      <c r="BE288" s="17"/>
      <c r="BF288" s="17"/>
      <c r="BG288" s="17"/>
      <c r="BH288" s="17"/>
      <c r="BI288" s="17"/>
      <c r="BJ288" s="17"/>
      <c r="BK288" s="17"/>
      <c r="BL288" s="92"/>
      <c r="BM288" s="92"/>
      <c r="BN288" s="92"/>
      <c r="BO288" s="92"/>
      <c r="BP288" s="92"/>
      <c r="BQ288" s="818"/>
      <c r="BR288" s="54"/>
      <c r="BS288" s="54"/>
      <c r="BT288" s="818"/>
      <c r="BU288" s="818"/>
      <c r="BV288" s="818"/>
      <c r="BW288" s="92"/>
      <c r="BX288" s="92"/>
      <c r="BY288" s="17"/>
      <c r="BZ288" s="17"/>
      <c r="CA288" s="17"/>
      <c r="CB288" s="17"/>
      <c r="CC288" s="17"/>
      <c r="CD288" s="17"/>
    </row>
    <row r="289">
      <c r="A289" s="92"/>
      <c r="B289" s="820"/>
      <c r="O289" s="17"/>
      <c r="P289" s="17"/>
      <c r="Q289" s="17"/>
      <c r="R289" s="17"/>
      <c r="S289" s="813"/>
      <c r="T289" s="17"/>
      <c r="AX289" s="17"/>
      <c r="BB289" s="17"/>
      <c r="BE289" s="17"/>
      <c r="BF289" s="17"/>
      <c r="BG289" s="17"/>
      <c r="BH289" s="17"/>
      <c r="BI289" s="17"/>
      <c r="BJ289" s="17"/>
      <c r="BK289" s="17"/>
      <c r="BL289" s="92"/>
      <c r="BM289" s="92"/>
      <c r="BN289" s="92"/>
      <c r="BO289" s="92"/>
      <c r="BP289" s="92"/>
      <c r="BQ289" s="818"/>
      <c r="BR289" s="54"/>
      <c r="BS289" s="54"/>
      <c r="BT289" s="818"/>
      <c r="BU289" s="818"/>
      <c r="BV289" s="818"/>
      <c r="BW289" s="92"/>
      <c r="BX289" s="92"/>
      <c r="BY289" s="17"/>
      <c r="BZ289" s="17"/>
      <c r="CA289" s="17"/>
      <c r="CB289" s="17"/>
      <c r="CC289" s="17"/>
      <c r="CD289" s="17"/>
    </row>
    <row r="290">
      <c r="A290" s="92"/>
      <c r="B290" s="820"/>
      <c r="O290" s="17"/>
      <c r="P290" s="17"/>
      <c r="Q290" s="17"/>
      <c r="R290" s="17"/>
      <c r="S290" s="813"/>
      <c r="T290" s="17"/>
      <c r="AX290" s="17"/>
      <c r="BB290" s="17"/>
      <c r="BE290" s="17"/>
      <c r="BF290" s="17"/>
      <c r="BG290" s="17"/>
      <c r="BH290" s="17"/>
      <c r="BI290" s="17"/>
      <c r="BJ290" s="17"/>
      <c r="BK290" s="17"/>
      <c r="BL290" s="92"/>
      <c r="BM290" s="92"/>
      <c r="BN290" s="92"/>
      <c r="BO290" s="92"/>
      <c r="BP290" s="92"/>
      <c r="BQ290" s="818"/>
      <c r="BR290" s="54"/>
      <c r="BS290" s="54"/>
      <c r="BT290" s="818"/>
      <c r="BU290" s="818"/>
      <c r="BV290" s="818"/>
      <c r="BW290" s="92"/>
      <c r="BX290" s="92"/>
      <c r="BY290" s="17"/>
      <c r="BZ290" s="17"/>
      <c r="CA290" s="17"/>
      <c r="CB290" s="17"/>
      <c r="CC290" s="17"/>
      <c r="CD290" s="17"/>
    </row>
    <row r="291">
      <c r="A291" s="92"/>
      <c r="B291" s="820"/>
      <c r="O291" s="17"/>
      <c r="P291" s="17"/>
      <c r="Q291" s="17"/>
      <c r="R291" s="17"/>
      <c r="S291" s="813"/>
      <c r="T291" s="17"/>
      <c r="AX291" s="17"/>
      <c r="BB291" s="17"/>
      <c r="BE291" s="17"/>
      <c r="BF291" s="17"/>
      <c r="BG291" s="17"/>
      <c r="BH291" s="17"/>
      <c r="BI291" s="17"/>
      <c r="BJ291" s="17"/>
      <c r="BK291" s="17"/>
      <c r="BL291" s="92"/>
      <c r="BM291" s="92"/>
      <c r="BN291" s="92"/>
      <c r="BO291" s="92"/>
      <c r="BP291" s="92"/>
      <c r="BQ291" s="818"/>
      <c r="BR291" s="54"/>
      <c r="BS291" s="54"/>
      <c r="BT291" s="818"/>
      <c r="BU291" s="818"/>
      <c r="BV291" s="818"/>
      <c r="BW291" s="92"/>
      <c r="BX291" s="92"/>
      <c r="BY291" s="17"/>
      <c r="BZ291" s="17"/>
      <c r="CA291" s="17"/>
      <c r="CB291" s="17"/>
      <c r="CC291" s="17"/>
      <c r="CD291" s="17"/>
    </row>
    <row r="292">
      <c r="A292" s="92"/>
      <c r="B292" s="820"/>
      <c r="O292" s="17"/>
      <c r="P292" s="17"/>
      <c r="Q292" s="17"/>
      <c r="R292" s="17"/>
      <c r="S292" s="813"/>
      <c r="T292" s="17"/>
      <c r="AX292" s="17"/>
      <c r="BB292" s="17"/>
      <c r="BE292" s="17"/>
      <c r="BF292" s="17"/>
      <c r="BG292" s="17"/>
      <c r="BH292" s="17"/>
      <c r="BI292" s="17"/>
      <c r="BJ292" s="17"/>
      <c r="BK292" s="17"/>
      <c r="BL292" s="92"/>
      <c r="BM292" s="92"/>
      <c r="BN292" s="92"/>
      <c r="BO292" s="92"/>
      <c r="BP292" s="92"/>
      <c r="BQ292" s="818"/>
      <c r="BR292" s="54"/>
      <c r="BS292" s="54"/>
      <c r="BT292" s="818"/>
      <c r="BU292" s="818"/>
      <c r="BV292" s="818"/>
      <c r="BW292" s="92"/>
      <c r="BX292" s="92"/>
      <c r="BY292" s="17"/>
      <c r="BZ292" s="17"/>
      <c r="CA292" s="17"/>
      <c r="CB292" s="17"/>
      <c r="CC292" s="17"/>
      <c r="CD292" s="17"/>
    </row>
    <row r="293">
      <c r="A293" s="92"/>
      <c r="B293" s="820"/>
      <c r="O293" s="17"/>
      <c r="P293" s="17"/>
      <c r="Q293" s="17"/>
      <c r="R293" s="17"/>
      <c r="S293" s="813"/>
      <c r="T293" s="17"/>
      <c r="AX293" s="17"/>
      <c r="BB293" s="17"/>
      <c r="BE293" s="17"/>
      <c r="BF293" s="17"/>
      <c r="BG293" s="17"/>
      <c r="BH293" s="17"/>
      <c r="BI293" s="17"/>
      <c r="BJ293" s="17"/>
      <c r="BK293" s="17"/>
      <c r="BL293" s="92"/>
      <c r="BM293" s="92"/>
      <c r="BN293" s="92"/>
      <c r="BO293" s="92"/>
      <c r="BP293" s="92"/>
      <c r="BQ293" s="818"/>
      <c r="BR293" s="54"/>
      <c r="BS293" s="54"/>
      <c r="BT293" s="818"/>
      <c r="BU293" s="818"/>
      <c r="BV293" s="818"/>
      <c r="BW293" s="92"/>
      <c r="BX293" s="92"/>
      <c r="BY293" s="17"/>
      <c r="BZ293" s="17"/>
      <c r="CA293" s="17"/>
      <c r="CB293" s="17"/>
      <c r="CC293" s="17"/>
      <c r="CD293" s="17"/>
    </row>
    <row r="294">
      <c r="A294" s="92"/>
      <c r="B294" s="820"/>
      <c r="O294" s="17"/>
      <c r="P294" s="17"/>
      <c r="Q294" s="17"/>
      <c r="R294" s="17"/>
      <c r="S294" s="813"/>
      <c r="T294" s="17"/>
      <c r="AX294" s="17"/>
      <c r="BB294" s="17"/>
      <c r="BE294" s="17"/>
      <c r="BF294" s="17"/>
      <c r="BG294" s="17"/>
      <c r="BH294" s="17"/>
      <c r="BI294" s="17"/>
      <c r="BJ294" s="17"/>
      <c r="BK294" s="17"/>
      <c r="BL294" s="92"/>
      <c r="BM294" s="92"/>
      <c r="BN294" s="92"/>
      <c r="BO294" s="92"/>
      <c r="BP294" s="92"/>
      <c r="BQ294" s="818"/>
      <c r="BR294" s="54"/>
      <c r="BS294" s="54"/>
      <c r="BT294" s="818"/>
      <c r="BU294" s="818"/>
      <c r="BV294" s="818"/>
      <c r="BW294" s="92"/>
      <c r="BX294" s="92"/>
      <c r="BY294" s="17"/>
      <c r="BZ294" s="17"/>
      <c r="CA294" s="17"/>
      <c r="CB294" s="17"/>
      <c r="CC294" s="17"/>
      <c r="CD294" s="17"/>
    </row>
    <row r="295">
      <c r="A295" s="92"/>
      <c r="B295" s="820"/>
      <c r="O295" s="17"/>
      <c r="P295" s="17"/>
      <c r="Q295" s="17"/>
      <c r="R295" s="17"/>
      <c r="S295" s="813"/>
      <c r="T295" s="17"/>
      <c r="AX295" s="17"/>
      <c r="BB295" s="17"/>
      <c r="BE295" s="17"/>
      <c r="BF295" s="17"/>
      <c r="BG295" s="17"/>
      <c r="BH295" s="17"/>
      <c r="BI295" s="17"/>
      <c r="BJ295" s="17"/>
      <c r="BK295" s="17"/>
      <c r="BL295" s="92"/>
      <c r="BM295" s="92"/>
      <c r="BN295" s="92"/>
      <c r="BO295" s="92"/>
      <c r="BP295" s="92"/>
      <c r="BQ295" s="818"/>
      <c r="BR295" s="54"/>
      <c r="BS295" s="54"/>
      <c r="BT295" s="818"/>
      <c r="BU295" s="818"/>
      <c r="BV295" s="818"/>
      <c r="BW295" s="92"/>
      <c r="BX295" s="92"/>
      <c r="BY295" s="17"/>
      <c r="BZ295" s="17"/>
      <c r="CA295" s="17"/>
      <c r="CB295" s="17"/>
      <c r="CC295" s="17"/>
      <c r="CD295" s="17"/>
    </row>
    <row r="296">
      <c r="A296" s="92"/>
      <c r="B296" s="820"/>
      <c r="O296" s="17"/>
      <c r="P296" s="17"/>
      <c r="Q296" s="17"/>
      <c r="R296" s="17"/>
      <c r="S296" s="813"/>
      <c r="T296" s="17"/>
      <c r="AX296" s="17"/>
      <c r="BB296" s="17"/>
      <c r="BE296" s="17"/>
      <c r="BF296" s="17"/>
      <c r="BG296" s="17"/>
      <c r="BH296" s="17"/>
      <c r="BI296" s="17"/>
      <c r="BJ296" s="17"/>
      <c r="BK296" s="17"/>
      <c r="BL296" s="92"/>
      <c r="BM296" s="92"/>
      <c r="BN296" s="92"/>
      <c r="BO296" s="92"/>
      <c r="BP296" s="92"/>
      <c r="BQ296" s="818"/>
      <c r="BR296" s="54"/>
      <c r="BS296" s="54"/>
      <c r="BT296" s="818"/>
      <c r="BU296" s="818"/>
      <c r="BV296" s="818"/>
      <c r="BW296" s="92"/>
      <c r="BX296" s="92"/>
      <c r="BY296" s="17"/>
      <c r="BZ296" s="17"/>
      <c r="CA296" s="17"/>
      <c r="CB296" s="17"/>
      <c r="CC296" s="17"/>
      <c r="CD296" s="17"/>
    </row>
    <row r="297">
      <c r="A297" s="92"/>
      <c r="B297" s="820"/>
      <c r="O297" s="17"/>
      <c r="P297" s="17"/>
      <c r="Q297" s="17"/>
      <c r="R297" s="17"/>
      <c r="S297" s="813"/>
      <c r="T297" s="17"/>
      <c r="AX297" s="17"/>
      <c r="BB297" s="17"/>
      <c r="BE297" s="17"/>
      <c r="BF297" s="17"/>
      <c r="BG297" s="17"/>
      <c r="BH297" s="17"/>
      <c r="BI297" s="17"/>
      <c r="BJ297" s="17"/>
      <c r="BK297" s="17"/>
      <c r="BL297" s="92"/>
      <c r="BM297" s="92"/>
      <c r="BN297" s="92"/>
      <c r="BO297" s="92"/>
      <c r="BP297" s="92"/>
      <c r="BQ297" s="818"/>
      <c r="BR297" s="54"/>
      <c r="BS297" s="54"/>
      <c r="BT297" s="818"/>
      <c r="BU297" s="818"/>
      <c r="BV297" s="818"/>
      <c r="BW297" s="92"/>
      <c r="BX297" s="92"/>
      <c r="BY297" s="17"/>
      <c r="BZ297" s="17"/>
      <c r="CA297" s="17"/>
      <c r="CB297" s="17"/>
      <c r="CC297" s="17"/>
      <c r="CD297" s="17"/>
    </row>
    <row r="298">
      <c r="A298" s="92"/>
      <c r="B298" s="820"/>
      <c r="O298" s="17"/>
      <c r="P298" s="17"/>
      <c r="Q298" s="17"/>
      <c r="R298" s="17"/>
      <c r="S298" s="813"/>
      <c r="T298" s="17"/>
      <c r="AX298" s="17"/>
      <c r="BB298" s="17"/>
      <c r="BE298" s="17"/>
      <c r="BF298" s="17"/>
      <c r="BG298" s="17"/>
      <c r="BH298" s="17"/>
      <c r="BI298" s="17"/>
      <c r="BJ298" s="17"/>
      <c r="BK298" s="17"/>
      <c r="BL298" s="92"/>
      <c r="BM298" s="92"/>
      <c r="BN298" s="92"/>
      <c r="BO298" s="92"/>
      <c r="BP298" s="92"/>
      <c r="BQ298" s="818"/>
      <c r="BR298" s="54"/>
      <c r="BS298" s="54"/>
      <c r="BT298" s="818"/>
      <c r="BU298" s="818"/>
      <c r="BV298" s="818"/>
      <c r="BW298" s="92"/>
      <c r="BX298" s="92"/>
      <c r="BY298" s="17"/>
      <c r="BZ298" s="17"/>
      <c r="CA298" s="17"/>
      <c r="CB298" s="17"/>
      <c r="CC298" s="17"/>
      <c r="CD298" s="17"/>
    </row>
    <row r="299">
      <c r="A299" s="92"/>
      <c r="B299" s="820"/>
      <c r="O299" s="17"/>
      <c r="P299" s="17"/>
      <c r="Q299" s="17"/>
      <c r="R299" s="17"/>
      <c r="S299" s="813"/>
      <c r="T299" s="17"/>
      <c r="AX299" s="17"/>
      <c r="BB299" s="17"/>
      <c r="BE299" s="17"/>
      <c r="BF299" s="17"/>
      <c r="BG299" s="17"/>
      <c r="BH299" s="17"/>
      <c r="BI299" s="17"/>
      <c r="BJ299" s="17"/>
      <c r="BK299" s="17"/>
      <c r="BL299" s="92"/>
      <c r="BM299" s="92"/>
      <c r="BN299" s="92"/>
      <c r="BO299" s="92"/>
      <c r="BP299" s="92"/>
      <c r="BQ299" s="818"/>
      <c r="BR299" s="54"/>
      <c r="BS299" s="54"/>
      <c r="BT299" s="818"/>
      <c r="BU299" s="818"/>
      <c r="BV299" s="818"/>
      <c r="BW299" s="92"/>
      <c r="BX299" s="92"/>
      <c r="BY299" s="17"/>
      <c r="BZ299" s="17"/>
      <c r="CA299" s="17"/>
      <c r="CB299" s="17"/>
      <c r="CC299" s="17"/>
      <c r="CD299" s="17"/>
    </row>
    <row r="300">
      <c r="A300" s="92"/>
      <c r="B300" s="820"/>
      <c r="O300" s="17"/>
      <c r="P300" s="17"/>
      <c r="Q300" s="17"/>
      <c r="R300" s="17"/>
      <c r="S300" s="813"/>
      <c r="T300" s="17"/>
      <c r="AX300" s="17"/>
      <c r="BB300" s="17"/>
      <c r="BE300" s="17"/>
      <c r="BF300" s="17"/>
      <c r="BG300" s="17"/>
      <c r="BH300" s="17"/>
      <c r="BI300" s="17"/>
      <c r="BJ300" s="17"/>
      <c r="BK300" s="17"/>
      <c r="BL300" s="92"/>
      <c r="BM300" s="92"/>
      <c r="BN300" s="92"/>
      <c r="BO300" s="92"/>
      <c r="BP300" s="92"/>
      <c r="BQ300" s="818"/>
      <c r="BR300" s="54"/>
      <c r="BS300" s="54"/>
      <c r="BT300" s="818"/>
      <c r="BU300" s="818"/>
      <c r="BV300" s="818"/>
      <c r="BW300" s="92"/>
      <c r="BX300" s="92"/>
      <c r="BY300" s="17"/>
      <c r="BZ300" s="17"/>
      <c r="CA300" s="17"/>
      <c r="CB300" s="17"/>
      <c r="CC300" s="17"/>
      <c r="CD300" s="17"/>
    </row>
    <row r="301">
      <c r="A301" s="92"/>
      <c r="B301" s="820"/>
      <c r="O301" s="17"/>
      <c r="P301" s="17"/>
      <c r="Q301" s="17"/>
      <c r="R301" s="17"/>
      <c r="S301" s="813"/>
      <c r="T301" s="17"/>
      <c r="AX301" s="17"/>
      <c r="BB301" s="17"/>
      <c r="BE301" s="17"/>
      <c r="BF301" s="17"/>
      <c r="BG301" s="17"/>
      <c r="BH301" s="17"/>
      <c r="BI301" s="17"/>
      <c r="BJ301" s="17"/>
      <c r="BK301" s="17"/>
      <c r="BL301" s="92"/>
      <c r="BM301" s="92"/>
      <c r="BN301" s="92"/>
      <c r="BO301" s="92"/>
      <c r="BP301" s="92"/>
      <c r="BQ301" s="818"/>
      <c r="BR301" s="54"/>
      <c r="BS301" s="54"/>
      <c r="BT301" s="818"/>
      <c r="BU301" s="818"/>
      <c r="BV301" s="818"/>
      <c r="BW301" s="92"/>
      <c r="BX301" s="92"/>
      <c r="BY301" s="17"/>
      <c r="BZ301" s="17"/>
      <c r="CA301" s="17"/>
      <c r="CB301" s="17"/>
      <c r="CC301" s="17"/>
      <c r="CD301" s="17"/>
    </row>
    <row r="302">
      <c r="A302" s="92"/>
      <c r="B302" s="820"/>
      <c r="O302" s="17"/>
      <c r="P302" s="17"/>
      <c r="Q302" s="17"/>
      <c r="R302" s="17"/>
      <c r="S302" s="813"/>
      <c r="T302" s="17"/>
      <c r="AX302" s="17"/>
      <c r="BB302" s="17"/>
      <c r="BE302" s="17"/>
      <c r="BF302" s="17"/>
      <c r="BG302" s="17"/>
      <c r="BH302" s="17"/>
      <c r="BI302" s="17"/>
      <c r="BJ302" s="17"/>
      <c r="BK302" s="17"/>
      <c r="BL302" s="92"/>
      <c r="BM302" s="92"/>
      <c r="BN302" s="92"/>
      <c r="BO302" s="92"/>
      <c r="BP302" s="92"/>
      <c r="BQ302" s="818"/>
      <c r="BR302" s="54"/>
      <c r="BS302" s="54"/>
      <c r="BT302" s="818"/>
      <c r="BU302" s="818"/>
      <c r="BV302" s="818"/>
      <c r="BW302" s="92"/>
      <c r="BX302" s="92"/>
      <c r="BY302" s="17"/>
      <c r="BZ302" s="17"/>
      <c r="CA302" s="17"/>
      <c r="CB302" s="17"/>
      <c r="CC302" s="17"/>
      <c r="CD302" s="17"/>
    </row>
    <row r="303">
      <c r="A303" s="92"/>
      <c r="B303" s="820"/>
      <c r="O303" s="17"/>
      <c r="P303" s="17"/>
      <c r="Q303" s="17"/>
      <c r="R303" s="17"/>
      <c r="S303" s="813"/>
      <c r="T303" s="17"/>
      <c r="AX303" s="17"/>
      <c r="BB303" s="17"/>
      <c r="BE303" s="17"/>
      <c r="BF303" s="17"/>
      <c r="BG303" s="17"/>
      <c r="BH303" s="17"/>
      <c r="BI303" s="17"/>
      <c r="BJ303" s="17"/>
      <c r="BK303" s="17"/>
      <c r="BL303" s="92"/>
      <c r="BM303" s="92"/>
      <c r="BN303" s="92"/>
      <c r="BO303" s="92"/>
      <c r="BP303" s="92"/>
      <c r="BQ303" s="818"/>
      <c r="BR303" s="54"/>
      <c r="BS303" s="54"/>
      <c r="BT303" s="818"/>
      <c r="BU303" s="818"/>
      <c r="BV303" s="818"/>
      <c r="BW303" s="92"/>
      <c r="BX303" s="92"/>
      <c r="BY303" s="17"/>
      <c r="BZ303" s="17"/>
      <c r="CA303" s="17"/>
      <c r="CB303" s="17"/>
      <c r="CC303" s="17"/>
      <c r="CD303" s="17"/>
    </row>
    <row r="304">
      <c r="A304" s="92"/>
      <c r="B304" s="820"/>
      <c r="O304" s="17"/>
      <c r="P304" s="17"/>
      <c r="Q304" s="17"/>
      <c r="R304" s="17"/>
      <c r="S304" s="813"/>
      <c r="T304" s="17"/>
      <c r="AX304" s="17"/>
      <c r="BB304" s="17"/>
      <c r="BE304" s="17"/>
      <c r="BF304" s="17"/>
      <c r="BG304" s="17"/>
      <c r="BH304" s="17"/>
      <c r="BI304" s="17"/>
      <c r="BJ304" s="17"/>
      <c r="BK304" s="17"/>
      <c r="BL304" s="92"/>
      <c r="BM304" s="92"/>
      <c r="BN304" s="92"/>
      <c r="BO304" s="92"/>
      <c r="BP304" s="92"/>
      <c r="BQ304" s="818"/>
      <c r="BR304" s="54"/>
      <c r="BS304" s="54"/>
      <c r="BT304" s="818"/>
      <c r="BU304" s="818"/>
      <c r="BV304" s="818"/>
      <c r="BW304" s="92"/>
      <c r="BX304" s="92"/>
      <c r="BY304" s="17"/>
      <c r="BZ304" s="17"/>
      <c r="CA304" s="17"/>
      <c r="CB304" s="17"/>
      <c r="CC304" s="17"/>
      <c r="CD304" s="17"/>
    </row>
    <row r="305">
      <c r="A305" s="92"/>
      <c r="B305" s="820"/>
      <c r="O305" s="17"/>
      <c r="P305" s="17"/>
      <c r="Q305" s="17"/>
      <c r="R305" s="17"/>
      <c r="S305" s="813"/>
      <c r="T305" s="17"/>
      <c r="AX305" s="17"/>
      <c r="BB305" s="17"/>
      <c r="BE305" s="17"/>
      <c r="BF305" s="17"/>
      <c r="BG305" s="17"/>
      <c r="BH305" s="17"/>
      <c r="BI305" s="17"/>
      <c r="BJ305" s="17"/>
      <c r="BK305" s="17"/>
      <c r="BL305" s="92"/>
      <c r="BM305" s="92"/>
      <c r="BN305" s="92"/>
      <c r="BO305" s="92"/>
      <c r="BP305" s="92"/>
      <c r="BQ305" s="818"/>
      <c r="BR305" s="54"/>
      <c r="BS305" s="54"/>
      <c r="BT305" s="818"/>
      <c r="BU305" s="818"/>
      <c r="BV305" s="818"/>
      <c r="BW305" s="92"/>
      <c r="BX305" s="92"/>
      <c r="BY305" s="17"/>
      <c r="BZ305" s="17"/>
      <c r="CA305" s="17"/>
      <c r="CB305" s="17"/>
      <c r="CC305" s="17"/>
      <c r="CD305" s="17"/>
    </row>
    <row r="306">
      <c r="A306" s="92"/>
      <c r="B306" s="820"/>
      <c r="O306" s="17"/>
      <c r="P306" s="17"/>
      <c r="Q306" s="17"/>
      <c r="R306" s="17"/>
      <c r="S306" s="813"/>
      <c r="T306" s="17"/>
      <c r="AX306" s="17"/>
      <c r="BB306" s="17"/>
      <c r="BE306" s="17"/>
      <c r="BF306" s="17"/>
      <c r="BG306" s="17"/>
      <c r="BH306" s="17"/>
      <c r="BI306" s="17"/>
      <c r="BJ306" s="17"/>
      <c r="BK306" s="17"/>
      <c r="BL306" s="92"/>
      <c r="BM306" s="92"/>
      <c r="BN306" s="92"/>
      <c r="BO306" s="92"/>
      <c r="BP306" s="92"/>
      <c r="BQ306" s="818"/>
      <c r="BR306" s="54"/>
      <c r="BS306" s="54"/>
      <c r="BT306" s="818"/>
      <c r="BU306" s="818"/>
      <c r="BV306" s="818"/>
      <c r="BW306" s="92"/>
      <c r="BX306" s="92"/>
      <c r="BY306" s="17"/>
      <c r="BZ306" s="17"/>
      <c r="CA306" s="17"/>
      <c r="CB306" s="17"/>
      <c r="CC306" s="17"/>
      <c r="CD306" s="17"/>
    </row>
    <row r="307">
      <c r="A307" s="92"/>
      <c r="B307" s="820"/>
      <c r="O307" s="17"/>
      <c r="P307" s="17"/>
      <c r="Q307" s="17"/>
      <c r="R307" s="17"/>
      <c r="S307" s="813"/>
      <c r="T307" s="17"/>
      <c r="AX307" s="17"/>
      <c r="BB307" s="17"/>
      <c r="BE307" s="17"/>
      <c r="BF307" s="17"/>
      <c r="BG307" s="17"/>
      <c r="BH307" s="17"/>
      <c r="BI307" s="17"/>
      <c r="BJ307" s="17"/>
      <c r="BK307" s="17"/>
      <c r="BL307" s="92"/>
      <c r="BM307" s="92"/>
      <c r="BN307" s="92"/>
      <c r="BO307" s="92"/>
      <c r="BP307" s="92"/>
      <c r="BQ307" s="818"/>
      <c r="BR307" s="54"/>
      <c r="BS307" s="54"/>
      <c r="BT307" s="818"/>
      <c r="BU307" s="818"/>
      <c r="BV307" s="818"/>
      <c r="BW307" s="92"/>
      <c r="BX307" s="92"/>
      <c r="BY307" s="17"/>
      <c r="BZ307" s="17"/>
      <c r="CA307" s="17"/>
      <c r="CB307" s="17"/>
      <c r="CC307" s="17"/>
      <c r="CD307" s="17"/>
    </row>
    <row r="308">
      <c r="A308" s="92"/>
      <c r="B308" s="820"/>
      <c r="O308" s="17"/>
      <c r="P308" s="17"/>
      <c r="Q308" s="17"/>
      <c r="R308" s="17"/>
      <c r="S308" s="813"/>
      <c r="T308" s="17"/>
      <c r="AX308" s="17"/>
      <c r="BB308" s="17"/>
      <c r="BE308" s="17"/>
      <c r="BF308" s="17"/>
      <c r="BG308" s="17"/>
      <c r="BH308" s="17"/>
      <c r="BI308" s="17"/>
      <c r="BJ308" s="17"/>
      <c r="BK308" s="17"/>
      <c r="BL308" s="92"/>
      <c r="BM308" s="92"/>
      <c r="BN308" s="92"/>
      <c r="BO308" s="92"/>
      <c r="BP308" s="92"/>
      <c r="BQ308" s="818"/>
      <c r="BR308" s="54"/>
      <c r="BS308" s="54"/>
      <c r="BT308" s="818"/>
      <c r="BU308" s="818"/>
      <c r="BV308" s="818"/>
      <c r="BW308" s="92"/>
      <c r="BX308" s="92"/>
      <c r="BY308" s="17"/>
      <c r="BZ308" s="17"/>
      <c r="CA308" s="17"/>
      <c r="CB308" s="17"/>
      <c r="CC308" s="17"/>
      <c r="CD308" s="17"/>
    </row>
    <row r="309">
      <c r="A309" s="92"/>
      <c r="B309" s="820"/>
      <c r="O309" s="17"/>
      <c r="P309" s="17"/>
      <c r="Q309" s="17"/>
      <c r="R309" s="17"/>
      <c r="S309" s="813"/>
      <c r="T309" s="17"/>
      <c r="AX309" s="17"/>
      <c r="BB309" s="17"/>
      <c r="BE309" s="17"/>
      <c r="BF309" s="17"/>
      <c r="BG309" s="17"/>
      <c r="BH309" s="17"/>
      <c r="BI309" s="17"/>
      <c r="BJ309" s="17"/>
      <c r="BK309" s="17"/>
      <c r="BL309" s="92"/>
      <c r="BM309" s="92"/>
      <c r="BN309" s="92"/>
      <c r="BO309" s="92"/>
      <c r="BP309" s="92"/>
      <c r="BQ309" s="818"/>
      <c r="BR309" s="54"/>
      <c r="BS309" s="54"/>
      <c r="BT309" s="818"/>
      <c r="BU309" s="818"/>
      <c r="BV309" s="818"/>
      <c r="BW309" s="92"/>
      <c r="BX309" s="92"/>
      <c r="BY309" s="17"/>
      <c r="BZ309" s="17"/>
      <c r="CA309" s="17"/>
      <c r="CB309" s="17"/>
      <c r="CC309" s="17"/>
      <c r="CD309" s="17"/>
    </row>
    <row r="310">
      <c r="A310" s="92"/>
      <c r="B310" s="820"/>
      <c r="O310" s="17"/>
      <c r="P310" s="17"/>
      <c r="Q310" s="17"/>
      <c r="R310" s="17"/>
      <c r="S310" s="813"/>
      <c r="T310" s="17"/>
      <c r="AX310" s="17"/>
      <c r="BB310" s="17"/>
      <c r="BE310" s="17"/>
      <c r="BF310" s="17"/>
      <c r="BG310" s="17"/>
      <c r="BH310" s="17"/>
      <c r="BI310" s="17"/>
      <c r="BJ310" s="17"/>
      <c r="BK310" s="17"/>
      <c r="BL310" s="92"/>
      <c r="BM310" s="92"/>
      <c r="BN310" s="92"/>
      <c r="BO310" s="92"/>
      <c r="BP310" s="92"/>
      <c r="BQ310" s="818"/>
      <c r="BR310" s="54"/>
      <c r="BS310" s="54"/>
      <c r="BT310" s="818"/>
      <c r="BU310" s="818"/>
      <c r="BV310" s="818"/>
      <c r="BW310" s="92"/>
      <c r="BX310" s="92"/>
      <c r="BY310" s="17"/>
      <c r="BZ310" s="17"/>
      <c r="CA310" s="17"/>
      <c r="CB310" s="17"/>
      <c r="CC310" s="17"/>
      <c r="CD310" s="17"/>
    </row>
    <row r="311">
      <c r="A311" s="92"/>
      <c r="B311" s="820"/>
      <c r="O311" s="17"/>
      <c r="P311" s="17"/>
      <c r="Q311" s="17"/>
      <c r="R311" s="17"/>
      <c r="S311" s="813"/>
      <c r="T311" s="17"/>
      <c r="AX311" s="17"/>
      <c r="BB311" s="17"/>
      <c r="BE311" s="17"/>
      <c r="BF311" s="17"/>
      <c r="BG311" s="17"/>
      <c r="BH311" s="17"/>
      <c r="BI311" s="17"/>
      <c r="BJ311" s="17"/>
      <c r="BK311" s="17"/>
      <c r="BL311" s="92"/>
      <c r="BM311" s="92"/>
      <c r="BN311" s="92"/>
      <c r="BO311" s="92"/>
      <c r="BP311" s="92"/>
      <c r="BQ311" s="818"/>
      <c r="BR311" s="54"/>
      <c r="BS311" s="54"/>
      <c r="BT311" s="818"/>
      <c r="BU311" s="818"/>
      <c r="BV311" s="818"/>
      <c r="BW311" s="92"/>
      <c r="BX311" s="92"/>
      <c r="BY311" s="17"/>
      <c r="BZ311" s="17"/>
      <c r="CA311" s="17"/>
      <c r="CB311" s="17"/>
      <c r="CC311" s="17"/>
      <c r="CD311" s="17"/>
    </row>
    <row r="312">
      <c r="A312" s="92"/>
      <c r="B312" s="820"/>
      <c r="O312" s="17"/>
      <c r="P312" s="17"/>
      <c r="Q312" s="17"/>
      <c r="R312" s="17"/>
      <c r="S312" s="813"/>
      <c r="T312" s="17"/>
      <c r="AX312" s="17"/>
      <c r="BB312" s="17"/>
      <c r="BE312" s="17"/>
      <c r="BF312" s="17"/>
      <c r="BG312" s="17"/>
      <c r="BH312" s="17"/>
      <c r="BI312" s="17"/>
      <c r="BJ312" s="17"/>
      <c r="BK312" s="17"/>
      <c r="BL312" s="92"/>
      <c r="BM312" s="92"/>
      <c r="BN312" s="92"/>
      <c r="BO312" s="92"/>
      <c r="BP312" s="92"/>
      <c r="BQ312" s="818"/>
      <c r="BR312" s="54"/>
      <c r="BS312" s="54"/>
      <c r="BT312" s="818"/>
      <c r="BU312" s="818"/>
      <c r="BV312" s="818"/>
      <c r="BW312" s="92"/>
      <c r="BX312" s="92"/>
      <c r="BY312" s="17"/>
      <c r="BZ312" s="17"/>
      <c r="CA312" s="17"/>
      <c r="CB312" s="17"/>
      <c r="CC312" s="17"/>
      <c r="CD312" s="17"/>
    </row>
    <row r="313">
      <c r="A313" s="92"/>
      <c r="B313" s="820"/>
      <c r="O313" s="17"/>
      <c r="P313" s="17"/>
      <c r="Q313" s="17"/>
      <c r="R313" s="17"/>
      <c r="S313" s="813"/>
      <c r="T313" s="17"/>
      <c r="AX313" s="17"/>
      <c r="BB313" s="17"/>
      <c r="BE313" s="17"/>
      <c r="BF313" s="17"/>
      <c r="BG313" s="17"/>
      <c r="BH313" s="17"/>
      <c r="BI313" s="17"/>
      <c r="BJ313" s="17"/>
      <c r="BK313" s="17"/>
      <c r="BL313" s="92"/>
      <c r="BM313" s="92"/>
      <c r="BN313" s="92"/>
      <c r="BO313" s="92"/>
      <c r="BP313" s="92"/>
      <c r="BQ313" s="818"/>
      <c r="BR313" s="54"/>
      <c r="BS313" s="54"/>
      <c r="BT313" s="818"/>
      <c r="BU313" s="818"/>
      <c r="BV313" s="818"/>
      <c r="BW313" s="92"/>
      <c r="BX313" s="92"/>
      <c r="BY313" s="17"/>
      <c r="BZ313" s="17"/>
      <c r="CA313" s="17"/>
      <c r="CB313" s="17"/>
      <c r="CC313" s="17"/>
      <c r="CD313" s="17"/>
    </row>
    <row r="314">
      <c r="A314" s="92"/>
      <c r="B314" s="820"/>
      <c r="O314" s="17"/>
      <c r="P314" s="17"/>
      <c r="Q314" s="17"/>
      <c r="R314" s="17"/>
      <c r="S314" s="813"/>
      <c r="T314" s="17"/>
      <c r="AX314" s="17"/>
      <c r="BB314" s="17"/>
      <c r="BE314" s="17"/>
      <c r="BF314" s="17"/>
      <c r="BG314" s="17"/>
      <c r="BH314" s="17"/>
      <c r="BI314" s="17"/>
      <c r="BJ314" s="17"/>
      <c r="BK314" s="17"/>
      <c r="BL314" s="92"/>
      <c r="BM314" s="92"/>
      <c r="BN314" s="92"/>
      <c r="BO314" s="92"/>
      <c r="BP314" s="92"/>
      <c r="BQ314" s="818"/>
      <c r="BR314" s="54"/>
      <c r="BS314" s="54"/>
      <c r="BT314" s="818"/>
      <c r="BU314" s="818"/>
      <c r="BV314" s="818"/>
      <c r="BW314" s="92"/>
      <c r="BX314" s="92"/>
      <c r="BY314" s="17"/>
      <c r="BZ314" s="17"/>
      <c r="CA314" s="17"/>
      <c r="CB314" s="17"/>
      <c r="CC314" s="17"/>
      <c r="CD314" s="17"/>
    </row>
    <row r="315">
      <c r="A315" s="92"/>
      <c r="B315" s="820"/>
      <c r="O315" s="17"/>
      <c r="P315" s="17"/>
      <c r="Q315" s="17"/>
      <c r="R315" s="17"/>
      <c r="S315" s="813"/>
      <c r="T315" s="17"/>
      <c r="AX315" s="17"/>
      <c r="BB315" s="17"/>
      <c r="BE315" s="17"/>
      <c r="BF315" s="17"/>
      <c r="BG315" s="17"/>
      <c r="BH315" s="17"/>
      <c r="BI315" s="17"/>
      <c r="BJ315" s="17"/>
      <c r="BK315" s="17"/>
      <c r="BL315" s="92"/>
      <c r="BM315" s="92"/>
      <c r="BN315" s="92"/>
      <c r="BO315" s="92"/>
      <c r="BP315" s="92"/>
      <c r="BQ315" s="818"/>
      <c r="BR315" s="54"/>
      <c r="BS315" s="54"/>
      <c r="BT315" s="818"/>
      <c r="BU315" s="818"/>
      <c r="BV315" s="818"/>
      <c r="BW315" s="92"/>
      <c r="BX315" s="92"/>
      <c r="BY315" s="17"/>
      <c r="BZ315" s="17"/>
      <c r="CA315" s="17"/>
      <c r="CB315" s="17"/>
      <c r="CC315" s="17"/>
      <c r="CD315" s="17"/>
    </row>
    <row r="316">
      <c r="A316" s="92"/>
      <c r="B316" s="820"/>
      <c r="O316" s="17"/>
      <c r="P316" s="17"/>
      <c r="Q316" s="17"/>
      <c r="R316" s="17"/>
      <c r="S316" s="813"/>
      <c r="T316" s="17"/>
      <c r="AX316" s="17"/>
      <c r="BB316" s="17"/>
      <c r="BE316" s="17"/>
      <c r="BF316" s="17"/>
      <c r="BG316" s="17"/>
      <c r="BH316" s="17"/>
      <c r="BI316" s="17"/>
      <c r="BJ316" s="17"/>
      <c r="BK316" s="17"/>
      <c r="BL316" s="92"/>
      <c r="BM316" s="92"/>
      <c r="BN316" s="92"/>
      <c r="BO316" s="92"/>
      <c r="BP316" s="92"/>
      <c r="BQ316" s="818"/>
      <c r="BR316" s="54"/>
      <c r="BS316" s="54"/>
      <c r="BT316" s="818"/>
      <c r="BU316" s="818"/>
      <c r="BV316" s="818"/>
      <c r="BW316" s="92"/>
      <c r="BX316" s="92"/>
      <c r="BY316" s="17"/>
      <c r="BZ316" s="17"/>
      <c r="CA316" s="17"/>
      <c r="CB316" s="17"/>
      <c r="CC316" s="17"/>
      <c r="CD316" s="17"/>
    </row>
    <row r="317">
      <c r="A317" s="92"/>
      <c r="B317" s="820"/>
      <c r="O317" s="17"/>
      <c r="P317" s="17"/>
      <c r="Q317" s="17"/>
      <c r="R317" s="17"/>
      <c r="S317" s="813"/>
      <c r="T317" s="17"/>
      <c r="AX317" s="17"/>
      <c r="BB317" s="17"/>
      <c r="BE317" s="17"/>
      <c r="BF317" s="17"/>
      <c r="BG317" s="17"/>
      <c r="BH317" s="17"/>
      <c r="BI317" s="17"/>
      <c r="BJ317" s="17"/>
      <c r="BK317" s="17"/>
      <c r="BL317" s="92"/>
      <c r="BM317" s="92"/>
      <c r="BN317" s="92"/>
      <c r="BO317" s="92"/>
      <c r="BP317" s="92"/>
      <c r="BQ317" s="818"/>
      <c r="BR317" s="54"/>
      <c r="BS317" s="54"/>
      <c r="BT317" s="818"/>
      <c r="BU317" s="818"/>
      <c r="BV317" s="818"/>
      <c r="BW317" s="92"/>
      <c r="BX317" s="92"/>
      <c r="BY317" s="17"/>
      <c r="BZ317" s="17"/>
      <c r="CA317" s="17"/>
      <c r="CB317" s="17"/>
      <c r="CC317" s="17"/>
      <c r="CD317" s="17"/>
    </row>
    <row r="318">
      <c r="A318" s="92"/>
      <c r="B318" s="820"/>
      <c r="O318" s="17"/>
      <c r="P318" s="17"/>
      <c r="Q318" s="17"/>
      <c r="R318" s="17"/>
      <c r="S318" s="813"/>
      <c r="T318" s="17"/>
      <c r="AX318" s="17"/>
      <c r="BB318" s="17"/>
      <c r="BE318" s="17"/>
      <c r="BF318" s="17"/>
      <c r="BG318" s="17"/>
      <c r="BH318" s="17"/>
      <c r="BI318" s="17"/>
      <c r="BJ318" s="17"/>
      <c r="BK318" s="17"/>
      <c r="BL318" s="92"/>
      <c r="BM318" s="92"/>
      <c r="BN318" s="92"/>
      <c r="BO318" s="92"/>
      <c r="BP318" s="92"/>
      <c r="BQ318" s="818"/>
      <c r="BR318" s="54"/>
      <c r="BS318" s="54"/>
      <c r="BT318" s="818"/>
      <c r="BU318" s="818"/>
      <c r="BV318" s="818"/>
      <c r="BW318" s="92"/>
      <c r="BX318" s="92"/>
      <c r="BY318" s="17"/>
      <c r="BZ318" s="17"/>
      <c r="CA318" s="17"/>
      <c r="CB318" s="17"/>
      <c r="CC318" s="17"/>
      <c r="CD318" s="17"/>
    </row>
    <row r="319">
      <c r="A319" s="92"/>
      <c r="B319" s="820"/>
      <c r="O319" s="17"/>
      <c r="P319" s="17"/>
      <c r="Q319" s="17"/>
      <c r="R319" s="17"/>
      <c r="S319" s="813"/>
      <c r="T319" s="17"/>
      <c r="AX319" s="17"/>
      <c r="BB319" s="17"/>
      <c r="BE319" s="17"/>
      <c r="BF319" s="17"/>
      <c r="BG319" s="17"/>
      <c r="BH319" s="17"/>
      <c r="BI319" s="17"/>
      <c r="BJ319" s="17"/>
      <c r="BK319" s="17"/>
      <c r="BL319" s="92"/>
      <c r="BM319" s="92"/>
      <c r="BN319" s="92"/>
      <c r="BO319" s="92"/>
      <c r="BP319" s="92"/>
      <c r="BQ319" s="818"/>
      <c r="BR319" s="54"/>
      <c r="BS319" s="54"/>
      <c r="BT319" s="818"/>
      <c r="BU319" s="818"/>
      <c r="BV319" s="818"/>
      <c r="BW319" s="92"/>
      <c r="BX319" s="92"/>
      <c r="BY319" s="17"/>
      <c r="BZ319" s="17"/>
      <c r="CA319" s="17"/>
      <c r="CB319" s="17"/>
      <c r="CC319" s="17"/>
      <c r="CD319" s="17"/>
    </row>
    <row r="320">
      <c r="A320" s="92"/>
      <c r="B320" s="820"/>
      <c r="O320" s="17"/>
      <c r="P320" s="17"/>
      <c r="Q320" s="17"/>
      <c r="R320" s="17"/>
      <c r="S320" s="813"/>
      <c r="T320" s="17"/>
      <c r="AX320" s="17"/>
      <c r="BB320" s="17"/>
      <c r="BE320" s="17"/>
      <c r="BF320" s="17"/>
      <c r="BG320" s="17"/>
      <c r="BH320" s="17"/>
      <c r="BI320" s="17"/>
      <c r="BJ320" s="17"/>
      <c r="BK320" s="17"/>
      <c r="BL320" s="92"/>
      <c r="BM320" s="92"/>
      <c r="BN320" s="92"/>
      <c r="BO320" s="92"/>
      <c r="BP320" s="92"/>
      <c r="BQ320" s="818"/>
      <c r="BR320" s="54"/>
      <c r="BS320" s="54"/>
      <c r="BT320" s="818"/>
      <c r="BU320" s="818"/>
      <c r="BV320" s="818"/>
      <c r="BW320" s="92"/>
      <c r="BX320" s="92"/>
      <c r="BY320" s="17"/>
      <c r="BZ320" s="17"/>
      <c r="CA320" s="17"/>
      <c r="CB320" s="17"/>
      <c r="CC320" s="17"/>
      <c r="CD320" s="17"/>
    </row>
    <row r="321">
      <c r="A321" s="92"/>
      <c r="B321" s="820"/>
      <c r="O321" s="17"/>
      <c r="P321" s="17"/>
      <c r="Q321" s="17"/>
      <c r="R321" s="17"/>
      <c r="S321" s="813"/>
      <c r="T321" s="17"/>
      <c r="AX321" s="17"/>
      <c r="BB321" s="17"/>
      <c r="BE321" s="17"/>
      <c r="BF321" s="17"/>
      <c r="BG321" s="17"/>
      <c r="BH321" s="17"/>
      <c r="BI321" s="17"/>
      <c r="BJ321" s="17"/>
      <c r="BK321" s="17"/>
      <c r="BL321" s="92"/>
      <c r="BM321" s="92"/>
      <c r="BN321" s="92"/>
      <c r="BO321" s="92"/>
      <c r="BP321" s="92"/>
      <c r="BQ321" s="818"/>
      <c r="BR321" s="54"/>
      <c r="BS321" s="54"/>
      <c r="BT321" s="818"/>
      <c r="BU321" s="818"/>
      <c r="BV321" s="818"/>
      <c r="BW321" s="92"/>
      <c r="BX321" s="92"/>
      <c r="BY321" s="17"/>
      <c r="BZ321" s="17"/>
      <c r="CA321" s="17"/>
      <c r="CB321" s="17"/>
      <c r="CC321" s="17"/>
      <c r="CD321" s="17"/>
    </row>
    <row r="322">
      <c r="A322" s="92"/>
      <c r="B322" s="820"/>
      <c r="O322" s="17"/>
      <c r="P322" s="17"/>
      <c r="Q322" s="17"/>
      <c r="R322" s="17"/>
      <c r="S322" s="813"/>
      <c r="T322" s="17"/>
      <c r="AX322" s="17"/>
      <c r="BB322" s="17"/>
      <c r="BE322" s="17"/>
      <c r="BF322" s="17"/>
      <c r="BG322" s="17"/>
      <c r="BH322" s="17"/>
      <c r="BI322" s="17"/>
      <c r="BJ322" s="17"/>
      <c r="BK322" s="17"/>
      <c r="BL322" s="92"/>
      <c r="BM322" s="92"/>
      <c r="BN322" s="92"/>
      <c r="BO322" s="92"/>
      <c r="BP322" s="92"/>
      <c r="BQ322" s="818"/>
      <c r="BR322" s="54"/>
      <c r="BS322" s="54"/>
      <c r="BT322" s="818"/>
      <c r="BU322" s="818"/>
      <c r="BV322" s="818"/>
      <c r="BW322" s="92"/>
      <c r="BX322" s="92"/>
      <c r="BY322" s="17"/>
      <c r="BZ322" s="17"/>
      <c r="CA322" s="17"/>
      <c r="CB322" s="17"/>
      <c r="CC322" s="17"/>
      <c r="CD322" s="17"/>
    </row>
    <row r="323">
      <c r="A323" s="92"/>
      <c r="B323" s="820"/>
      <c r="O323" s="17"/>
      <c r="P323" s="17"/>
      <c r="Q323" s="17"/>
      <c r="R323" s="17"/>
      <c r="S323" s="813"/>
      <c r="T323" s="17"/>
      <c r="AX323" s="17"/>
      <c r="BB323" s="17"/>
      <c r="BE323" s="17"/>
      <c r="BF323" s="17"/>
      <c r="BG323" s="17"/>
      <c r="BH323" s="17"/>
      <c r="BI323" s="17"/>
      <c r="BJ323" s="17"/>
      <c r="BK323" s="17"/>
      <c r="BL323" s="92"/>
      <c r="BM323" s="92"/>
      <c r="BN323" s="92"/>
      <c r="BO323" s="92"/>
      <c r="BP323" s="92"/>
      <c r="BQ323" s="818"/>
      <c r="BR323" s="54"/>
      <c r="BS323" s="54"/>
      <c r="BT323" s="818"/>
      <c r="BU323" s="818"/>
      <c r="BV323" s="818"/>
      <c r="BW323" s="92"/>
      <c r="BX323" s="92"/>
      <c r="BY323" s="17"/>
      <c r="BZ323" s="17"/>
      <c r="CA323" s="17"/>
      <c r="CB323" s="17"/>
      <c r="CC323" s="17"/>
      <c r="CD323" s="17"/>
    </row>
    <row r="324">
      <c r="A324" s="92"/>
      <c r="B324" s="820"/>
      <c r="O324" s="17"/>
      <c r="P324" s="17"/>
      <c r="Q324" s="17"/>
      <c r="R324" s="17"/>
      <c r="S324" s="813"/>
      <c r="T324" s="17"/>
      <c r="AX324" s="17"/>
      <c r="BB324" s="17"/>
      <c r="BE324" s="17"/>
      <c r="BF324" s="17"/>
      <c r="BG324" s="17"/>
      <c r="BH324" s="17"/>
      <c r="BI324" s="17"/>
      <c r="BJ324" s="17"/>
      <c r="BK324" s="17"/>
      <c r="BL324" s="92"/>
      <c r="BM324" s="92"/>
      <c r="BN324" s="92"/>
      <c r="BO324" s="92"/>
      <c r="BP324" s="92"/>
      <c r="BQ324" s="818"/>
      <c r="BR324" s="54"/>
      <c r="BS324" s="54"/>
      <c r="BT324" s="818"/>
      <c r="BU324" s="818"/>
      <c r="BV324" s="818"/>
      <c r="BW324" s="92"/>
      <c r="BX324" s="92"/>
      <c r="BY324" s="17"/>
      <c r="BZ324" s="17"/>
      <c r="CA324" s="17"/>
      <c r="CB324" s="17"/>
      <c r="CC324" s="17"/>
      <c r="CD324" s="17"/>
    </row>
    <row r="325">
      <c r="A325" s="92"/>
      <c r="B325" s="820"/>
      <c r="O325" s="17"/>
      <c r="P325" s="17"/>
      <c r="Q325" s="17"/>
      <c r="R325" s="17"/>
      <c r="S325" s="813"/>
      <c r="T325" s="17"/>
      <c r="AX325" s="17"/>
      <c r="BB325" s="17"/>
      <c r="BE325" s="17"/>
      <c r="BF325" s="17"/>
      <c r="BG325" s="17"/>
      <c r="BH325" s="17"/>
      <c r="BI325" s="17"/>
      <c r="BJ325" s="17"/>
      <c r="BK325" s="17"/>
      <c r="BL325" s="92"/>
      <c r="BM325" s="92"/>
      <c r="BN325" s="92"/>
      <c r="BO325" s="92"/>
      <c r="BP325" s="92"/>
      <c r="BQ325" s="818"/>
      <c r="BR325" s="54"/>
      <c r="BS325" s="54"/>
      <c r="BT325" s="818"/>
      <c r="BU325" s="818"/>
      <c r="BV325" s="818"/>
      <c r="BW325" s="92"/>
      <c r="BX325" s="92"/>
      <c r="BY325" s="17"/>
      <c r="BZ325" s="17"/>
      <c r="CA325" s="17"/>
      <c r="CB325" s="17"/>
      <c r="CC325" s="17"/>
      <c r="CD325" s="17"/>
    </row>
    <row r="326">
      <c r="A326" s="92"/>
      <c r="B326" s="820"/>
      <c r="O326" s="17"/>
      <c r="P326" s="17"/>
      <c r="Q326" s="17"/>
      <c r="R326" s="17"/>
      <c r="S326" s="813"/>
      <c r="T326" s="17"/>
      <c r="AX326" s="17"/>
      <c r="BB326" s="17"/>
      <c r="BE326" s="17"/>
      <c r="BF326" s="17"/>
      <c r="BG326" s="17"/>
      <c r="BH326" s="17"/>
      <c r="BI326" s="17"/>
      <c r="BJ326" s="17"/>
      <c r="BK326" s="17"/>
      <c r="BL326" s="92"/>
      <c r="BM326" s="92"/>
      <c r="BN326" s="92"/>
      <c r="BO326" s="92"/>
      <c r="BP326" s="92"/>
      <c r="BQ326" s="818"/>
      <c r="BR326" s="54"/>
      <c r="BS326" s="54"/>
      <c r="BT326" s="818"/>
      <c r="BU326" s="818"/>
      <c r="BV326" s="818"/>
      <c r="BW326" s="92"/>
      <c r="BX326" s="92"/>
      <c r="BY326" s="17"/>
      <c r="BZ326" s="17"/>
      <c r="CA326" s="17"/>
      <c r="CB326" s="17"/>
      <c r="CC326" s="17"/>
      <c r="CD326" s="17"/>
    </row>
    <row r="327">
      <c r="A327" s="92"/>
      <c r="B327" s="820"/>
      <c r="O327" s="17"/>
      <c r="P327" s="17"/>
      <c r="Q327" s="17"/>
      <c r="R327" s="17"/>
      <c r="S327" s="813"/>
      <c r="T327" s="17"/>
      <c r="AX327" s="17"/>
      <c r="BB327" s="17"/>
      <c r="BE327" s="17"/>
      <c r="BF327" s="17"/>
      <c r="BG327" s="17"/>
      <c r="BH327" s="17"/>
      <c r="BI327" s="17"/>
      <c r="BJ327" s="17"/>
      <c r="BK327" s="17"/>
      <c r="BL327" s="92"/>
      <c r="BM327" s="92"/>
      <c r="BN327" s="92"/>
      <c r="BO327" s="92"/>
      <c r="BP327" s="92"/>
      <c r="BQ327" s="818"/>
      <c r="BR327" s="54"/>
      <c r="BS327" s="54"/>
      <c r="BT327" s="818"/>
      <c r="BU327" s="818"/>
      <c r="BV327" s="818"/>
      <c r="BW327" s="92"/>
      <c r="BX327" s="92"/>
      <c r="BY327" s="17"/>
      <c r="BZ327" s="17"/>
      <c r="CA327" s="17"/>
      <c r="CB327" s="17"/>
      <c r="CC327" s="17"/>
      <c r="CD327" s="17"/>
    </row>
    <row r="328">
      <c r="A328" s="92"/>
      <c r="B328" s="820"/>
      <c r="O328" s="17"/>
      <c r="P328" s="17"/>
      <c r="Q328" s="17"/>
      <c r="R328" s="17"/>
      <c r="S328" s="813"/>
      <c r="T328" s="17"/>
      <c r="AX328" s="17"/>
      <c r="BB328" s="17"/>
      <c r="BE328" s="17"/>
      <c r="BF328" s="17"/>
      <c r="BG328" s="17"/>
      <c r="BH328" s="17"/>
      <c r="BI328" s="17"/>
      <c r="BJ328" s="17"/>
      <c r="BK328" s="17"/>
      <c r="BL328" s="92"/>
      <c r="BM328" s="92"/>
      <c r="BN328" s="92"/>
      <c r="BO328" s="92"/>
      <c r="BP328" s="92"/>
      <c r="BQ328" s="818"/>
      <c r="BR328" s="54"/>
      <c r="BS328" s="54"/>
      <c r="BT328" s="818"/>
      <c r="BU328" s="818"/>
      <c r="BV328" s="818"/>
      <c r="BW328" s="92"/>
      <c r="BX328" s="92"/>
      <c r="BY328" s="17"/>
      <c r="BZ328" s="17"/>
      <c r="CA328" s="17"/>
      <c r="CB328" s="17"/>
      <c r="CC328" s="17"/>
      <c r="CD328" s="17"/>
    </row>
    <row r="329">
      <c r="A329" s="92"/>
      <c r="B329" s="820"/>
      <c r="O329" s="17"/>
      <c r="P329" s="17"/>
      <c r="Q329" s="17"/>
      <c r="R329" s="17"/>
      <c r="S329" s="813"/>
      <c r="T329" s="17"/>
      <c r="AX329" s="17"/>
      <c r="BB329" s="17"/>
      <c r="BE329" s="17"/>
      <c r="BF329" s="17"/>
      <c r="BG329" s="17"/>
      <c r="BH329" s="17"/>
      <c r="BI329" s="17"/>
      <c r="BJ329" s="17"/>
      <c r="BK329" s="17"/>
      <c r="BL329" s="92"/>
      <c r="BM329" s="92"/>
      <c r="BN329" s="92"/>
      <c r="BO329" s="92"/>
      <c r="BP329" s="92"/>
      <c r="BQ329" s="818"/>
      <c r="BR329" s="54"/>
      <c r="BS329" s="54"/>
      <c r="BT329" s="818"/>
      <c r="BU329" s="818"/>
      <c r="BV329" s="818"/>
      <c r="BW329" s="92"/>
      <c r="BX329" s="92"/>
      <c r="BY329" s="17"/>
      <c r="BZ329" s="17"/>
      <c r="CA329" s="17"/>
      <c r="CB329" s="17"/>
      <c r="CC329" s="17"/>
      <c r="CD329" s="17"/>
    </row>
    <row r="330">
      <c r="A330" s="92"/>
      <c r="B330" s="820"/>
      <c r="O330" s="17"/>
      <c r="P330" s="17"/>
      <c r="Q330" s="17"/>
      <c r="R330" s="17"/>
      <c r="S330" s="813"/>
      <c r="T330" s="17"/>
      <c r="AX330" s="17"/>
      <c r="BB330" s="17"/>
      <c r="BE330" s="17"/>
      <c r="BF330" s="17"/>
      <c r="BG330" s="17"/>
      <c r="BH330" s="17"/>
      <c r="BI330" s="17"/>
      <c r="BJ330" s="17"/>
      <c r="BK330" s="17"/>
      <c r="BL330" s="92"/>
      <c r="BM330" s="92"/>
      <c r="BN330" s="92"/>
      <c r="BO330" s="92"/>
      <c r="BP330" s="92"/>
      <c r="BQ330" s="818"/>
      <c r="BR330" s="54"/>
      <c r="BS330" s="54"/>
      <c r="BT330" s="818"/>
      <c r="BU330" s="818"/>
      <c r="BV330" s="818"/>
      <c r="BW330" s="92"/>
      <c r="BX330" s="92"/>
      <c r="BY330" s="17"/>
      <c r="BZ330" s="17"/>
      <c r="CA330" s="17"/>
      <c r="CB330" s="17"/>
      <c r="CC330" s="17"/>
      <c r="CD330" s="17"/>
    </row>
    <row r="331">
      <c r="A331" s="92"/>
      <c r="B331" s="820"/>
      <c r="O331" s="17"/>
      <c r="P331" s="17"/>
      <c r="Q331" s="17"/>
      <c r="R331" s="17"/>
      <c r="S331" s="813"/>
      <c r="T331" s="17"/>
      <c r="AX331" s="17"/>
      <c r="BB331" s="17"/>
      <c r="BE331" s="17"/>
      <c r="BF331" s="17"/>
      <c r="BG331" s="17"/>
      <c r="BH331" s="17"/>
      <c r="BI331" s="17"/>
      <c r="BJ331" s="17"/>
      <c r="BK331" s="17"/>
      <c r="BL331" s="92"/>
      <c r="BM331" s="92"/>
      <c r="BN331" s="92"/>
      <c r="BO331" s="92"/>
      <c r="BP331" s="92"/>
      <c r="BQ331" s="818"/>
      <c r="BR331" s="54"/>
      <c r="BS331" s="54"/>
      <c r="BT331" s="818"/>
      <c r="BU331" s="818"/>
      <c r="BV331" s="818"/>
      <c r="BW331" s="92"/>
      <c r="BX331" s="92"/>
      <c r="BY331" s="17"/>
      <c r="BZ331" s="17"/>
      <c r="CA331" s="17"/>
      <c r="CB331" s="17"/>
      <c r="CC331" s="17"/>
      <c r="CD331" s="17"/>
    </row>
    <row r="332">
      <c r="A332" s="92"/>
      <c r="B332" s="820"/>
      <c r="O332" s="17"/>
      <c r="P332" s="17"/>
      <c r="Q332" s="17"/>
      <c r="R332" s="17"/>
      <c r="S332" s="813"/>
      <c r="T332" s="17"/>
      <c r="AX332" s="17"/>
      <c r="BB332" s="17"/>
      <c r="BE332" s="17"/>
      <c r="BF332" s="17"/>
      <c r="BG332" s="17"/>
      <c r="BH332" s="17"/>
      <c r="BI332" s="17"/>
      <c r="BJ332" s="17"/>
      <c r="BK332" s="17"/>
      <c r="BL332" s="92"/>
      <c r="BM332" s="92"/>
      <c r="BN332" s="92"/>
      <c r="BO332" s="92"/>
      <c r="BP332" s="92"/>
      <c r="BQ332" s="818"/>
      <c r="BR332" s="54"/>
      <c r="BS332" s="54"/>
      <c r="BT332" s="818"/>
      <c r="BU332" s="818"/>
      <c r="BV332" s="818"/>
      <c r="BW332" s="92"/>
      <c r="BX332" s="92"/>
      <c r="BY332" s="17"/>
      <c r="BZ332" s="17"/>
      <c r="CA332" s="17"/>
      <c r="CB332" s="17"/>
      <c r="CC332" s="17"/>
      <c r="CD332" s="17"/>
    </row>
    <row r="333">
      <c r="A333" s="92"/>
      <c r="B333" s="820"/>
      <c r="O333" s="17"/>
      <c r="P333" s="17"/>
      <c r="Q333" s="17"/>
      <c r="R333" s="17"/>
      <c r="S333" s="813"/>
      <c r="T333" s="17"/>
      <c r="AX333" s="17"/>
      <c r="BB333" s="17"/>
      <c r="BE333" s="17"/>
      <c r="BF333" s="17"/>
      <c r="BG333" s="17"/>
      <c r="BH333" s="17"/>
      <c r="BI333" s="17"/>
      <c r="BJ333" s="17"/>
      <c r="BK333" s="17"/>
      <c r="BL333" s="92"/>
      <c r="BM333" s="92"/>
      <c r="BN333" s="92"/>
      <c r="BO333" s="92"/>
      <c r="BP333" s="92"/>
      <c r="BQ333" s="818"/>
      <c r="BR333" s="54"/>
      <c r="BS333" s="54"/>
      <c r="BT333" s="818"/>
      <c r="BU333" s="818"/>
      <c r="BV333" s="818"/>
      <c r="BW333" s="92"/>
      <c r="BX333" s="92"/>
      <c r="BY333" s="17"/>
      <c r="BZ333" s="17"/>
      <c r="CA333" s="17"/>
      <c r="CB333" s="17"/>
      <c r="CC333" s="17"/>
      <c r="CD333" s="17"/>
    </row>
    <row r="334">
      <c r="A334" s="92"/>
      <c r="B334" s="820"/>
      <c r="O334" s="17"/>
      <c r="P334" s="17"/>
      <c r="Q334" s="17"/>
      <c r="R334" s="17"/>
      <c r="S334" s="813"/>
      <c r="T334" s="17"/>
      <c r="AX334" s="17"/>
      <c r="BB334" s="17"/>
      <c r="BE334" s="17"/>
      <c r="BF334" s="17"/>
      <c r="BG334" s="17"/>
      <c r="BH334" s="17"/>
      <c r="BI334" s="17"/>
      <c r="BJ334" s="17"/>
      <c r="BK334" s="17"/>
      <c r="BL334" s="92"/>
      <c r="BM334" s="92"/>
      <c r="BN334" s="92"/>
      <c r="BO334" s="92"/>
      <c r="BP334" s="92"/>
      <c r="BQ334" s="818"/>
      <c r="BR334" s="54"/>
      <c r="BS334" s="54"/>
      <c r="BT334" s="818"/>
      <c r="BU334" s="818"/>
      <c r="BV334" s="818"/>
      <c r="BW334" s="92"/>
      <c r="BX334" s="92"/>
      <c r="BY334" s="17"/>
      <c r="BZ334" s="17"/>
      <c r="CA334" s="17"/>
      <c r="CB334" s="17"/>
      <c r="CC334" s="17"/>
      <c r="CD334" s="17"/>
    </row>
    <row r="335">
      <c r="A335" s="92"/>
      <c r="B335" s="820"/>
      <c r="O335" s="17"/>
      <c r="P335" s="17"/>
      <c r="Q335" s="17"/>
      <c r="R335" s="17"/>
      <c r="S335" s="813"/>
      <c r="T335" s="17"/>
      <c r="AX335" s="17"/>
      <c r="BB335" s="17"/>
      <c r="BE335" s="17"/>
      <c r="BF335" s="17"/>
      <c r="BG335" s="17"/>
      <c r="BH335" s="17"/>
      <c r="BI335" s="17"/>
      <c r="BJ335" s="17"/>
      <c r="BK335" s="17"/>
      <c r="BL335" s="92"/>
      <c r="BM335" s="92"/>
      <c r="BN335" s="92"/>
      <c r="BO335" s="92"/>
      <c r="BP335" s="92"/>
      <c r="BQ335" s="818"/>
      <c r="BR335" s="54"/>
      <c r="BS335" s="54"/>
      <c r="BT335" s="818"/>
      <c r="BU335" s="818"/>
      <c r="BV335" s="818"/>
      <c r="BW335" s="92"/>
      <c r="BX335" s="92"/>
      <c r="BY335" s="17"/>
      <c r="BZ335" s="17"/>
      <c r="CA335" s="17"/>
      <c r="CB335" s="17"/>
      <c r="CC335" s="17"/>
      <c r="CD335" s="17"/>
    </row>
    <row r="336">
      <c r="A336" s="92"/>
      <c r="B336" s="820"/>
      <c r="O336" s="17"/>
      <c r="P336" s="17"/>
      <c r="Q336" s="17"/>
      <c r="R336" s="17"/>
      <c r="S336" s="813"/>
      <c r="T336" s="17"/>
      <c r="AX336" s="17"/>
      <c r="BB336" s="17"/>
      <c r="BE336" s="17"/>
      <c r="BF336" s="17"/>
      <c r="BG336" s="17"/>
      <c r="BH336" s="17"/>
      <c r="BI336" s="17"/>
      <c r="BJ336" s="17"/>
      <c r="BK336" s="17"/>
      <c r="BL336" s="92"/>
      <c r="BM336" s="92"/>
      <c r="BN336" s="92"/>
      <c r="BO336" s="92"/>
      <c r="BP336" s="92"/>
      <c r="BQ336" s="818"/>
      <c r="BR336" s="54"/>
      <c r="BS336" s="54"/>
      <c r="BT336" s="818"/>
      <c r="BU336" s="818"/>
      <c r="BV336" s="818"/>
      <c r="BW336" s="92"/>
      <c r="BX336" s="92"/>
      <c r="BY336" s="17"/>
      <c r="BZ336" s="17"/>
      <c r="CA336" s="17"/>
      <c r="CB336" s="17"/>
      <c r="CC336" s="17"/>
      <c r="CD336" s="17"/>
    </row>
    <row r="337">
      <c r="A337" s="92"/>
      <c r="B337" s="820"/>
      <c r="O337" s="17"/>
      <c r="P337" s="17"/>
      <c r="Q337" s="17"/>
      <c r="R337" s="17"/>
      <c r="S337" s="813"/>
      <c r="T337" s="17"/>
      <c r="AX337" s="17"/>
      <c r="BB337" s="17"/>
      <c r="BE337" s="17"/>
      <c r="BF337" s="17"/>
      <c r="BG337" s="17"/>
      <c r="BH337" s="17"/>
      <c r="BI337" s="17"/>
      <c r="BJ337" s="17"/>
      <c r="BK337" s="17"/>
      <c r="BL337" s="92"/>
      <c r="BM337" s="92"/>
      <c r="BN337" s="92"/>
      <c r="BO337" s="92"/>
      <c r="BP337" s="92"/>
      <c r="BQ337" s="818"/>
      <c r="BR337" s="54"/>
      <c r="BS337" s="54"/>
      <c r="BT337" s="818"/>
      <c r="BU337" s="818"/>
      <c r="BV337" s="818"/>
      <c r="BW337" s="92"/>
      <c r="BX337" s="92"/>
      <c r="BY337" s="17"/>
      <c r="BZ337" s="17"/>
      <c r="CA337" s="17"/>
      <c r="CB337" s="17"/>
      <c r="CC337" s="17"/>
      <c r="CD337" s="17"/>
    </row>
    <row r="338">
      <c r="A338" s="92"/>
      <c r="B338" s="820"/>
      <c r="O338" s="17"/>
      <c r="P338" s="17"/>
      <c r="Q338" s="17"/>
      <c r="R338" s="17"/>
      <c r="S338" s="813"/>
      <c r="T338" s="17"/>
      <c r="AX338" s="17"/>
      <c r="BB338" s="17"/>
      <c r="BE338" s="17"/>
      <c r="BF338" s="17"/>
      <c r="BG338" s="17"/>
      <c r="BH338" s="17"/>
      <c r="BI338" s="17"/>
      <c r="BJ338" s="17"/>
      <c r="BK338" s="17"/>
      <c r="BL338" s="92"/>
      <c r="BM338" s="92"/>
      <c r="BN338" s="92"/>
      <c r="BO338" s="92"/>
      <c r="BP338" s="92"/>
      <c r="BQ338" s="818"/>
      <c r="BR338" s="54"/>
      <c r="BS338" s="54"/>
      <c r="BT338" s="818"/>
      <c r="BU338" s="818"/>
      <c r="BV338" s="818"/>
      <c r="BW338" s="92"/>
      <c r="BX338" s="92"/>
      <c r="BY338" s="17"/>
      <c r="BZ338" s="17"/>
      <c r="CA338" s="17"/>
      <c r="CB338" s="17"/>
      <c r="CC338" s="17"/>
      <c r="CD338" s="17"/>
    </row>
    <row r="339">
      <c r="A339" s="92"/>
      <c r="B339" s="820"/>
      <c r="O339" s="17"/>
      <c r="P339" s="17"/>
      <c r="Q339" s="17"/>
      <c r="R339" s="17"/>
      <c r="S339" s="813"/>
      <c r="T339" s="17"/>
      <c r="AX339" s="17"/>
      <c r="BB339" s="17"/>
      <c r="BE339" s="17"/>
      <c r="BF339" s="17"/>
      <c r="BG339" s="17"/>
      <c r="BH339" s="17"/>
      <c r="BI339" s="17"/>
      <c r="BJ339" s="17"/>
      <c r="BK339" s="17"/>
      <c r="BL339" s="92"/>
      <c r="BM339" s="92"/>
      <c r="BN339" s="92"/>
      <c r="BO339" s="92"/>
      <c r="BP339" s="92"/>
      <c r="BQ339" s="818"/>
      <c r="BR339" s="54"/>
      <c r="BS339" s="54"/>
      <c r="BT339" s="818"/>
      <c r="BU339" s="818"/>
      <c r="BV339" s="818"/>
      <c r="BW339" s="92"/>
      <c r="BX339" s="92"/>
      <c r="BY339" s="17"/>
      <c r="BZ339" s="17"/>
      <c r="CA339" s="17"/>
      <c r="CB339" s="17"/>
      <c r="CC339" s="17"/>
      <c r="CD339" s="17"/>
    </row>
    <row r="340">
      <c r="A340" s="92"/>
      <c r="B340" s="820"/>
      <c r="O340" s="17"/>
      <c r="P340" s="17"/>
      <c r="Q340" s="17"/>
      <c r="R340" s="17"/>
      <c r="S340" s="813"/>
      <c r="T340" s="17"/>
      <c r="AX340" s="17"/>
      <c r="BB340" s="17"/>
      <c r="BE340" s="17"/>
      <c r="BF340" s="17"/>
      <c r="BG340" s="17"/>
      <c r="BH340" s="17"/>
      <c r="BI340" s="17"/>
      <c r="BJ340" s="17"/>
      <c r="BK340" s="17"/>
      <c r="BL340" s="92"/>
      <c r="BM340" s="92"/>
      <c r="BN340" s="92"/>
      <c r="BO340" s="92"/>
      <c r="BP340" s="92"/>
      <c r="BQ340" s="818"/>
      <c r="BR340" s="54"/>
      <c r="BS340" s="54"/>
      <c r="BT340" s="818"/>
      <c r="BU340" s="818"/>
      <c r="BV340" s="818"/>
      <c r="BW340" s="92"/>
      <c r="BX340" s="92"/>
      <c r="BY340" s="17"/>
      <c r="BZ340" s="17"/>
      <c r="CA340" s="17"/>
      <c r="CB340" s="17"/>
      <c r="CC340" s="17"/>
      <c r="CD340" s="17"/>
    </row>
    <row r="341">
      <c r="A341" s="92"/>
      <c r="B341" s="820"/>
      <c r="O341" s="17"/>
      <c r="P341" s="17"/>
      <c r="Q341" s="17"/>
      <c r="R341" s="17"/>
      <c r="S341" s="813"/>
      <c r="T341" s="17"/>
      <c r="AX341" s="17"/>
      <c r="BB341" s="17"/>
      <c r="BE341" s="17"/>
      <c r="BF341" s="17"/>
      <c r="BG341" s="17"/>
      <c r="BH341" s="17"/>
      <c r="BI341" s="17"/>
      <c r="BJ341" s="17"/>
      <c r="BK341" s="17"/>
      <c r="BL341" s="92"/>
      <c r="BM341" s="92"/>
      <c r="BN341" s="92"/>
      <c r="BO341" s="92"/>
      <c r="BP341" s="92"/>
      <c r="BQ341" s="818"/>
      <c r="BR341" s="54"/>
      <c r="BS341" s="54"/>
      <c r="BT341" s="818"/>
      <c r="BU341" s="818"/>
      <c r="BV341" s="818"/>
      <c r="BW341" s="92"/>
      <c r="BX341" s="92"/>
      <c r="BY341" s="17"/>
      <c r="BZ341" s="17"/>
      <c r="CA341" s="17"/>
      <c r="CB341" s="17"/>
      <c r="CC341" s="17"/>
      <c r="CD341" s="17"/>
    </row>
    <row r="342">
      <c r="A342" s="92"/>
      <c r="B342" s="820"/>
      <c r="O342" s="17"/>
      <c r="P342" s="17"/>
      <c r="Q342" s="17"/>
      <c r="R342" s="17"/>
      <c r="S342" s="813"/>
      <c r="T342" s="17"/>
      <c r="AX342" s="17"/>
      <c r="BB342" s="17"/>
      <c r="BE342" s="17"/>
      <c r="BF342" s="17"/>
      <c r="BG342" s="17"/>
      <c r="BH342" s="17"/>
      <c r="BI342" s="17"/>
      <c r="BJ342" s="17"/>
      <c r="BK342" s="17"/>
      <c r="BL342" s="92"/>
      <c r="BM342" s="92"/>
      <c r="BN342" s="92"/>
      <c r="BO342" s="92"/>
      <c r="BP342" s="92"/>
      <c r="BQ342" s="818"/>
      <c r="BR342" s="54"/>
      <c r="BS342" s="54"/>
      <c r="BT342" s="818"/>
      <c r="BU342" s="818"/>
      <c r="BV342" s="818"/>
      <c r="BW342" s="92"/>
      <c r="BX342" s="92"/>
      <c r="BY342" s="17"/>
      <c r="BZ342" s="17"/>
      <c r="CA342" s="17"/>
      <c r="CB342" s="17"/>
      <c r="CC342" s="17"/>
      <c r="CD342" s="17"/>
    </row>
    <row r="343">
      <c r="A343" s="92"/>
      <c r="B343" s="820"/>
      <c r="O343" s="17"/>
      <c r="P343" s="17"/>
      <c r="Q343" s="17"/>
      <c r="R343" s="17"/>
      <c r="S343" s="813"/>
      <c r="T343" s="17"/>
      <c r="AX343" s="17"/>
      <c r="BB343" s="17"/>
      <c r="BE343" s="17"/>
      <c r="BF343" s="17"/>
      <c r="BG343" s="17"/>
      <c r="BH343" s="17"/>
      <c r="BI343" s="17"/>
      <c r="BJ343" s="17"/>
      <c r="BK343" s="17"/>
      <c r="BL343" s="92"/>
      <c r="BM343" s="92"/>
      <c r="BN343" s="92"/>
      <c r="BO343" s="92"/>
      <c r="BP343" s="92"/>
      <c r="BQ343" s="818"/>
      <c r="BR343" s="54"/>
      <c r="BS343" s="54"/>
      <c r="BT343" s="818"/>
      <c r="BU343" s="818"/>
      <c r="BV343" s="818"/>
      <c r="BW343" s="92"/>
      <c r="BX343" s="92"/>
      <c r="BY343" s="17"/>
      <c r="BZ343" s="17"/>
      <c r="CA343" s="17"/>
      <c r="CB343" s="17"/>
      <c r="CC343" s="17"/>
      <c r="CD343" s="17"/>
    </row>
    <row r="344">
      <c r="A344" s="92"/>
      <c r="B344" s="820"/>
      <c r="O344" s="17"/>
      <c r="P344" s="17"/>
      <c r="Q344" s="17"/>
      <c r="R344" s="17"/>
      <c r="S344" s="813"/>
      <c r="T344" s="17"/>
      <c r="AX344" s="17"/>
      <c r="BB344" s="17"/>
      <c r="BE344" s="17"/>
      <c r="BF344" s="17"/>
      <c r="BG344" s="17"/>
      <c r="BH344" s="17"/>
      <c r="BI344" s="17"/>
      <c r="BJ344" s="17"/>
      <c r="BK344" s="17"/>
      <c r="BL344" s="92"/>
      <c r="BM344" s="92"/>
      <c r="BN344" s="92"/>
      <c r="BO344" s="92"/>
      <c r="BP344" s="92"/>
      <c r="BQ344" s="818"/>
      <c r="BR344" s="54"/>
      <c r="BS344" s="54"/>
      <c r="BT344" s="818"/>
      <c r="BU344" s="818"/>
      <c r="BV344" s="818"/>
      <c r="BW344" s="92"/>
      <c r="BX344" s="92"/>
      <c r="BY344" s="17"/>
      <c r="BZ344" s="17"/>
      <c r="CA344" s="17"/>
      <c r="CB344" s="17"/>
      <c r="CC344" s="17"/>
      <c r="CD344" s="17"/>
    </row>
    <row r="345">
      <c r="A345" s="92"/>
      <c r="B345" s="820"/>
      <c r="O345" s="17"/>
      <c r="P345" s="17"/>
      <c r="Q345" s="17"/>
      <c r="R345" s="17"/>
      <c r="S345" s="813"/>
      <c r="T345" s="17"/>
      <c r="AX345" s="17"/>
      <c r="BB345" s="17"/>
      <c r="BE345" s="17"/>
      <c r="BF345" s="17"/>
      <c r="BG345" s="17"/>
      <c r="BH345" s="17"/>
      <c r="BI345" s="17"/>
      <c r="BJ345" s="17"/>
      <c r="BK345" s="17"/>
      <c r="BL345" s="92"/>
      <c r="BM345" s="92"/>
      <c r="BN345" s="92"/>
      <c r="BO345" s="92"/>
      <c r="BP345" s="92"/>
      <c r="BQ345" s="818"/>
      <c r="BR345" s="54"/>
      <c r="BS345" s="54"/>
      <c r="BT345" s="818"/>
      <c r="BU345" s="818"/>
      <c r="BV345" s="818"/>
      <c r="BW345" s="92"/>
      <c r="BX345" s="92"/>
      <c r="BY345" s="17"/>
      <c r="BZ345" s="17"/>
      <c r="CA345" s="17"/>
      <c r="CB345" s="17"/>
      <c r="CC345" s="17"/>
      <c r="CD345" s="17"/>
    </row>
    <row r="346">
      <c r="A346" s="92"/>
      <c r="B346" s="820"/>
      <c r="O346" s="17"/>
      <c r="P346" s="17"/>
      <c r="Q346" s="17"/>
      <c r="R346" s="17"/>
      <c r="S346" s="813"/>
      <c r="T346" s="17"/>
      <c r="AX346" s="17"/>
      <c r="BB346" s="17"/>
      <c r="BE346" s="17"/>
      <c r="BF346" s="17"/>
      <c r="BG346" s="17"/>
      <c r="BH346" s="17"/>
      <c r="BI346" s="17"/>
      <c r="BJ346" s="17"/>
      <c r="BK346" s="17"/>
      <c r="BL346" s="92"/>
      <c r="BM346" s="92"/>
      <c r="BN346" s="92"/>
      <c r="BO346" s="92"/>
      <c r="BP346" s="92"/>
      <c r="BQ346" s="818"/>
      <c r="BR346" s="54"/>
      <c r="BS346" s="54"/>
      <c r="BT346" s="818"/>
      <c r="BU346" s="818"/>
      <c r="BV346" s="818"/>
      <c r="BW346" s="92"/>
      <c r="BX346" s="92"/>
      <c r="BY346" s="17"/>
      <c r="BZ346" s="17"/>
      <c r="CA346" s="17"/>
      <c r="CB346" s="17"/>
      <c r="CC346" s="17"/>
      <c r="CD346" s="17"/>
    </row>
    <row r="347">
      <c r="A347" s="92"/>
      <c r="B347" s="820"/>
      <c r="O347" s="17"/>
      <c r="P347" s="17"/>
      <c r="Q347" s="17"/>
      <c r="R347" s="17"/>
      <c r="S347" s="813"/>
      <c r="T347" s="17"/>
      <c r="AX347" s="17"/>
      <c r="BB347" s="17"/>
      <c r="BE347" s="17"/>
      <c r="BF347" s="17"/>
      <c r="BG347" s="17"/>
      <c r="BH347" s="17"/>
      <c r="BI347" s="17"/>
      <c r="BJ347" s="17"/>
      <c r="BK347" s="17"/>
      <c r="BL347" s="92"/>
      <c r="BM347" s="92"/>
      <c r="BN347" s="92"/>
      <c r="BO347" s="92"/>
      <c r="BP347" s="92"/>
      <c r="BQ347" s="818"/>
      <c r="BR347" s="54"/>
      <c r="BS347" s="54"/>
      <c r="BT347" s="818"/>
      <c r="BU347" s="818"/>
      <c r="BV347" s="818"/>
      <c r="BW347" s="92"/>
      <c r="BX347" s="92"/>
      <c r="BY347" s="17"/>
      <c r="BZ347" s="17"/>
      <c r="CA347" s="17"/>
      <c r="CB347" s="17"/>
      <c r="CC347" s="17"/>
      <c r="CD347" s="17"/>
    </row>
    <row r="348">
      <c r="A348" s="92"/>
      <c r="B348" s="820"/>
      <c r="O348" s="17"/>
      <c r="P348" s="17"/>
      <c r="Q348" s="17"/>
      <c r="R348" s="17"/>
      <c r="S348" s="813"/>
      <c r="T348" s="17"/>
      <c r="AX348" s="17"/>
      <c r="BB348" s="17"/>
      <c r="BE348" s="17"/>
      <c r="BF348" s="17"/>
      <c r="BG348" s="17"/>
      <c r="BH348" s="17"/>
      <c r="BI348" s="17"/>
      <c r="BJ348" s="17"/>
      <c r="BK348" s="17"/>
      <c r="BL348" s="92"/>
      <c r="BM348" s="92"/>
      <c r="BN348" s="92"/>
      <c r="BO348" s="92"/>
      <c r="BP348" s="92"/>
      <c r="BQ348" s="818"/>
      <c r="BR348" s="54"/>
      <c r="BS348" s="54"/>
      <c r="BT348" s="818"/>
      <c r="BU348" s="818"/>
      <c r="BV348" s="818"/>
      <c r="BW348" s="92"/>
      <c r="BX348" s="92"/>
      <c r="BY348" s="17"/>
      <c r="BZ348" s="17"/>
      <c r="CA348" s="17"/>
      <c r="CB348" s="17"/>
      <c r="CC348" s="17"/>
      <c r="CD348" s="17"/>
    </row>
    <row r="349">
      <c r="A349" s="92"/>
      <c r="B349" s="820"/>
      <c r="O349" s="17"/>
      <c r="P349" s="17"/>
      <c r="Q349" s="17"/>
      <c r="R349" s="17"/>
      <c r="S349" s="813"/>
      <c r="T349" s="17"/>
      <c r="AX349" s="17"/>
      <c r="BB349" s="17"/>
      <c r="BE349" s="17"/>
      <c r="BF349" s="17"/>
      <c r="BG349" s="17"/>
      <c r="BH349" s="17"/>
      <c r="BI349" s="17"/>
      <c r="BJ349" s="17"/>
      <c r="BK349" s="17"/>
      <c r="BL349" s="92"/>
      <c r="BM349" s="92"/>
      <c r="BN349" s="92"/>
      <c r="BO349" s="92"/>
      <c r="BP349" s="92"/>
      <c r="BQ349" s="818"/>
      <c r="BR349" s="54"/>
      <c r="BS349" s="54"/>
      <c r="BT349" s="818"/>
      <c r="BU349" s="818"/>
      <c r="BV349" s="818"/>
      <c r="BW349" s="92"/>
      <c r="BX349" s="92"/>
      <c r="BY349" s="17"/>
      <c r="BZ349" s="17"/>
      <c r="CA349" s="17"/>
      <c r="CB349" s="17"/>
      <c r="CC349" s="17"/>
      <c r="CD349" s="17"/>
    </row>
    <row r="350">
      <c r="A350" s="92"/>
      <c r="B350" s="820"/>
      <c r="O350" s="17"/>
      <c r="P350" s="17"/>
      <c r="Q350" s="17"/>
      <c r="R350" s="17"/>
      <c r="S350" s="813"/>
      <c r="T350" s="17"/>
      <c r="AX350" s="17"/>
      <c r="BB350" s="17"/>
      <c r="BE350" s="17"/>
      <c r="BF350" s="17"/>
      <c r="BG350" s="17"/>
      <c r="BH350" s="17"/>
      <c r="BI350" s="17"/>
      <c r="BJ350" s="17"/>
      <c r="BK350" s="17"/>
      <c r="BL350" s="92"/>
      <c r="BM350" s="92"/>
      <c r="BN350" s="92"/>
      <c r="BO350" s="92"/>
      <c r="BP350" s="92"/>
      <c r="BQ350" s="818"/>
      <c r="BR350" s="54"/>
      <c r="BS350" s="54"/>
      <c r="BT350" s="818"/>
      <c r="BU350" s="818"/>
      <c r="BV350" s="818"/>
      <c r="BW350" s="92"/>
      <c r="BX350" s="92"/>
      <c r="BY350" s="17"/>
      <c r="BZ350" s="17"/>
      <c r="CA350" s="17"/>
      <c r="CB350" s="17"/>
      <c r="CC350" s="17"/>
      <c r="CD350" s="17"/>
    </row>
    <row r="351">
      <c r="A351" s="92"/>
      <c r="B351" s="820"/>
      <c r="O351" s="17"/>
      <c r="P351" s="17"/>
      <c r="Q351" s="17"/>
      <c r="R351" s="17"/>
      <c r="S351" s="813"/>
      <c r="T351" s="17"/>
      <c r="AX351" s="17"/>
      <c r="BB351" s="17"/>
      <c r="BE351" s="17"/>
      <c r="BF351" s="17"/>
      <c r="BG351" s="17"/>
      <c r="BH351" s="17"/>
      <c r="BI351" s="17"/>
      <c r="BJ351" s="17"/>
      <c r="BK351" s="17"/>
      <c r="BL351" s="92"/>
      <c r="BM351" s="92"/>
      <c r="BN351" s="92"/>
      <c r="BO351" s="92"/>
      <c r="BP351" s="92"/>
      <c r="BQ351" s="818"/>
      <c r="BR351" s="54"/>
      <c r="BS351" s="54"/>
      <c r="BT351" s="818"/>
      <c r="BU351" s="818"/>
      <c r="BV351" s="818"/>
      <c r="BW351" s="92"/>
      <c r="BX351" s="92"/>
      <c r="BY351" s="17"/>
      <c r="BZ351" s="17"/>
      <c r="CA351" s="17"/>
      <c r="CB351" s="17"/>
      <c r="CC351" s="17"/>
      <c r="CD351" s="17"/>
    </row>
    <row r="352">
      <c r="A352" s="92"/>
      <c r="B352" s="820"/>
      <c r="O352" s="17"/>
      <c r="P352" s="17"/>
      <c r="Q352" s="17"/>
      <c r="R352" s="17"/>
      <c r="S352" s="813"/>
      <c r="T352" s="17"/>
      <c r="AX352" s="17"/>
      <c r="BB352" s="17"/>
      <c r="BE352" s="17"/>
      <c r="BF352" s="17"/>
      <c r="BG352" s="17"/>
      <c r="BH352" s="17"/>
      <c r="BI352" s="17"/>
      <c r="BJ352" s="17"/>
      <c r="BK352" s="17"/>
      <c r="BL352" s="92"/>
      <c r="BM352" s="92"/>
      <c r="BN352" s="92"/>
      <c r="BO352" s="92"/>
      <c r="BP352" s="92"/>
      <c r="BQ352" s="818"/>
      <c r="BR352" s="54"/>
      <c r="BS352" s="54"/>
      <c r="BT352" s="818"/>
      <c r="BU352" s="818"/>
      <c r="BV352" s="818"/>
      <c r="BW352" s="92"/>
      <c r="BX352" s="92"/>
      <c r="BY352" s="17"/>
      <c r="BZ352" s="17"/>
      <c r="CA352" s="17"/>
      <c r="CB352" s="17"/>
      <c r="CC352" s="17"/>
      <c r="CD352" s="17"/>
    </row>
    <row r="353">
      <c r="A353" s="92"/>
      <c r="B353" s="820"/>
      <c r="O353" s="17"/>
      <c r="P353" s="17"/>
      <c r="Q353" s="17"/>
      <c r="R353" s="17"/>
      <c r="S353" s="813"/>
      <c r="T353" s="17"/>
      <c r="AX353" s="17"/>
      <c r="BB353" s="17"/>
      <c r="BE353" s="17"/>
      <c r="BF353" s="17"/>
      <c r="BG353" s="17"/>
      <c r="BH353" s="17"/>
      <c r="BI353" s="17"/>
      <c r="BJ353" s="17"/>
      <c r="BK353" s="17"/>
      <c r="BL353" s="92"/>
      <c r="BM353" s="92"/>
      <c r="BN353" s="92"/>
      <c r="BO353" s="92"/>
      <c r="BP353" s="92"/>
      <c r="BQ353" s="818"/>
      <c r="BR353" s="54"/>
      <c r="BS353" s="54"/>
      <c r="BT353" s="818"/>
      <c r="BU353" s="818"/>
      <c r="BV353" s="818"/>
      <c r="BW353" s="92"/>
      <c r="BX353" s="92"/>
      <c r="BY353" s="17"/>
      <c r="BZ353" s="17"/>
      <c r="CA353" s="17"/>
      <c r="CB353" s="17"/>
      <c r="CC353" s="17"/>
      <c r="CD353" s="17"/>
    </row>
    <row r="354">
      <c r="A354" s="92"/>
      <c r="B354" s="820"/>
      <c r="O354" s="17"/>
      <c r="P354" s="17"/>
      <c r="Q354" s="17"/>
      <c r="R354" s="17"/>
      <c r="S354" s="813"/>
      <c r="T354" s="17"/>
      <c r="AX354" s="17"/>
      <c r="BB354" s="17"/>
      <c r="BE354" s="17"/>
      <c r="BF354" s="17"/>
      <c r="BG354" s="17"/>
      <c r="BH354" s="17"/>
      <c r="BI354" s="17"/>
      <c r="BJ354" s="17"/>
      <c r="BK354" s="17"/>
      <c r="BL354" s="92"/>
      <c r="BM354" s="92"/>
      <c r="BN354" s="92"/>
      <c r="BO354" s="92"/>
      <c r="BP354" s="92"/>
      <c r="BQ354" s="818"/>
      <c r="BR354" s="54"/>
      <c r="BS354" s="54"/>
      <c r="BT354" s="818"/>
      <c r="BU354" s="818"/>
      <c r="BV354" s="818"/>
      <c r="BW354" s="92"/>
      <c r="BX354" s="92"/>
      <c r="BY354" s="17"/>
      <c r="BZ354" s="17"/>
      <c r="CA354" s="17"/>
      <c r="CB354" s="17"/>
      <c r="CC354" s="17"/>
      <c r="CD354" s="17"/>
    </row>
    <row r="355">
      <c r="A355" s="92"/>
      <c r="B355" s="820"/>
      <c r="O355" s="17"/>
      <c r="P355" s="17"/>
      <c r="Q355" s="17"/>
      <c r="R355" s="17"/>
      <c r="S355" s="813"/>
      <c r="T355" s="17"/>
      <c r="AX355" s="17"/>
      <c r="BB355" s="17"/>
      <c r="BE355" s="17"/>
      <c r="BF355" s="17"/>
      <c r="BG355" s="17"/>
      <c r="BH355" s="17"/>
      <c r="BI355" s="17"/>
      <c r="BJ355" s="17"/>
      <c r="BK355" s="17"/>
      <c r="BL355" s="92"/>
      <c r="BM355" s="92"/>
      <c r="BN355" s="92"/>
      <c r="BO355" s="92"/>
      <c r="BP355" s="92"/>
      <c r="BQ355" s="818"/>
      <c r="BR355" s="54"/>
      <c r="BS355" s="54"/>
      <c r="BT355" s="818"/>
      <c r="BU355" s="818"/>
      <c r="BV355" s="818"/>
      <c r="BW355" s="92"/>
      <c r="BX355" s="92"/>
      <c r="BY355" s="17"/>
      <c r="BZ355" s="17"/>
      <c r="CA355" s="17"/>
      <c r="CB355" s="17"/>
      <c r="CC355" s="17"/>
      <c r="CD355" s="17"/>
    </row>
    <row r="356">
      <c r="A356" s="92"/>
      <c r="B356" s="820"/>
      <c r="O356" s="17"/>
      <c r="P356" s="17"/>
      <c r="Q356" s="17"/>
      <c r="R356" s="17"/>
      <c r="S356" s="813"/>
      <c r="T356" s="17"/>
      <c r="AX356" s="17"/>
      <c r="BB356" s="17"/>
      <c r="BE356" s="17"/>
      <c r="BF356" s="17"/>
      <c r="BG356" s="17"/>
      <c r="BH356" s="17"/>
      <c r="BI356" s="17"/>
      <c r="BJ356" s="17"/>
      <c r="BK356" s="17"/>
      <c r="BL356" s="92"/>
      <c r="BM356" s="92"/>
      <c r="BN356" s="92"/>
      <c r="BO356" s="92"/>
      <c r="BP356" s="92"/>
      <c r="BQ356" s="818"/>
      <c r="BR356" s="54"/>
      <c r="BS356" s="54"/>
      <c r="BT356" s="818"/>
      <c r="BU356" s="818"/>
      <c r="BV356" s="818"/>
      <c r="BW356" s="92"/>
      <c r="BX356" s="92"/>
      <c r="BY356" s="17"/>
      <c r="BZ356" s="17"/>
      <c r="CA356" s="17"/>
      <c r="CB356" s="17"/>
      <c r="CC356" s="17"/>
      <c r="CD356" s="17"/>
    </row>
    <row r="357">
      <c r="A357" s="92"/>
      <c r="B357" s="820"/>
      <c r="O357" s="17"/>
      <c r="P357" s="17"/>
      <c r="Q357" s="17"/>
      <c r="R357" s="17"/>
      <c r="S357" s="813"/>
      <c r="T357" s="17"/>
      <c r="AX357" s="17"/>
      <c r="BB357" s="17"/>
      <c r="BE357" s="17"/>
      <c r="BF357" s="17"/>
      <c r="BG357" s="17"/>
      <c r="BH357" s="17"/>
      <c r="BI357" s="17"/>
      <c r="BJ357" s="17"/>
      <c r="BK357" s="17"/>
      <c r="BL357" s="92"/>
      <c r="BM357" s="92"/>
      <c r="BN357" s="92"/>
      <c r="BO357" s="92"/>
      <c r="BP357" s="92"/>
      <c r="BQ357" s="818"/>
      <c r="BR357" s="54"/>
      <c r="BS357" s="54"/>
      <c r="BT357" s="818"/>
      <c r="BU357" s="818"/>
      <c r="BV357" s="818"/>
      <c r="BW357" s="92"/>
      <c r="BX357" s="92"/>
      <c r="BY357" s="17"/>
      <c r="BZ357" s="17"/>
      <c r="CA357" s="17"/>
      <c r="CB357" s="17"/>
      <c r="CC357" s="17"/>
      <c r="CD357" s="17"/>
    </row>
    <row r="358">
      <c r="A358" s="92"/>
      <c r="B358" s="820"/>
      <c r="O358" s="17"/>
      <c r="P358" s="17"/>
      <c r="Q358" s="17"/>
      <c r="R358" s="17"/>
      <c r="S358" s="813"/>
      <c r="T358" s="17"/>
      <c r="AX358" s="17"/>
      <c r="BB358" s="17"/>
      <c r="BE358" s="17"/>
      <c r="BF358" s="17"/>
      <c r="BG358" s="17"/>
      <c r="BH358" s="17"/>
      <c r="BI358" s="17"/>
      <c r="BJ358" s="17"/>
      <c r="BK358" s="17"/>
      <c r="BL358" s="92"/>
      <c r="BM358" s="92"/>
      <c r="BN358" s="92"/>
      <c r="BO358" s="92"/>
      <c r="BP358" s="92"/>
      <c r="BQ358" s="818"/>
      <c r="BR358" s="54"/>
      <c r="BS358" s="54"/>
      <c r="BT358" s="818"/>
      <c r="BU358" s="818"/>
      <c r="BV358" s="818"/>
      <c r="BW358" s="92"/>
      <c r="BX358" s="92"/>
      <c r="BY358" s="17"/>
      <c r="BZ358" s="17"/>
      <c r="CA358" s="17"/>
      <c r="CB358" s="17"/>
      <c r="CC358" s="17"/>
      <c r="CD358" s="17"/>
    </row>
    <row r="359">
      <c r="A359" s="92"/>
      <c r="B359" s="820"/>
      <c r="O359" s="17"/>
      <c r="P359" s="17"/>
      <c r="Q359" s="17"/>
      <c r="R359" s="17"/>
      <c r="S359" s="813"/>
      <c r="T359" s="17"/>
      <c r="AX359" s="17"/>
      <c r="BB359" s="17"/>
      <c r="BE359" s="17"/>
      <c r="BF359" s="17"/>
      <c r="BG359" s="17"/>
      <c r="BH359" s="17"/>
      <c r="BI359" s="17"/>
      <c r="BJ359" s="17"/>
      <c r="BK359" s="17"/>
      <c r="BL359" s="92"/>
      <c r="BM359" s="92"/>
      <c r="BN359" s="92"/>
      <c r="BO359" s="92"/>
      <c r="BP359" s="92"/>
      <c r="BQ359" s="818"/>
      <c r="BR359" s="54"/>
      <c r="BS359" s="54"/>
      <c r="BT359" s="818"/>
      <c r="BU359" s="818"/>
      <c r="BV359" s="818"/>
      <c r="BW359" s="92"/>
      <c r="BX359" s="92"/>
      <c r="BY359" s="17"/>
      <c r="BZ359" s="17"/>
      <c r="CA359" s="17"/>
      <c r="CB359" s="17"/>
      <c r="CC359" s="17"/>
      <c r="CD359" s="17"/>
    </row>
    <row r="360">
      <c r="A360" s="92"/>
      <c r="B360" s="820"/>
      <c r="O360" s="17"/>
      <c r="P360" s="17"/>
      <c r="Q360" s="17"/>
      <c r="R360" s="17"/>
      <c r="S360" s="813"/>
      <c r="T360" s="17"/>
      <c r="AX360" s="17"/>
      <c r="BB360" s="17"/>
      <c r="BE360" s="17"/>
      <c r="BF360" s="17"/>
      <c r="BG360" s="17"/>
      <c r="BH360" s="17"/>
      <c r="BI360" s="17"/>
      <c r="BJ360" s="17"/>
      <c r="BK360" s="17"/>
      <c r="BL360" s="92"/>
      <c r="BM360" s="92"/>
      <c r="BN360" s="92"/>
      <c r="BO360" s="92"/>
      <c r="BP360" s="92"/>
      <c r="BQ360" s="818"/>
      <c r="BR360" s="54"/>
      <c r="BS360" s="54"/>
      <c r="BT360" s="818"/>
      <c r="BU360" s="818"/>
      <c r="BV360" s="818"/>
      <c r="BW360" s="92"/>
      <c r="BX360" s="92"/>
      <c r="BY360" s="17"/>
      <c r="BZ360" s="17"/>
      <c r="CA360" s="17"/>
      <c r="CB360" s="17"/>
      <c r="CC360" s="17"/>
      <c r="CD360" s="17"/>
    </row>
    <row r="361">
      <c r="A361" s="92"/>
      <c r="B361" s="820"/>
      <c r="O361" s="17"/>
      <c r="P361" s="17"/>
      <c r="Q361" s="17"/>
      <c r="R361" s="17"/>
      <c r="S361" s="813"/>
      <c r="T361" s="17"/>
      <c r="AX361" s="17"/>
      <c r="BB361" s="17"/>
      <c r="BE361" s="17"/>
      <c r="BF361" s="17"/>
      <c r="BG361" s="17"/>
      <c r="BH361" s="17"/>
      <c r="BI361" s="17"/>
      <c r="BJ361" s="17"/>
      <c r="BK361" s="17"/>
      <c r="BL361" s="92"/>
      <c r="BM361" s="92"/>
      <c r="BN361" s="92"/>
      <c r="BO361" s="92"/>
      <c r="BP361" s="92"/>
      <c r="BQ361" s="818"/>
      <c r="BR361" s="54"/>
      <c r="BS361" s="54"/>
      <c r="BT361" s="818"/>
      <c r="BU361" s="818"/>
      <c r="BV361" s="818"/>
      <c r="BW361" s="92"/>
      <c r="BX361" s="92"/>
      <c r="BY361" s="17"/>
      <c r="BZ361" s="17"/>
      <c r="CA361" s="17"/>
      <c r="CB361" s="17"/>
      <c r="CC361" s="17"/>
      <c r="CD361" s="17"/>
    </row>
    <row r="362">
      <c r="A362" s="92"/>
      <c r="B362" s="820"/>
      <c r="O362" s="17"/>
      <c r="P362" s="17"/>
      <c r="Q362" s="17"/>
      <c r="R362" s="17"/>
      <c r="S362" s="813"/>
      <c r="T362" s="17"/>
      <c r="AX362" s="17"/>
      <c r="BB362" s="17"/>
      <c r="BE362" s="17"/>
      <c r="BF362" s="17"/>
      <c r="BG362" s="17"/>
      <c r="BH362" s="17"/>
      <c r="BI362" s="17"/>
      <c r="BJ362" s="17"/>
      <c r="BK362" s="17"/>
      <c r="BL362" s="92"/>
      <c r="BM362" s="92"/>
      <c r="BN362" s="92"/>
      <c r="BO362" s="92"/>
      <c r="BP362" s="92"/>
      <c r="BQ362" s="818"/>
      <c r="BR362" s="54"/>
      <c r="BS362" s="54"/>
      <c r="BT362" s="818"/>
      <c r="BU362" s="818"/>
      <c r="BV362" s="818"/>
      <c r="BW362" s="92"/>
      <c r="BX362" s="92"/>
      <c r="BY362" s="17"/>
      <c r="BZ362" s="17"/>
      <c r="CA362" s="17"/>
      <c r="CB362" s="17"/>
      <c r="CC362" s="17"/>
      <c r="CD362" s="17"/>
    </row>
    <row r="363">
      <c r="A363" s="92"/>
      <c r="B363" s="820"/>
      <c r="O363" s="17"/>
      <c r="P363" s="17"/>
      <c r="Q363" s="17"/>
      <c r="R363" s="17"/>
      <c r="S363" s="813"/>
      <c r="T363" s="17"/>
      <c r="AX363" s="17"/>
      <c r="BB363" s="17"/>
      <c r="BE363" s="17"/>
      <c r="BF363" s="17"/>
      <c r="BG363" s="17"/>
      <c r="BH363" s="17"/>
      <c r="BI363" s="17"/>
      <c r="BJ363" s="17"/>
      <c r="BK363" s="17"/>
      <c r="BL363" s="92"/>
      <c r="BM363" s="92"/>
      <c r="BN363" s="92"/>
      <c r="BO363" s="92"/>
      <c r="BP363" s="92"/>
      <c r="BQ363" s="818"/>
      <c r="BR363" s="54"/>
      <c r="BS363" s="54"/>
      <c r="BT363" s="818"/>
      <c r="BU363" s="818"/>
      <c r="BV363" s="818"/>
      <c r="BW363" s="92"/>
      <c r="BX363" s="92"/>
      <c r="BY363" s="17"/>
      <c r="BZ363" s="17"/>
      <c r="CA363" s="17"/>
      <c r="CB363" s="17"/>
      <c r="CC363" s="17"/>
      <c r="CD363" s="17"/>
    </row>
    <row r="364">
      <c r="A364" s="92"/>
      <c r="B364" s="820"/>
      <c r="O364" s="17"/>
      <c r="P364" s="17"/>
      <c r="Q364" s="17"/>
      <c r="R364" s="17"/>
      <c r="S364" s="813"/>
      <c r="T364" s="17"/>
      <c r="AX364" s="17"/>
      <c r="BB364" s="17"/>
      <c r="BE364" s="17"/>
      <c r="BF364" s="17"/>
      <c r="BG364" s="17"/>
      <c r="BH364" s="17"/>
      <c r="BI364" s="17"/>
      <c r="BJ364" s="17"/>
      <c r="BK364" s="17"/>
      <c r="BL364" s="92"/>
      <c r="BM364" s="92"/>
      <c r="BN364" s="92"/>
      <c r="BO364" s="92"/>
      <c r="BP364" s="92"/>
      <c r="BQ364" s="818"/>
      <c r="BR364" s="54"/>
      <c r="BS364" s="54"/>
      <c r="BT364" s="818"/>
      <c r="BU364" s="818"/>
      <c r="BV364" s="818"/>
      <c r="BW364" s="92"/>
      <c r="BX364" s="92"/>
      <c r="BY364" s="17"/>
      <c r="BZ364" s="17"/>
      <c r="CA364" s="17"/>
      <c r="CB364" s="17"/>
      <c r="CC364" s="17"/>
      <c r="CD364" s="17"/>
    </row>
    <row r="365">
      <c r="A365" s="92"/>
      <c r="B365" s="820"/>
      <c r="O365" s="17"/>
      <c r="P365" s="17"/>
      <c r="Q365" s="17"/>
      <c r="R365" s="17"/>
      <c r="S365" s="813"/>
      <c r="T365" s="17"/>
      <c r="AX365" s="17"/>
      <c r="BB365" s="17"/>
      <c r="BE365" s="17"/>
      <c r="BF365" s="17"/>
      <c r="BG365" s="17"/>
      <c r="BH365" s="17"/>
      <c r="BI365" s="17"/>
      <c r="BJ365" s="17"/>
      <c r="BK365" s="17"/>
      <c r="BL365" s="92"/>
      <c r="BM365" s="92"/>
      <c r="BN365" s="92"/>
      <c r="BO365" s="92"/>
      <c r="BP365" s="92"/>
      <c r="BQ365" s="818"/>
      <c r="BR365" s="54"/>
      <c r="BS365" s="54"/>
      <c r="BT365" s="818"/>
      <c r="BU365" s="818"/>
      <c r="BV365" s="818"/>
      <c r="BW365" s="92"/>
      <c r="BX365" s="92"/>
      <c r="BY365" s="17"/>
      <c r="BZ365" s="17"/>
      <c r="CA365" s="17"/>
      <c r="CB365" s="17"/>
      <c r="CC365" s="17"/>
      <c r="CD365" s="17"/>
    </row>
    <row r="366">
      <c r="A366" s="92"/>
      <c r="B366" s="820"/>
      <c r="O366" s="17"/>
      <c r="P366" s="17"/>
      <c r="Q366" s="17"/>
      <c r="R366" s="17"/>
      <c r="S366" s="813"/>
      <c r="T366" s="17"/>
      <c r="AX366" s="17"/>
      <c r="BB366" s="17"/>
      <c r="BE366" s="17"/>
      <c r="BF366" s="17"/>
      <c r="BG366" s="17"/>
      <c r="BH366" s="17"/>
      <c r="BI366" s="17"/>
      <c r="BJ366" s="17"/>
      <c r="BK366" s="17"/>
      <c r="BL366" s="92"/>
      <c r="BM366" s="92"/>
      <c r="BN366" s="92"/>
      <c r="BO366" s="92"/>
      <c r="BP366" s="92"/>
      <c r="BQ366" s="818"/>
      <c r="BR366" s="54"/>
      <c r="BS366" s="54"/>
      <c r="BT366" s="818"/>
      <c r="BU366" s="818"/>
      <c r="BV366" s="818"/>
      <c r="BW366" s="92"/>
      <c r="BX366" s="92"/>
      <c r="BY366" s="17"/>
      <c r="BZ366" s="17"/>
      <c r="CA366" s="17"/>
      <c r="CB366" s="17"/>
      <c r="CC366" s="17"/>
      <c r="CD366" s="17"/>
    </row>
    <row r="367">
      <c r="A367" s="92"/>
      <c r="B367" s="820"/>
      <c r="O367" s="17"/>
      <c r="P367" s="17"/>
      <c r="Q367" s="17"/>
      <c r="R367" s="17"/>
      <c r="S367" s="813"/>
      <c r="T367" s="17"/>
      <c r="AX367" s="17"/>
      <c r="BB367" s="17"/>
      <c r="BE367" s="17"/>
      <c r="BF367" s="17"/>
      <c r="BG367" s="17"/>
      <c r="BH367" s="17"/>
      <c r="BI367" s="17"/>
      <c r="BJ367" s="17"/>
      <c r="BK367" s="17"/>
      <c r="BL367" s="92"/>
      <c r="BM367" s="92"/>
      <c r="BN367" s="92"/>
      <c r="BO367" s="92"/>
      <c r="BP367" s="92"/>
      <c r="BQ367" s="818"/>
      <c r="BR367" s="54"/>
      <c r="BS367" s="54"/>
      <c r="BT367" s="818"/>
      <c r="BU367" s="818"/>
      <c r="BV367" s="818"/>
      <c r="BW367" s="92"/>
      <c r="BX367" s="92"/>
      <c r="BY367" s="17"/>
      <c r="BZ367" s="17"/>
      <c r="CA367" s="17"/>
      <c r="CB367" s="17"/>
      <c r="CC367" s="17"/>
      <c r="CD367" s="17"/>
    </row>
    <row r="368">
      <c r="A368" s="92"/>
      <c r="B368" s="820"/>
      <c r="O368" s="17"/>
      <c r="P368" s="17"/>
      <c r="Q368" s="17"/>
      <c r="R368" s="17"/>
      <c r="S368" s="813"/>
      <c r="T368" s="17"/>
      <c r="AX368" s="17"/>
      <c r="BB368" s="17"/>
      <c r="BE368" s="17"/>
      <c r="BF368" s="17"/>
      <c r="BG368" s="17"/>
      <c r="BH368" s="17"/>
      <c r="BI368" s="17"/>
      <c r="BJ368" s="17"/>
      <c r="BK368" s="17"/>
      <c r="BL368" s="92"/>
      <c r="BM368" s="92"/>
      <c r="BN368" s="92"/>
      <c r="BO368" s="92"/>
      <c r="BP368" s="92"/>
      <c r="BQ368" s="818"/>
      <c r="BR368" s="54"/>
      <c r="BS368" s="54"/>
      <c r="BT368" s="818"/>
      <c r="BU368" s="818"/>
      <c r="BV368" s="818"/>
      <c r="BW368" s="92"/>
      <c r="BX368" s="92"/>
      <c r="BY368" s="17"/>
      <c r="BZ368" s="17"/>
      <c r="CA368" s="17"/>
      <c r="CB368" s="17"/>
      <c r="CC368" s="17"/>
      <c r="CD368" s="17"/>
    </row>
    <row r="369">
      <c r="A369" s="92"/>
      <c r="B369" s="820"/>
      <c r="O369" s="17"/>
      <c r="P369" s="17"/>
      <c r="Q369" s="17"/>
      <c r="R369" s="17"/>
      <c r="S369" s="813"/>
      <c r="T369" s="17"/>
      <c r="AX369" s="17"/>
      <c r="BB369" s="17"/>
      <c r="BE369" s="17"/>
      <c r="BF369" s="17"/>
      <c r="BG369" s="17"/>
      <c r="BH369" s="17"/>
      <c r="BI369" s="17"/>
      <c r="BJ369" s="17"/>
      <c r="BK369" s="17"/>
      <c r="BL369" s="92"/>
      <c r="BM369" s="92"/>
      <c r="BN369" s="92"/>
      <c r="BO369" s="92"/>
      <c r="BP369" s="92"/>
      <c r="BQ369" s="818"/>
      <c r="BR369" s="54"/>
      <c r="BS369" s="54"/>
      <c r="BT369" s="818"/>
      <c r="BU369" s="818"/>
      <c r="BV369" s="818"/>
      <c r="BW369" s="92"/>
      <c r="BX369" s="92"/>
      <c r="BY369" s="17"/>
      <c r="BZ369" s="17"/>
      <c r="CA369" s="17"/>
      <c r="CB369" s="17"/>
      <c r="CC369" s="17"/>
      <c r="CD369" s="17"/>
    </row>
    <row r="370">
      <c r="A370" s="92"/>
      <c r="B370" s="820"/>
      <c r="O370" s="17"/>
      <c r="P370" s="17"/>
      <c r="Q370" s="17"/>
      <c r="R370" s="17"/>
      <c r="S370" s="813"/>
      <c r="T370" s="17"/>
      <c r="AX370" s="17"/>
      <c r="BB370" s="17"/>
      <c r="BE370" s="17"/>
      <c r="BF370" s="17"/>
      <c r="BG370" s="17"/>
      <c r="BH370" s="17"/>
      <c r="BI370" s="17"/>
      <c r="BJ370" s="17"/>
      <c r="BK370" s="17"/>
      <c r="BL370" s="92"/>
      <c r="BM370" s="92"/>
      <c r="BN370" s="92"/>
      <c r="BO370" s="92"/>
      <c r="BP370" s="92"/>
      <c r="BQ370" s="818"/>
      <c r="BR370" s="54"/>
      <c r="BS370" s="54"/>
      <c r="BT370" s="818"/>
      <c r="BU370" s="818"/>
      <c r="BV370" s="818"/>
      <c r="BW370" s="92"/>
      <c r="BX370" s="92"/>
      <c r="BY370" s="17"/>
      <c r="BZ370" s="17"/>
      <c r="CA370" s="17"/>
      <c r="CB370" s="17"/>
      <c r="CC370" s="17"/>
      <c r="CD370" s="17"/>
    </row>
    <row r="371">
      <c r="A371" s="92"/>
      <c r="B371" s="820"/>
      <c r="O371" s="17"/>
      <c r="P371" s="17"/>
      <c r="Q371" s="17"/>
      <c r="R371" s="17"/>
      <c r="S371" s="813"/>
      <c r="T371" s="17"/>
      <c r="AX371" s="17"/>
      <c r="BB371" s="17"/>
      <c r="BE371" s="17"/>
      <c r="BF371" s="17"/>
      <c r="BG371" s="17"/>
      <c r="BH371" s="17"/>
      <c r="BI371" s="17"/>
      <c r="BJ371" s="17"/>
      <c r="BK371" s="17"/>
      <c r="BL371" s="92"/>
      <c r="BM371" s="92"/>
      <c r="BN371" s="92"/>
      <c r="BO371" s="92"/>
      <c r="BP371" s="92"/>
      <c r="BQ371" s="818"/>
      <c r="BR371" s="54"/>
      <c r="BS371" s="54"/>
      <c r="BT371" s="818"/>
      <c r="BU371" s="818"/>
      <c r="BV371" s="818"/>
      <c r="BW371" s="92"/>
      <c r="BX371" s="92"/>
      <c r="BY371" s="17"/>
      <c r="BZ371" s="17"/>
      <c r="CA371" s="17"/>
      <c r="CB371" s="17"/>
      <c r="CC371" s="17"/>
      <c r="CD371" s="17"/>
    </row>
    <row r="372">
      <c r="A372" s="92"/>
      <c r="B372" s="820"/>
      <c r="O372" s="17"/>
      <c r="P372" s="17"/>
      <c r="Q372" s="17"/>
      <c r="R372" s="17"/>
      <c r="S372" s="813"/>
      <c r="T372" s="17"/>
      <c r="AX372" s="17"/>
      <c r="BB372" s="17"/>
      <c r="BE372" s="17"/>
      <c r="BF372" s="17"/>
      <c r="BG372" s="17"/>
      <c r="BH372" s="17"/>
      <c r="BI372" s="17"/>
      <c r="BJ372" s="17"/>
      <c r="BK372" s="17"/>
      <c r="BL372" s="92"/>
      <c r="BM372" s="92"/>
      <c r="BN372" s="92"/>
      <c r="BO372" s="92"/>
      <c r="BP372" s="92"/>
      <c r="BQ372" s="818"/>
      <c r="BR372" s="54"/>
      <c r="BS372" s="54"/>
      <c r="BT372" s="818"/>
      <c r="BU372" s="818"/>
      <c r="BV372" s="818"/>
      <c r="BW372" s="92"/>
      <c r="BX372" s="92"/>
      <c r="BY372" s="17"/>
      <c r="BZ372" s="17"/>
      <c r="CA372" s="17"/>
      <c r="CB372" s="17"/>
      <c r="CC372" s="17"/>
      <c r="CD372" s="17"/>
    </row>
    <row r="373">
      <c r="A373" s="92"/>
      <c r="B373" s="820"/>
      <c r="O373" s="17"/>
      <c r="P373" s="17"/>
      <c r="Q373" s="17"/>
      <c r="R373" s="17"/>
      <c r="S373" s="813"/>
      <c r="T373" s="17"/>
      <c r="AX373" s="17"/>
      <c r="BB373" s="17"/>
      <c r="BE373" s="17"/>
      <c r="BF373" s="17"/>
      <c r="BG373" s="17"/>
      <c r="BH373" s="17"/>
      <c r="BI373" s="17"/>
      <c r="BJ373" s="17"/>
      <c r="BK373" s="17"/>
      <c r="BL373" s="92"/>
      <c r="BM373" s="92"/>
      <c r="BN373" s="92"/>
      <c r="BO373" s="92"/>
      <c r="BP373" s="92"/>
      <c r="BQ373" s="818"/>
      <c r="BR373" s="54"/>
      <c r="BS373" s="54"/>
      <c r="BT373" s="818"/>
      <c r="BU373" s="818"/>
      <c r="BV373" s="818"/>
      <c r="BW373" s="92"/>
      <c r="BX373" s="92"/>
      <c r="BY373" s="17"/>
      <c r="BZ373" s="17"/>
      <c r="CA373" s="17"/>
      <c r="CB373" s="17"/>
      <c r="CC373" s="17"/>
      <c r="CD373" s="17"/>
    </row>
    <row r="374">
      <c r="A374" s="92"/>
      <c r="B374" s="820"/>
      <c r="O374" s="17"/>
      <c r="P374" s="17"/>
      <c r="Q374" s="17"/>
      <c r="R374" s="17"/>
      <c r="S374" s="813"/>
      <c r="T374" s="17"/>
      <c r="AX374" s="17"/>
      <c r="BB374" s="17"/>
      <c r="BE374" s="17"/>
      <c r="BF374" s="17"/>
      <c r="BG374" s="17"/>
      <c r="BH374" s="17"/>
      <c r="BI374" s="17"/>
      <c r="BJ374" s="17"/>
      <c r="BK374" s="17"/>
      <c r="BL374" s="92"/>
      <c r="BM374" s="92"/>
      <c r="BN374" s="92"/>
      <c r="BO374" s="92"/>
      <c r="BP374" s="92"/>
      <c r="BQ374" s="818"/>
      <c r="BR374" s="54"/>
      <c r="BS374" s="54"/>
      <c r="BT374" s="818"/>
      <c r="BU374" s="818"/>
      <c r="BV374" s="818"/>
      <c r="BW374" s="92"/>
      <c r="BX374" s="92"/>
      <c r="BY374" s="17"/>
      <c r="BZ374" s="17"/>
      <c r="CA374" s="17"/>
      <c r="CB374" s="17"/>
      <c r="CC374" s="17"/>
      <c r="CD374" s="17"/>
    </row>
    <row r="375">
      <c r="A375" s="92"/>
      <c r="B375" s="820"/>
      <c r="O375" s="17"/>
      <c r="P375" s="17"/>
      <c r="Q375" s="17"/>
      <c r="R375" s="17"/>
      <c r="S375" s="813"/>
      <c r="T375" s="17"/>
      <c r="AX375" s="17"/>
      <c r="BB375" s="17"/>
      <c r="BE375" s="17"/>
      <c r="BF375" s="17"/>
      <c r="BG375" s="17"/>
      <c r="BH375" s="17"/>
      <c r="BI375" s="17"/>
      <c r="BJ375" s="17"/>
      <c r="BK375" s="17"/>
      <c r="BL375" s="92"/>
      <c r="BM375" s="92"/>
      <c r="BN375" s="92"/>
      <c r="BO375" s="92"/>
      <c r="BP375" s="92"/>
      <c r="BQ375" s="818"/>
      <c r="BR375" s="54"/>
      <c r="BS375" s="54"/>
      <c r="BT375" s="818"/>
      <c r="BU375" s="818"/>
      <c r="BV375" s="818"/>
      <c r="BW375" s="92"/>
      <c r="BX375" s="92"/>
      <c r="BY375" s="17"/>
      <c r="BZ375" s="17"/>
      <c r="CA375" s="17"/>
      <c r="CB375" s="17"/>
      <c r="CC375" s="17"/>
      <c r="CD375" s="17"/>
    </row>
    <row r="376">
      <c r="A376" s="92"/>
      <c r="B376" s="820"/>
      <c r="O376" s="17"/>
      <c r="P376" s="17"/>
      <c r="Q376" s="17"/>
      <c r="R376" s="17"/>
      <c r="S376" s="813"/>
      <c r="T376" s="17"/>
      <c r="AX376" s="17"/>
      <c r="BB376" s="17"/>
      <c r="BE376" s="17"/>
      <c r="BF376" s="17"/>
      <c r="BG376" s="17"/>
      <c r="BH376" s="17"/>
      <c r="BI376" s="17"/>
      <c r="BJ376" s="17"/>
      <c r="BK376" s="17"/>
      <c r="BL376" s="92"/>
      <c r="BM376" s="92"/>
      <c r="BN376" s="92"/>
      <c r="BO376" s="92"/>
      <c r="BP376" s="92"/>
      <c r="BQ376" s="818"/>
      <c r="BR376" s="54"/>
      <c r="BS376" s="54"/>
      <c r="BT376" s="818"/>
      <c r="BU376" s="818"/>
      <c r="BV376" s="818"/>
      <c r="BW376" s="92"/>
      <c r="BX376" s="92"/>
      <c r="BY376" s="17"/>
      <c r="BZ376" s="17"/>
      <c r="CA376" s="17"/>
      <c r="CB376" s="17"/>
      <c r="CC376" s="17"/>
      <c r="CD376" s="17"/>
    </row>
    <row r="377">
      <c r="A377" s="92"/>
      <c r="B377" s="820"/>
      <c r="O377" s="17"/>
      <c r="P377" s="17"/>
      <c r="Q377" s="17"/>
      <c r="R377" s="17"/>
      <c r="S377" s="813"/>
      <c r="T377" s="17"/>
      <c r="AX377" s="17"/>
      <c r="BB377" s="17"/>
      <c r="BE377" s="17"/>
      <c r="BF377" s="17"/>
      <c r="BG377" s="17"/>
      <c r="BH377" s="17"/>
      <c r="BI377" s="17"/>
      <c r="BJ377" s="17"/>
      <c r="BK377" s="17"/>
      <c r="BL377" s="92"/>
      <c r="BM377" s="92"/>
      <c r="BN377" s="92"/>
      <c r="BO377" s="92"/>
      <c r="BP377" s="92"/>
      <c r="BQ377" s="818"/>
      <c r="BR377" s="54"/>
      <c r="BS377" s="54"/>
      <c r="BT377" s="818"/>
      <c r="BU377" s="818"/>
      <c r="BV377" s="818"/>
      <c r="BW377" s="92"/>
      <c r="BX377" s="92"/>
      <c r="BY377" s="17"/>
      <c r="BZ377" s="17"/>
      <c r="CA377" s="17"/>
      <c r="CB377" s="17"/>
      <c r="CC377" s="17"/>
      <c r="CD377" s="17"/>
    </row>
    <row r="378">
      <c r="A378" s="92"/>
      <c r="B378" s="820"/>
      <c r="O378" s="17"/>
      <c r="P378" s="17"/>
      <c r="Q378" s="17"/>
      <c r="R378" s="17"/>
      <c r="S378" s="813"/>
      <c r="T378" s="17"/>
      <c r="AX378" s="17"/>
      <c r="BB378" s="17"/>
      <c r="BE378" s="17"/>
      <c r="BF378" s="17"/>
      <c r="BG378" s="17"/>
      <c r="BH378" s="17"/>
      <c r="BI378" s="17"/>
      <c r="BJ378" s="17"/>
      <c r="BK378" s="17"/>
      <c r="BL378" s="92"/>
      <c r="BM378" s="92"/>
      <c r="BN378" s="92"/>
      <c r="BO378" s="92"/>
      <c r="BP378" s="92"/>
      <c r="BQ378" s="818"/>
      <c r="BR378" s="54"/>
      <c r="BS378" s="54"/>
      <c r="BT378" s="818"/>
      <c r="BU378" s="818"/>
      <c r="BV378" s="818"/>
      <c r="BW378" s="92"/>
      <c r="BX378" s="92"/>
      <c r="BY378" s="17"/>
      <c r="BZ378" s="17"/>
      <c r="CA378" s="17"/>
      <c r="CB378" s="17"/>
      <c r="CC378" s="17"/>
      <c r="CD378" s="17"/>
    </row>
    <row r="379">
      <c r="A379" s="92"/>
      <c r="B379" s="820"/>
      <c r="O379" s="17"/>
      <c r="P379" s="17"/>
      <c r="Q379" s="17"/>
      <c r="R379" s="17"/>
      <c r="S379" s="813"/>
      <c r="T379" s="17"/>
      <c r="AX379" s="17"/>
      <c r="BB379" s="17"/>
      <c r="BE379" s="17"/>
      <c r="BF379" s="17"/>
      <c r="BG379" s="17"/>
      <c r="BH379" s="17"/>
      <c r="BI379" s="17"/>
      <c r="BJ379" s="17"/>
      <c r="BK379" s="17"/>
      <c r="BL379" s="92"/>
      <c r="BM379" s="92"/>
      <c r="BN379" s="92"/>
      <c r="BO379" s="92"/>
      <c r="BP379" s="92"/>
      <c r="BQ379" s="818"/>
      <c r="BR379" s="54"/>
      <c r="BS379" s="54"/>
      <c r="BT379" s="818"/>
      <c r="BU379" s="818"/>
      <c r="BV379" s="818"/>
      <c r="BW379" s="92"/>
      <c r="BX379" s="92"/>
      <c r="BY379" s="17"/>
      <c r="BZ379" s="17"/>
      <c r="CA379" s="17"/>
      <c r="CB379" s="17"/>
      <c r="CC379" s="17"/>
      <c r="CD379" s="17"/>
    </row>
    <row r="380">
      <c r="A380" s="92"/>
      <c r="B380" s="820"/>
      <c r="O380" s="17"/>
      <c r="P380" s="17"/>
      <c r="Q380" s="17"/>
      <c r="R380" s="17"/>
      <c r="S380" s="813"/>
      <c r="T380" s="17"/>
      <c r="AX380" s="17"/>
      <c r="BB380" s="17"/>
      <c r="BE380" s="17"/>
      <c r="BF380" s="17"/>
      <c r="BG380" s="17"/>
      <c r="BH380" s="17"/>
      <c r="BI380" s="17"/>
      <c r="BJ380" s="17"/>
      <c r="BK380" s="17"/>
      <c r="BL380" s="92"/>
      <c r="BM380" s="92"/>
      <c r="BN380" s="92"/>
      <c r="BO380" s="92"/>
      <c r="BP380" s="92"/>
      <c r="BQ380" s="818"/>
      <c r="BR380" s="54"/>
      <c r="BS380" s="54"/>
      <c r="BT380" s="818"/>
      <c r="BU380" s="818"/>
      <c r="BV380" s="818"/>
      <c r="BW380" s="92"/>
      <c r="BX380" s="92"/>
      <c r="BY380" s="17"/>
      <c r="BZ380" s="17"/>
      <c r="CA380" s="17"/>
      <c r="CB380" s="17"/>
      <c r="CC380" s="17"/>
      <c r="CD380" s="17"/>
    </row>
    <row r="381">
      <c r="A381" s="92"/>
      <c r="B381" s="820"/>
      <c r="O381" s="17"/>
      <c r="P381" s="17"/>
      <c r="Q381" s="17"/>
      <c r="R381" s="17"/>
      <c r="S381" s="813"/>
      <c r="T381" s="17"/>
      <c r="AX381" s="17"/>
      <c r="BB381" s="17"/>
      <c r="BE381" s="17"/>
      <c r="BF381" s="17"/>
      <c r="BG381" s="17"/>
      <c r="BH381" s="17"/>
      <c r="BI381" s="17"/>
      <c r="BJ381" s="17"/>
      <c r="BK381" s="17"/>
      <c r="BL381" s="92"/>
      <c r="BM381" s="92"/>
      <c r="BN381" s="92"/>
      <c r="BO381" s="92"/>
      <c r="BP381" s="92"/>
      <c r="BQ381" s="818"/>
      <c r="BR381" s="54"/>
      <c r="BS381" s="54"/>
      <c r="BT381" s="818"/>
      <c r="BU381" s="818"/>
      <c r="BV381" s="818"/>
      <c r="BW381" s="92"/>
      <c r="BX381" s="92"/>
      <c r="BY381" s="17"/>
      <c r="BZ381" s="17"/>
      <c r="CA381" s="17"/>
      <c r="CB381" s="17"/>
      <c r="CC381" s="17"/>
      <c r="CD381" s="17"/>
    </row>
    <row r="382">
      <c r="A382" s="92"/>
      <c r="B382" s="820"/>
      <c r="O382" s="17"/>
      <c r="P382" s="17"/>
      <c r="Q382" s="17"/>
      <c r="R382" s="17"/>
      <c r="S382" s="813"/>
      <c r="T382" s="17"/>
      <c r="AX382" s="17"/>
      <c r="BB382" s="17"/>
      <c r="BE382" s="17"/>
      <c r="BF382" s="17"/>
      <c r="BG382" s="17"/>
      <c r="BH382" s="17"/>
      <c r="BI382" s="17"/>
      <c r="BJ382" s="17"/>
      <c r="BK382" s="17"/>
      <c r="BL382" s="92"/>
      <c r="BM382" s="92"/>
      <c r="BN382" s="92"/>
      <c r="BO382" s="92"/>
      <c r="BP382" s="92"/>
      <c r="BQ382" s="818"/>
      <c r="BR382" s="54"/>
      <c r="BS382" s="54"/>
      <c r="BT382" s="818"/>
      <c r="BU382" s="818"/>
      <c r="BV382" s="818"/>
      <c r="BW382" s="92"/>
      <c r="BX382" s="92"/>
      <c r="BY382" s="17"/>
      <c r="BZ382" s="17"/>
      <c r="CA382" s="17"/>
      <c r="CB382" s="17"/>
      <c r="CC382" s="17"/>
      <c r="CD382" s="17"/>
    </row>
    <row r="383">
      <c r="A383" s="92"/>
      <c r="B383" s="820"/>
      <c r="O383" s="17"/>
      <c r="P383" s="17"/>
      <c r="Q383" s="17"/>
      <c r="R383" s="17"/>
      <c r="S383" s="813"/>
      <c r="T383" s="17"/>
      <c r="AX383" s="17"/>
      <c r="BB383" s="17"/>
      <c r="BE383" s="17"/>
      <c r="BF383" s="17"/>
      <c r="BG383" s="17"/>
      <c r="BH383" s="17"/>
      <c r="BI383" s="17"/>
      <c r="BJ383" s="17"/>
      <c r="BK383" s="17"/>
      <c r="BL383" s="92"/>
      <c r="BM383" s="92"/>
      <c r="BN383" s="92"/>
      <c r="BO383" s="92"/>
      <c r="BP383" s="92"/>
      <c r="BQ383" s="818"/>
      <c r="BR383" s="54"/>
      <c r="BS383" s="54"/>
      <c r="BT383" s="818"/>
      <c r="BU383" s="818"/>
      <c r="BV383" s="818"/>
      <c r="BW383" s="92"/>
      <c r="BX383" s="92"/>
      <c r="BY383" s="17"/>
      <c r="BZ383" s="17"/>
      <c r="CA383" s="17"/>
      <c r="CB383" s="17"/>
      <c r="CC383" s="17"/>
      <c r="CD383" s="17"/>
    </row>
    <row r="384">
      <c r="A384" s="92"/>
      <c r="B384" s="820"/>
      <c r="O384" s="17"/>
      <c r="P384" s="17"/>
      <c r="Q384" s="17"/>
      <c r="R384" s="17"/>
      <c r="S384" s="813"/>
      <c r="T384" s="17"/>
      <c r="AX384" s="17"/>
      <c r="BB384" s="17"/>
      <c r="BE384" s="17"/>
      <c r="BF384" s="17"/>
      <c r="BG384" s="17"/>
      <c r="BH384" s="17"/>
      <c r="BI384" s="17"/>
      <c r="BJ384" s="17"/>
      <c r="BK384" s="17"/>
      <c r="BL384" s="92"/>
      <c r="BM384" s="92"/>
      <c r="BN384" s="92"/>
      <c r="BO384" s="92"/>
      <c r="BP384" s="92"/>
      <c r="BQ384" s="818"/>
      <c r="BR384" s="54"/>
      <c r="BS384" s="54"/>
      <c r="BT384" s="818"/>
      <c r="BU384" s="818"/>
      <c r="BV384" s="818"/>
      <c r="BW384" s="92"/>
      <c r="BX384" s="92"/>
      <c r="BY384" s="17"/>
      <c r="BZ384" s="17"/>
      <c r="CA384" s="17"/>
      <c r="CB384" s="17"/>
      <c r="CC384" s="17"/>
      <c r="CD384" s="17"/>
    </row>
    <row r="385">
      <c r="A385" s="92"/>
      <c r="B385" s="820"/>
      <c r="O385" s="17"/>
      <c r="P385" s="17"/>
      <c r="Q385" s="17"/>
      <c r="R385" s="17"/>
      <c r="S385" s="813"/>
      <c r="T385" s="17"/>
      <c r="AX385" s="17"/>
      <c r="BB385" s="17"/>
      <c r="BE385" s="17"/>
      <c r="BF385" s="17"/>
      <c r="BG385" s="17"/>
      <c r="BH385" s="17"/>
      <c r="BI385" s="17"/>
      <c r="BJ385" s="17"/>
      <c r="BK385" s="17"/>
      <c r="BL385" s="92"/>
      <c r="BM385" s="92"/>
      <c r="BN385" s="92"/>
      <c r="BO385" s="92"/>
      <c r="BP385" s="92"/>
      <c r="BQ385" s="818"/>
      <c r="BR385" s="54"/>
      <c r="BS385" s="54"/>
      <c r="BT385" s="818"/>
      <c r="BU385" s="818"/>
      <c r="BV385" s="818"/>
      <c r="BW385" s="92"/>
      <c r="BX385" s="92"/>
      <c r="BY385" s="17"/>
      <c r="BZ385" s="17"/>
      <c r="CA385" s="17"/>
      <c r="CB385" s="17"/>
      <c r="CC385" s="17"/>
      <c r="CD385" s="17"/>
    </row>
    <row r="386">
      <c r="A386" s="92"/>
      <c r="B386" s="820"/>
      <c r="O386" s="17"/>
      <c r="P386" s="17"/>
      <c r="Q386" s="17"/>
      <c r="R386" s="17"/>
      <c r="S386" s="813"/>
      <c r="T386" s="17"/>
      <c r="AX386" s="17"/>
      <c r="BB386" s="17"/>
      <c r="BE386" s="17"/>
      <c r="BF386" s="17"/>
      <c r="BG386" s="17"/>
      <c r="BH386" s="17"/>
      <c r="BI386" s="17"/>
      <c r="BJ386" s="17"/>
      <c r="BK386" s="17"/>
      <c r="BL386" s="92"/>
      <c r="BM386" s="92"/>
      <c r="BN386" s="92"/>
      <c r="BO386" s="92"/>
      <c r="BP386" s="92"/>
      <c r="BQ386" s="818"/>
      <c r="BR386" s="54"/>
      <c r="BS386" s="54"/>
      <c r="BT386" s="818"/>
      <c r="BU386" s="818"/>
      <c r="BV386" s="818"/>
      <c r="BW386" s="92"/>
      <c r="BX386" s="92"/>
      <c r="BY386" s="17"/>
      <c r="BZ386" s="17"/>
      <c r="CA386" s="17"/>
      <c r="CB386" s="17"/>
      <c r="CC386" s="17"/>
      <c r="CD386" s="17"/>
    </row>
    <row r="387">
      <c r="A387" s="92"/>
      <c r="B387" s="820"/>
      <c r="O387" s="17"/>
      <c r="P387" s="17"/>
      <c r="Q387" s="17"/>
      <c r="R387" s="17"/>
      <c r="S387" s="813"/>
      <c r="T387" s="17"/>
      <c r="AX387" s="17"/>
      <c r="BB387" s="17"/>
      <c r="BE387" s="17"/>
      <c r="BF387" s="17"/>
      <c r="BG387" s="17"/>
      <c r="BH387" s="17"/>
      <c r="BI387" s="17"/>
      <c r="BJ387" s="17"/>
      <c r="BK387" s="17"/>
      <c r="BL387" s="92"/>
      <c r="BM387" s="92"/>
      <c r="BN387" s="92"/>
      <c r="BO387" s="92"/>
      <c r="BP387" s="92"/>
      <c r="BQ387" s="818"/>
      <c r="BR387" s="54"/>
      <c r="BS387" s="54"/>
      <c r="BT387" s="818"/>
      <c r="BU387" s="818"/>
      <c r="BV387" s="818"/>
      <c r="BW387" s="92"/>
      <c r="BX387" s="92"/>
      <c r="BY387" s="17"/>
      <c r="BZ387" s="17"/>
      <c r="CA387" s="17"/>
      <c r="CB387" s="17"/>
      <c r="CC387" s="17"/>
      <c r="CD387" s="17"/>
    </row>
    <row r="388">
      <c r="A388" s="92"/>
      <c r="B388" s="820"/>
      <c r="O388" s="17"/>
      <c r="P388" s="17"/>
      <c r="Q388" s="17"/>
      <c r="R388" s="17"/>
      <c r="S388" s="813"/>
      <c r="T388" s="17"/>
      <c r="AX388" s="17"/>
      <c r="BB388" s="17"/>
      <c r="BE388" s="17"/>
      <c r="BF388" s="17"/>
      <c r="BG388" s="17"/>
      <c r="BH388" s="17"/>
      <c r="BI388" s="17"/>
      <c r="BJ388" s="17"/>
      <c r="BK388" s="17"/>
      <c r="BL388" s="92"/>
      <c r="BM388" s="92"/>
      <c r="BN388" s="92"/>
      <c r="BO388" s="92"/>
      <c r="BP388" s="92"/>
      <c r="BQ388" s="818"/>
      <c r="BR388" s="54"/>
      <c r="BS388" s="54"/>
      <c r="BT388" s="818"/>
      <c r="BU388" s="818"/>
      <c r="BV388" s="818"/>
      <c r="BW388" s="92"/>
      <c r="BX388" s="92"/>
      <c r="BY388" s="17"/>
      <c r="BZ388" s="17"/>
      <c r="CA388" s="17"/>
      <c r="CB388" s="17"/>
      <c r="CC388" s="17"/>
      <c r="CD388" s="17"/>
    </row>
    <row r="389">
      <c r="A389" s="92"/>
      <c r="B389" s="820"/>
      <c r="O389" s="17"/>
      <c r="P389" s="17"/>
      <c r="Q389" s="17"/>
      <c r="R389" s="17"/>
      <c r="S389" s="813"/>
      <c r="T389" s="17"/>
      <c r="AX389" s="17"/>
      <c r="BB389" s="17"/>
      <c r="BE389" s="17"/>
      <c r="BF389" s="17"/>
      <c r="BG389" s="17"/>
      <c r="BH389" s="17"/>
      <c r="BI389" s="17"/>
      <c r="BJ389" s="17"/>
      <c r="BK389" s="17"/>
      <c r="BL389" s="92"/>
      <c r="BM389" s="92"/>
      <c r="BN389" s="92"/>
      <c r="BO389" s="92"/>
      <c r="BP389" s="92"/>
      <c r="BQ389" s="818"/>
      <c r="BR389" s="54"/>
      <c r="BS389" s="54"/>
      <c r="BT389" s="818"/>
      <c r="BU389" s="818"/>
      <c r="BV389" s="818"/>
      <c r="BW389" s="92"/>
      <c r="BX389" s="92"/>
      <c r="BY389" s="17"/>
      <c r="BZ389" s="17"/>
      <c r="CA389" s="17"/>
      <c r="CB389" s="17"/>
      <c r="CC389" s="17"/>
      <c r="CD389" s="17"/>
    </row>
    <row r="390">
      <c r="A390" s="92"/>
      <c r="B390" s="820"/>
      <c r="O390" s="17"/>
      <c r="P390" s="17"/>
      <c r="Q390" s="17"/>
      <c r="R390" s="17"/>
      <c r="S390" s="813"/>
      <c r="T390" s="17"/>
      <c r="AX390" s="17"/>
      <c r="BB390" s="17"/>
      <c r="BE390" s="17"/>
      <c r="BF390" s="17"/>
      <c r="BG390" s="17"/>
      <c r="BH390" s="17"/>
      <c r="BI390" s="17"/>
      <c r="BJ390" s="17"/>
      <c r="BK390" s="17"/>
      <c r="BL390" s="92"/>
      <c r="BM390" s="92"/>
      <c r="BN390" s="92"/>
      <c r="BO390" s="92"/>
      <c r="BP390" s="92"/>
      <c r="BQ390" s="818"/>
      <c r="BR390" s="54"/>
      <c r="BS390" s="54"/>
      <c r="BT390" s="818"/>
      <c r="BU390" s="818"/>
      <c r="BV390" s="818"/>
      <c r="BW390" s="92"/>
      <c r="BX390" s="92"/>
      <c r="BY390" s="17"/>
      <c r="BZ390" s="17"/>
      <c r="CA390" s="17"/>
      <c r="CB390" s="17"/>
      <c r="CC390" s="17"/>
      <c r="CD390" s="17"/>
    </row>
    <row r="391">
      <c r="A391" s="92"/>
      <c r="B391" s="820"/>
      <c r="O391" s="17"/>
      <c r="P391" s="17"/>
      <c r="Q391" s="17"/>
      <c r="R391" s="17"/>
      <c r="S391" s="813"/>
      <c r="T391" s="17"/>
      <c r="AX391" s="17"/>
      <c r="BB391" s="17"/>
      <c r="BE391" s="17"/>
      <c r="BF391" s="17"/>
      <c r="BG391" s="17"/>
      <c r="BH391" s="17"/>
      <c r="BI391" s="17"/>
      <c r="BJ391" s="17"/>
      <c r="BK391" s="17"/>
      <c r="BL391" s="92"/>
      <c r="BM391" s="92"/>
      <c r="BN391" s="92"/>
      <c r="BO391" s="92"/>
      <c r="BP391" s="92"/>
      <c r="BQ391" s="818"/>
      <c r="BR391" s="54"/>
      <c r="BS391" s="54"/>
      <c r="BT391" s="818"/>
      <c r="BU391" s="818"/>
      <c r="BV391" s="818"/>
      <c r="BW391" s="92"/>
      <c r="BX391" s="92"/>
      <c r="BY391" s="17"/>
      <c r="BZ391" s="17"/>
      <c r="CA391" s="17"/>
      <c r="CB391" s="17"/>
      <c r="CC391" s="17"/>
      <c r="CD391" s="17"/>
    </row>
    <row r="392">
      <c r="A392" s="92"/>
      <c r="B392" s="820"/>
      <c r="O392" s="17"/>
      <c r="P392" s="17"/>
      <c r="Q392" s="17"/>
      <c r="R392" s="17"/>
      <c r="S392" s="813"/>
      <c r="T392" s="17"/>
      <c r="AX392" s="17"/>
      <c r="BB392" s="17"/>
      <c r="BE392" s="17"/>
      <c r="BF392" s="17"/>
      <c r="BG392" s="17"/>
      <c r="BH392" s="17"/>
      <c r="BI392" s="17"/>
      <c r="BJ392" s="17"/>
      <c r="BK392" s="17"/>
      <c r="BL392" s="92"/>
      <c r="BM392" s="92"/>
      <c r="BN392" s="92"/>
      <c r="BO392" s="92"/>
      <c r="BP392" s="92"/>
      <c r="BQ392" s="818"/>
      <c r="BR392" s="54"/>
      <c r="BS392" s="54"/>
      <c r="BT392" s="818"/>
      <c r="BU392" s="818"/>
      <c r="BV392" s="818"/>
      <c r="BW392" s="92"/>
      <c r="BX392" s="92"/>
      <c r="BY392" s="17"/>
      <c r="BZ392" s="17"/>
      <c r="CA392" s="17"/>
      <c r="CB392" s="17"/>
      <c r="CC392" s="17"/>
      <c r="CD392" s="17"/>
    </row>
    <row r="393">
      <c r="A393" s="92"/>
      <c r="B393" s="820"/>
      <c r="O393" s="17"/>
      <c r="P393" s="17"/>
      <c r="Q393" s="17"/>
      <c r="R393" s="17"/>
      <c r="S393" s="813"/>
      <c r="T393" s="17"/>
      <c r="AX393" s="17"/>
      <c r="BB393" s="17"/>
      <c r="BE393" s="17"/>
      <c r="BF393" s="17"/>
      <c r="BG393" s="17"/>
      <c r="BH393" s="17"/>
      <c r="BI393" s="17"/>
      <c r="BJ393" s="17"/>
      <c r="BK393" s="17"/>
      <c r="BL393" s="92"/>
      <c r="BM393" s="92"/>
      <c r="BN393" s="92"/>
      <c r="BO393" s="92"/>
      <c r="BP393" s="92"/>
      <c r="BQ393" s="818"/>
      <c r="BR393" s="54"/>
      <c r="BS393" s="54"/>
      <c r="BT393" s="818"/>
      <c r="BU393" s="818"/>
      <c r="BV393" s="818"/>
      <c r="BW393" s="92"/>
      <c r="BX393" s="92"/>
      <c r="BY393" s="17"/>
      <c r="BZ393" s="17"/>
      <c r="CA393" s="17"/>
      <c r="CB393" s="17"/>
      <c r="CC393" s="17"/>
      <c r="CD393" s="17"/>
    </row>
    <row r="394">
      <c r="A394" s="92"/>
      <c r="B394" s="820"/>
      <c r="O394" s="17"/>
      <c r="P394" s="17"/>
      <c r="Q394" s="17"/>
      <c r="R394" s="17"/>
      <c r="S394" s="813"/>
      <c r="T394" s="17"/>
      <c r="AX394" s="17"/>
      <c r="BB394" s="17"/>
      <c r="BE394" s="17"/>
      <c r="BF394" s="17"/>
      <c r="BG394" s="17"/>
      <c r="BH394" s="17"/>
      <c r="BI394" s="17"/>
      <c r="BJ394" s="17"/>
      <c r="BK394" s="17"/>
      <c r="BL394" s="92"/>
      <c r="BM394" s="92"/>
      <c r="BN394" s="92"/>
      <c r="BO394" s="92"/>
      <c r="BP394" s="92"/>
      <c r="BQ394" s="818"/>
      <c r="BR394" s="54"/>
      <c r="BS394" s="54"/>
      <c r="BT394" s="818"/>
      <c r="BU394" s="818"/>
      <c r="BV394" s="818"/>
      <c r="BW394" s="92"/>
      <c r="BX394" s="92"/>
      <c r="BY394" s="17"/>
      <c r="BZ394" s="17"/>
      <c r="CA394" s="17"/>
      <c r="CB394" s="17"/>
      <c r="CC394" s="17"/>
      <c r="CD394" s="17"/>
    </row>
    <row r="395">
      <c r="A395" s="92"/>
      <c r="B395" s="820"/>
      <c r="O395" s="17"/>
      <c r="P395" s="17"/>
      <c r="Q395" s="17"/>
      <c r="R395" s="17"/>
      <c r="S395" s="813"/>
      <c r="T395" s="17"/>
      <c r="AX395" s="17"/>
      <c r="BB395" s="17"/>
      <c r="BE395" s="17"/>
      <c r="BF395" s="17"/>
      <c r="BG395" s="17"/>
      <c r="BH395" s="17"/>
      <c r="BI395" s="17"/>
      <c r="BJ395" s="17"/>
      <c r="BK395" s="17"/>
      <c r="BL395" s="92"/>
      <c r="BM395" s="92"/>
      <c r="BN395" s="92"/>
      <c r="BO395" s="92"/>
      <c r="BP395" s="92"/>
      <c r="BQ395" s="818"/>
      <c r="BR395" s="54"/>
      <c r="BS395" s="54"/>
      <c r="BT395" s="818"/>
      <c r="BU395" s="818"/>
      <c r="BV395" s="818"/>
      <c r="BW395" s="92"/>
      <c r="BX395" s="92"/>
      <c r="BY395" s="17"/>
      <c r="BZ395" s="17"/>
      <c r="CA395" s="17"/>
      <c r="CB395" s="17"/>
      <c r="CC395" s="17"/>
      <c r="CD395" s="17"/>
    </row>
    <row r="396">
      <c r="A396" s="92"/>
      <c r="B396" s="820"/>
      <c r="O396" s="17"/>
      <c r="P396" s="17"/>
      <c r="Q396" s="17"/>
      <c r="R396" s="17"/>
      <c r="S396" s="813"/>
      <c r="T396" s="17"/>
      <c r="AX396" s="17"/>
      <c r="BB396" s="17"/>
      <c r="BE396" s="17"/>
      <c r="BF396" s="17"/>
      <c r="BG396" s="17"/>
      <c r="BH396" s="17"/>
      <c r="BI396" s="17"/>
      <c r="BJ396" s="17"/>
      <c r="BK396" s="17"/>
      <c r="BL396" s="92"/>
      <c r="BM396" s="92"/>
      <c r="BN396" s="92"/>
      <c r="BO396" s="92"/>
      <c r="BP396" s="92"/>
      <c r="BQ396" s="818"/>
      <c r="BR396" s="54"/>
      <c r="BS396" s="54"/>
      <c r="BT396" s="818"/>
      <c r="BU396" s="818"/>
      <c r="BV396" s="818"/>
      <c r="BW396" s="92"/>
      <c r="BX396" s="92"/>
      <c r="BY396" s="17"/>
      <c r="BZ396" s="17"/>
      <c r="CA396" s="17"/>
      <c r="CB396" s="17"/>
      <c r="CC396" s="17"/>
      <c r="CD396" s="17"/>
    </row>
    <row r="397">
      <c r="A397" s="92"/>
      <c r="B397" s="820"/>
      <c r="O397" s="17"/>
      <c r="P397" s="17"/>
      <c r="Q397" s="17"/>
      <c r="R397" s="17"/>
      <c r="S397" s="813"/>
      <c r="T397" s="17"/>
      <c r="AX397" s="17"/>
      <c r="BB397" s="17"/>
      <c r="BE397" s="17"/>
      <c r="BF397" s="17"/>
      <c r="BG397" s="17"/>
      <c r="BH397" s="17"/>
      <c r="BI397" s="17"/>
      <c r="BJ397" s="17"/>
      <c r="BK397" s="17"/>
      <c r="BL397" s="92"/>
      <c r="BM397" s="92"/>
      <c r="BN397" s="92"/>
      <c r="BO397" s="92"/>
      <c r="BP397" s="92"/>
      <c r="BQ397" s="818"/>
      <c r="BR397" s="54"/>
      <c r="BS397" s="54"/>
      <c r="BT397" s="818"/>
      <c r="BU397" s="818"/>
      <c r="BV397" s="818"/>
      <c r="BW397" s="92"/>
      <c r="BX397" s="92"/>
      <c r="BY397" s="17"/>
      <c r="BZ397" s="17"/>
      <c r="CA397" s="17"/>
      <c r="CB397" s="17"/>
      <c r="CC397" s="17"/>
      <c r="CD397" s="17"/>
    </row>
    <row r="398">
      <c r="A398" s="92"/>
      <c r="B398" s="820"/>
      <c r="O398" s="17"/>
      <c r="P398" s="17"/>
      <c r="Q398" s="17"/>
      <c r="R398" s="17"/>
      <c r="S398" s="813"/>
      <c r="T398" s="17"/>
      <c r="AX398" s="17"/>
      <c r="BB398" s="17"/>
      <c r="BE398" s="17"/>
      <c r="BF398" s="17"/>
      <c r="BG398" s="17"/>
      <c r="BH398" s="17"/>
      <c r="BI398" s="17"/>
      <c r="BJ398" s="17"/>
      <c r="BK398" s="17"/>
      <c r="BL398" s="92"/>
      <c r="BM398" s="92"/>
      <c r="BN398" s="92"/>
      <c r="BO398" s="92"/>
      <c r="BP398" s="92"/>
      <c r="BQ398" s="818"/>
      <c r="BR398" s="54"/>
      <c r="BS398" s="54"/>
      <c r="BT398" s="818"/>
      <c r="BU398" s="818"/>
      <c r="BV398" s="818"/>
      <c r="BW398" s="92"/>
      <c r="BX398" s="92"/>
      <c r="BY398" s="17"/>
      <c r="BZ398" s="17"/>
      <c r="CA398" s="17"/>
      <c r="CB398" s="17"/>
      <c r="CC398" s="17"/>
      <c r="CD398" s="17"/>
    </row>
    <row r="399">
      <c r="A399" s="92"/>
      <c r="B399" s="820"/>
      <c r="O399" s="17"/>
      <c r="P399" s="17"/>
      <c r="Q399" s="17"/>
      <c r="R399" s="17"/>
      <c r="S399" s="813"/>
      <c r="T399" s="17"/>
      <c r="AX399" s="17"/>
      <c r="BB399" s="17"/>
      <c r="BE399" s="17"/>
      <c r="BF399" s="17"/>
      <c r="BG399" s="17"/>
      <c r="BH399" s="17"/>
      <c r="BI399" s="17"/>
      <c r="BJ399" s="17"/>
      <c r="BK399" s="17"/>
      <c r="BL399" s="92"/>
      <c r="BM399" s="92"/>
      <c r="BN399" s="92"/>
      <c r="BO399" s="92"/>
      <c r="BP399" s="92"/>
      <c r="BQ399" s="818"/>
      <c r="BR399" s="54"/>
      <c r="BS399" s="54"/>
      <c r="BT399" s="818"/>
      <c r="BU399" s="818"/>
      <c r="BV399" s="818"/>
      <c r="BW399" s="92"/>
      <c r="BX399" s="92"/>
      <c r="BY399" s="17"/>
      <c r="BZ399" s="17"/>
      <c r="CA399" s="17"/>
      <c r="CB399" s="17"/>
      <c r="CC399" s="17"/>
      <c r="CD399" s="17"/>
    </row>
    <row r="400">
      <c r="A400" s="92"/>
      <c r="B400" s="820"/>
      <c r="O400" s="17"/>
      <c r="P400" s="17"/>
      <c r="Q400" s="17"/>
      <c r="R400" s="17"/>
      <c r="S400" s="813"/>
      <c r="T400" s="17"/>
      <c r="AX400" s="17"/>
      <c r="BB400" s="17"/>
      <c r="BE400" s="17"/>
      <c r="BF400" s="17"/>
      <c r="BG400" s="17"/>
      <c r="BH400" s="17"/>
      <c r="BI400" s="17"/>
      <c r="BJ400" s="17"/>
      <c r="BK400" s="17"/>
      <c r="BL400" s="92"/>
      <c r="BM400" s="92"/>
      <c r="BN400" s="92"/>
      <c r="BO400" s="92"/>
      <c r="BP400" s="92"/>
      <c r="BQ400" s="818"/>
      <c r="BR400" s="54"/>
      <c r="BS400" s="54"/>
      <c r="BT400" s="818"/>
      <c r="BU400" s="818"/>
      <c r="BV400" s="818"/>
      <c r="BW400" s="92"/>
      <c r="BX400" s="92"/>
      <c r="BY400" s="17"/>
      <c r="BZ400" s="17"/>
      <c r="CA400" s="17"/>
      <c r="CB400" s="17"/>
      <c r="CC400" s="17"/>
      <c r="CD400" s="17"/>
    </row>
    <row r="401">
      <c r="A401" s="92"/>
      <c r="B401" s="820"/>
      <c r="O401" s="17"/>
      <c r="P401" s="17"/>
      <c r="Q401" s="17"/>
      <c r="R401" s="17"/>
      <c r="S401" s="813"/>
      <c r="T401" s="17"/>
      <c r="AX401" s="17"/>
      <c r="BB401" s="17"/>
      <c r="BE401" s="17"/>
      <c r="BF401" s="17"/>
      <c r="BG401" s="17"/>
      <c r="BH401" s="17"/>
      <c r="BI401" s="17"/>
      <c r="BJ401" s="17"/>
      <c r="BK401" s="17"/>
      <c r="BL401" s="92"/>
      <c r="BM401" s="92"/>
      <c r="BN401" s="92"/>
      <c r="BO401" s="92"/>
      <c r="BP401" s="92"/>
      <c r="BQ401" s="818"/>
      <c r="BR401" s="54"/>
      <c r="BS401" s="54"/>
      <c r="BT401" s="818"/>
      <c r="BU401" s="818"/>
      <c r="BV401" s="818"/>
      <c r="BW401" s="92"/>
      <c r="BX401" s="92"/>
      <c r="BY401" s="17"/>
      <c r="BZ401" s="17"/>
      <c r="CA401" s="17"/>
      <c r="CB401" s="17"/>
      <c r="CC401" s="17"/>
      <c r="CD401" s="17"/>
    </row>
    <row r="402">
      <c r="A402" s="92"/>
      <c r="B402" s="820"/>
      <c r="O402" s="17"/>
      <c r="P402" s="17"/>
      <c r="Q402" s="17"/>
      <c r="R402" s="17"/>
      <c r="S402" s="813"/>
      <c r="T402" s="17"/>
      <c r="AX402" s="17"/>
      <c r="BB402" s="17"/>
      <c r="BE402" s="17"/>
      <c r="BF402" s="17"/>
      <c r="BG402" s="17"/>
      <c r="BH402" s="17"/>
      <c r="BI402" s="17"/>
      <c r="BJ402" s="17"/>
      <c r="BK402" s="17"/>
      <c r="BL402" s="92"/>
      <c r="BM402" s="92"/>
      <c r="BN402" s="92"/>
      <c r="BO402" s="92"/>
      <c r="BP402" s="92"/>
      <c r="BQ402" s="818"/>
      <c r="BR402" s="54"/>
      <c r="BS402" s="54"/>
      <c r="BT402" s="818"/>
      <c r="BU402" s="818"/>
      <c r="BV402" s="818"/>
      <c r="BW402" s="92"/>
      <c r="BX402" s="92"/>
      <c r="BY402" s="17"/>
      <c r="BZ402" s="17"/>
      <c r="CA402" s="17"/>
      <c r="CB402" s="17"/>
      <c r="CC402" s="17"/>
      <c r="CD402" s="17"/>
    </row>
    <row r="403">
      <c r="A403" s="92"/>
      <c r="B403" s="820"/>
      <c r="O403" s="17"/>
      <c r="P403" s="17"/>
      <c r="Q403" s="17"/>
      <c r="R403" s="17"/>
      <c r="S403" s="813"/>
      <c r="T403" s="17"/>
      <c r="AX403" s="17"/>
      <c r="BB403" s="17"/>
      <c r="BE403" s="17"/>
      <c r="BF403" s="17"/>
      <c r="BG403" s="17"/>
      <c r="BH403" s="17"/>
      <c r="BI403" s="17"/>
      <c r="BJ403" s="17"/>
      <c r="BK403" s="17"/>
      <c r="BL403" s="92"/>
      <c r="BM403" s="92"/>
      <c r="BN403" s="92"/>
      <c r="BO403" s="92"/>
      <c r="BP403" s="92"/>
      <c r="BQ403" s="818"/>
      <c r="BR403" s="54"/>
      <c r="BS403" s="54"/>
      <c r="BT403" s="818"/>
      <c r="BU403" s="818"/>
      <c r="BV403" s="818"/>
      <c r="BW403" s="92"/>
      <c r="BX403" s="92"/>
      <c r="BY403" s="17"/>
      <c r="BZ403" s="17"/>
      <c r="CA403" s="17"/>
      <c r="CB403" s="17"/>
      <c r="CC403" s="17"/>
      <c r="CD403" s="17"/>
    </row>
    <row r="404">
      <c r="A404" s="92"/>
      <c r="B404" s="820"/>
      <c r="O404" s="17"/>
      <c r="P404" s="17"/>
      <c r="Q404" s="17"/>
      <c r="R404" s="17"/>
      <c r="S404" s="813"/>
      <c r="T404" s="17"/>
      <c r="AX404" s="17"/>
      <c r="BB404" s="17"/>
      <c r="BE404" s="17"/>
      <c r="BF404" s="17"/>
      <c r="BG404" s="17"/>
      <c r="BH404" s="17"/>
      <c r="BI404" s="17"/>
      <c r="BJ404" s="17"/>
      <c r="BK404" s="17"/>
      <c r="BL404" s="92"/>
      <c r="BM404" s="92"/>
      <c r="BN404" s="92"/>
      <c r="BO404" s="92"/>
      <c r="BP404" s="92"/>
      <c r="BQ404" s="818"/>
      <c r="BR404" s="54"/>
      <c r="BS404" s="54"/>
      <c r="BT404" s="818"/>
      <c r="BU404" s="818"/>
      <c r="BV404" s="818"/>
      <c r="BW404" s="92"/>
      <c r="BX404" s="92"/>
      <c r="BY404" s="17"/>
      <c r="BZ404" s="17"/>
      <c r="CA404" s="17"/>
      <c r="CB404" s="17"/>
      <c r="CC404" s="17"/>
      <c r="CD404" s="17"/>
    </row>
    <row r="405">
      <c r="A405" s="92"/>
      <c r="B405" s="820"/>
      <c r="O405" s="17"/>
      <c r="P405" s="17"/>
      <c r="Q405" s="17"/>
      <c r="R405" s="17"/>
      <c r="S405" s="813"/>
      <c r="T405" s="17"/>
      <c r="AX405" s="17"/>
      <c r="BB405" s="17"/>
      <c r="BE405" s="17"/>
      <c r="BF405" s="17"/>
      <c r="BG405" s="17"/>
      <c r="BH405" s="17"/>
      <c r="BI405" s="17"/>
      <c r="BJ405" s="17"/>
      <c r="BK405" s="17"/>
      <c r="BL405" s="92"/>
      <c r="BM405" s="92"/>
      <c r="BN405" s="92"/>
      <c r="BO405" s="92"/>
      <c r="BP405" s="92"/>
      <c r="BQ405" s="818"/>
      <c r="BR405" s="54"/>
      <c r="BS405" s="54"/>
      <c r="BT405" s="818"/>
      <c r="BU405" s="818"/>
      <c r="BV405" s="818"/>
      <c r="BW405" s="92"/>
      <c r="BX405" s="92"/>
      <c r="BY405" s="17"/>
      <c r="BZ405" s="17"/>
      <c r="CA405" s="17"/>
      <c r="CB405" s="17"/>
      <c r="CC405" s="17"/>
      <c r="CD405" s="17"/>
    </row>
    <row r="406">
      <c r="A406" s="92"/>
      <c r="B406" s="820"/>
      <c r="O406" s="17"/>
      <c r="P406" s="17"/>
      <c r="Q406" s="17"/>
      <c r="R406" s="17"/>
      <c r="S406" s="813"/>
      <c r="T406" s="17"/>
      <c r="AX406" s="17"/>
      <c r="BB406" s="17"/>
      <c r="BE406" s="17"/>
      <c r="BF406" s="17"/>
      <c r="BG406" s="17"/>
      <c r="BH406" s="17"/>
      <c r="BI406" s="17"/>
      <c r="BJ406" s="17"/>
      <c r="BK406" s="17"/>
      <c r="BL406" s="92"/>
      <c r="BM406" s="92"/>
      <c r="BN406" s="92"/>
      <c r="BO406" s="92"/>
      <c r="BP406" s="92"/>
      <c r="BQ406" s="818"/>
      <c r="BR406" s="54"/>
      <c r="BS406" s="54"/>
      <c r="BT406" s="818"/>
      <c r="BU406" s="818"/>
      <c r="BV406" s="818"/>
      <c r="BW406" s="92"/>
      <c r="BX406" s="92"/>
      <c r="BY406" s="17"/>
      <c r="BZ406" s="17"/>
      <c r="CA406" s="17"/>
      <c r="CB406" s="17"/>
      <c r="CC406" s="17"/>
      <c r="CD406" s="17"/>
    </row>
    <row r="407">
      <c r="A407" s="92"/>
      <c r="B407" s="820"/>
      <c r="O407" s="17"/>
      <c r="P407" s="17"/>
      <c r="Q407" s="17"/>
      <c r="R407" s="17"/>
      <c r="S407" s="813"/>
      <c r="T407" s="17"/>
      <c r="AX407" s="17"/>
      <c r="BB407" s="17"/>
      <c r="BE407" s="17"/>
      <c r="BF407" s="17"/>
      <c r="BG407" s="17"/>
      <c r="BH407" s="17"/>
      <c r="BI407" s="17"/>
      <c r="BJ407" s="17"/>
      <c r="BK407" s="17"/>
      <c r="BL407" s="92"/>
      <c r="BM407" s="92"/>
      <c r="BN407" s="92"/>
      <c r="BO407" s="92"/>
      <c r="BP407" s="92"/>
      <c r="BQ407" s="818"/>
      <c r="BR407" s="54"/>
      <c r="BS407" s="54"/>
      <c r="BT407" s="818"/>
      <c r="BU407" s="818"/>
      <c r="BV407" s="818"/>
      <c r="BW407" s="92"/>
      <c r="BX407" s="92"/>
      <c r="BY407" s="17"/>
      <c r="BZ407" s="17"/>
      <c r="CA407" s="17"/>
      <c r="CB407" s="17"/>
      <c r="CC407" s="17"/>
      <c r="CD407" s="17"/>
    </row>
    <row r="408">
      <c r="A408" s="92"/>
      <c r="B408" s="820"/>
      <c r="O408" s="17"/>
      <c r="P408" s="17"/>
      <c r="Q408" s="17"/>
      <c r="R408" s="17"/>
      <c r="S408" s="813"/>
      <c r="T408" s="17"/>
      <c r="AX408" s="17"/>
      <c r="BB408" s="17"/>
      <c r="BE408" s="17"/>
      <c r="BF408" s="17"/>
      <c r="BG408" s="17"/>
      <c r="BH408" s="17"/>
      <c r="BI408" s="17"/>
      <c r="BJ408" s="17"/>
      <c r="BK408" s="17"/>
      <c r="BL408" s="92"/>
      <c r="BM408" s="92"/>
      <c r="BN408" s="92"/>
      <c r="BO408" s="92"/>
      <c r="BP408" s="92"/>
      <c r="BQ408" s="818"/>
      <c r="BR408" s="54"/>
      <c r="BS408" s="54"/>
      <c r="BT408" s="818"/>
      <c r="BU408" s="818"/>
      <c r="BV408" s="818"/>
      <c r="BW408" s="92"/>
      <c r="BX408" s="92"/>
      <c r="BY408" s="17"/>
      <c r="BZ408" s="17"/>
      <c r="CA408" s="17"/>
      <c r="CB408" s="17"/>
      <c r="CC408" s="17"/>
      <c r="CD408" s="17"/>
    </row>
    <row r="409">
      <c r="A409" s="92"/>
      <c r="B409" s="820"/>
      <c r="O409" s="17"/>
      <c r="P409" s="17"/>
      <c r="Q409" s="17"/>
      <c r="R409" s="17"/>
      <c r="S409" s="813"/>
      <c r="T409" s="17"/>
      <c r="AX409" s="17"/>
      <c r="BB409" s="17"/>
      <c r="BE409" s="17"/>
      <c r="BF409" s="17"/>
      <c r="BG409" s="17"/>
      <c r="BH409" s="17"/>
      <c r="BI409" s="17"/>
      <c r="BJ409" s="17"/>
      <c r="BK409" s="17"/>
      <c r="BL409" s="92"/>
      <c r="BM409" s="92"/>
      <c r="BN409" s="92"/>
      <c r="BO409" s="92"/>
      <c r="BP409" s="92"/>
      <c r="BQ409" s="818"/>
      <c r="BR409" s="54"/>
      <c r="BS409" s="54"/>
      <c r="BT409" s="818"/>
      <c r="BU409" s="818"/>
      <c r="BV409" s="818"/>
      <c r="BW409" s="92"/>
      <c r="BX409" s="92"/>
      <c r="BY409" s="17"/>
      <c r="BZ409" s="17"/>
      <c r="CA409" s="17"/>
      <c r="CB409" s="17"/>
      <c r="CC409" s="17"/>
      <c r="CD409" s="17"/>
    </row>
    <row r="410">
      <c r="A410" s="92"/>
      <c r="B410" s="820"/>
      <c r="O410" s="17"/>
      <c r="P410" s="17"/>
      <c r="Q410" s="17"/>
      <c r="R410" s="17"/>
      <c r="S410" s="813"/>
      <c r="T410" s="17"/>
      <c r="AX410" s="17"/>
      <c r="BB410" s="17"/>
      <c r="BE410" s="17"/>
      <c r="BF410" s="17"/>
      <c r="BG410" s="17"/>
      <c r="BH410" s="17"/>
      <c r="BI410" s="17"/>
      <c r="BJ410" s="17"/>
      <c r="BK410" s="17"/>
      <c r="BL410" s="92"/>
      <c r="BM410" s="92"/>
      <c r="BN410" s="92"/>
      <c r="BO410" s="92"/>
      <c r="BP410" s="92"/>
      <c r="BQ410" s="818"/>
      <c r="BR410" s="54"/>
      <c r="BS410" s="54"/>
      <c r="BT410" s="818"/>
      <c r="BU410" s="818"/>
      <c r="BV410" s="818"/>
      <c r="BW410" s="92"/>
      <c r="BX410" s="92"/>
      <c r="BY410" s="17"/>
      <c r="BZ410" s="17"/>
      <c r="CA410" s="17"/>
      <c r="CB410" s="17"/>
      <c r="CC410" s="17"/>
      <c r="CD410" s="17"/>
    </row>
    <row r="411">
      <c r="A411" s="92"/>
      <c r="B411" s="820"/>
      <c r="O411" s="17"/>
      <c r="P411" s="17"/>
      <c r="Q411" s="17"/>
      <c r="R411" s="17"/>
      <c r="S411" s="813"/>
      <c r="T411" s="17"/>
      <c r="AX411" s="17"/>
      <c r="BB411" s="17"/>
      <c r="BE411" s="17"/>
      <c r="BF411" s="17"/>
      <c r="BG411" s="17"/>
      <c r="BH411" s="17"/>
      <c r="BI411" s="17"/>
      <c r="BJ411" s="17"/>
      <c r="BK411" s="17"/>
      <c r="BL411" s="92"/>
      <c r="BM411" s="92"/>
      <c r="BN411" s="92"/>
      <c r="BO411" s="92"/>
      <c r="BP411" s="92"/>
      <c r="BQ411" s="818"/>
      <c r="BR411" s="54"/>
      <c r="BS411" s="54"/>
      <c r="BT411" s="818"/>
      <c r="BU411" s="818"/>
      <c r="BV411" s="818"/>
      <c r="BW411" s="92"/>
      <c r="BX411" s="92"/>
      <c r="BY411" s="17"/>
      <c r="BZ411" s="17"/>
      <c r="CA411" s="17"/>
      <c r="CB411" s="17"/>
      <c r="CC411" s="17"/>
      <c r="CD411" s="17"/>
    </row>
    <row r="412">
      <c r="A412" s="92"/>
      <c r="B412" s="820"/>
      <c r="O412" s="17"/>
      <c r="P412" s="17"/>
      <c r="Q412" s="17"/>
      <c r="R412" s="17"/>
      <c r="S412" s="813"/>
      <c r="T412" s="17"/>
      <c r="AX412" s="17"/>
      <c r="BB412" s="17"/>
      <c r="BE412" s="17"/>
      <c r="BF412" s="17"/>
      <c r="BG412" s="17"/>
      <c r="BH412" s="17"/>
      <c r="BI412" s="17"/>
      <c r="BJ412" s="17"/>
      <c r="BK412" s="17"/>
      <c r="BL412" s="92"/>
      <c r="BM412" s="92"/>
      <c r="BN412" s="92"/>
      <c r="BO412" s="92"/>
      <c r="BP412" s="92"/>
      <c r="BQ412" s="818"/>
      <c r="BR412" s="54"/>
      <c r="BS412" s="54"/>
      <c r="BT412" s="818"/>
      <c r="BU412" s="818"/>
      <c r="BV412" s="818"/>
      <c r="BW412" s="92"/>
      <c r="BX412" s="92"/>
      <c r="BY412" s="17"/>
      <c r="BZ412" s="17"/>
      <c r="CA412" s="17"/>
      <c r="CB412" s="17"/>
      <c r="CC412" s="17"/>
      <c r="CD412" s="17"/>
    </row>
    <row r="413">
      <c r="A413" s="92"/>
      <c r="B413" s="820"/>
      <c r="O413" s="17"/>
      <c r="P413" s="17"/>
      <c r="Q413" s="17"/>
      <c r="R413" s="17"/>
      <c r="S413" s="813"/>
      <c r="T413" s="17"/>
      <c r="AX413" s="17"/>
      <c r="BB413" s="17"/>
      <c r="BE413" s="17"/>
      <c r="BF413" s="17"/>
      <c r="BG413" s="17"/>
      <c r="BH413" s="17"/>
      <c r="BI413" s="17"/>
      <c r="BJ413" s="17"/>
      <c r="BK413" s="17"/>
      <c r="BL413" s="92"/>
      <c r="BM413" s="92"/>
      <c r="BN413" s="92"/>
      <c r="BO413" s="92"/>
      <c r="BP413" s="92"/>
      <c r="BQ413" s="818"/>
      <c r="BR413" s="54"/>
      <c r="BS413" s="54"/>
      <c r="BT413" s="818"/>
      <c r="BU413" s="818"/>
      <c r="BV413" s="818"/>
      <c r="BW413" s="92"/>
      <c r="BX413" s="92"/>
      <c r="BY413" s="17"/>
      <c r="BZ413" s="17"/>
      <c r="CA413" s="17"/>
      <c r="CB413" s="17"/>
      <c r="CC413" s="17"/>
      <c r="CD413" s="17"/>
    </row>
    <row r="414">
      <c r="A414" s="92"/>
      <c r="B414" s="820"/>
      <c r="O414" s="17"/>
      <c r="P414" s="17"/>
      <c r="Q414" s="17"/>
      <c r="R414" s="17"/>
      <c r="S414" s="813"/>
      <c r="T414" s="17"/>
      <c r="AX414" s="17"/>
      <c r="BB414" s="17"/>
      <c r="BE414" s="17"/>
      <c r="BF414" s="17"/>
      <c r="BG414" s="17"/>
      <c r="BH414" s="17"/>
      <c r="BI414" s="17"/>
      <c r="BJ414" s="17"/>
      <c r="BK414" s="17"/>
      <c r="BL414" s="92"/>
      <c r="BM414" s="92"/>
      <c r="BN414" s="92"/>
      <c r="BO414" s="92"/>
      <c r="BP414" s="92"/>
      <c r="BQ414" s="818"/>
      <c r="BR414" s="54"/>
      <c r="BS414" s="54"/>
      <c r="BT414" s="818"/>
      <c r="BU414" s="818"/>
      <c r="BV414" s="818"/>
      <c r="BW414" s="92"/>
      <c r="BX414" s="92"/>
      <c r="BY414" s="17"/>
      <c r="BZ414" s="17"/>
      <c r="CA414" s="17"/>
      <c r="CB414" s="17"/>
      <c r="CC414" s="17"/>
      <c r="CD414" s="17"/>
    </row>
    <row r="415">
      <c r="A415" s="92"/>
      <c r="B415" s="820"/>
      <c r="O415" s="17"/>
      <c r="P415" s="17"/>
      <c r="Q415" s="17"/>
      <c r="R415" s="17"/>
      <c r="S415" s="813"/>
      <c r="T415" s="17"/>
      <c r="AX415" s="17"/>
      <c r="BB415" s="17"/>
      <c r="BE415" s="17"/>
      <c r="BF415" s="17"/>
      <c r="BG415" s="17"/>
      <c r="BH415" s="17"/>
      <c r="BI415" s="17"/>
      <c r="BJ415" s="17"/>
      <c r="BK415" s="17"/>
      <c r="BL415" s="92"/>
      <c r="BM415" s="92"/>
      <c r="BN415" s="92"/>
      <c r="BO415" s="92"/>
      <c r="BP415" s="92"/>
      <c r="BQ415" s="818"/>
      <c r="BR415" s="54"/>
      <c r="BS415" s="54"/>
      <c r="BT415" s="818"/>
      <c r="BU415" s="818"/>
      <c r="BV415" s="818"/>
      <c r="BW415" s="92"/>
      <c r="BX415" s="92"/>
      <c r="BY415" s="17"/>
      <c r="BZ415" s="17"/>
      <c r="CA415" s="17"/>
      <c r="CB415" s="17"/>
      <c r="CC415" s="17"/>
      <c r="CD415" s="17"/>
    </row>
    <row r="416">
      <c r="A416" s="92"/>
      <c r="B416" s="820"/>
      <c r="O416" s="17"/>
      <c r="P416" s="17"/>
      <c r="Q416" s="17"/>
      <c r="R416" s="17"/>
      <c r="S416" s="813"/>
      <c r="T416" s="17"/>
      <c r="AX416" s="17"/>
      <c r="BB416" s="17"/>
      <c r="BE416" s="17"/>
      <c r="BF416" s="17"/>
      <c r="BG416" s="17"/>
      <c r="BH416" s="17"/>
      <c r="BI416" s="17"/>
      <c r="BJ416" s="17"/>
      <c r="BK416" s="17"/>
      <c r="BL416" s="92"/>
      <c r="BM416" s="92"/>
      <c r="BN416" s="92"/>
      <c r="BO416" s="92"/>
      <c r="BP416" s="92"/>
      <c r="BQ416" s="818"/>
      <c r="BR416" s="54"/>
      <c r="BS416" s="54"/>
      <c r="BT416" s="818"/>
      <c r="BU416" s="818"/>
      <c r="BV416" s="818"/>
      <c r="BW416" s="92"/>
      <c r="BX416" s="92"/>
      <c r="BY416" s="17"/>
      <c r="BZ416" s="17"/>
      <c r="CA416" s="17"/>
      <c r="CB416" s="17"/>
      <c r="CC416" s="17"/>
      <c r="CD416" s="17"/>
    </row>
    <row r="417">
      <c r="A417" s="92"/>
      <c r="B417" s="820"/>
      <c r="O417" s="17"/>
      <c r="P417" s="17"/>
      <c r="Q417" s="17"/>
      <c r="R417" s="17"/>
      <c r="S417" s="813"/>
      <c r="T417" s="17"/>
      <c r="AX417" s="17"/>
      <c r="BB417" s="17"/>
      <c r="BE417" s="17"/>
      <c r="BF417" s="17"/>
      <c r="BG417" s="17"/>
      <c r="BH417" s="17"/>
      <c r="BI417" s="17"/>
      <c r="BJ417" s="17"/>
      <c r="BK417" s="17"/>
      <c r="BL417" s="92"/>
      <c r="BM417" s="92"/>
      <c r="BN417" s="92"/>
      <c r="BO417" s="92"/>
      <c r="BP417" s="92"/>
      <c r="BQ417" s="818"/>
      <c r="BR417" s="54"/>
      <c r="BS417" s="54"/>
      <c r="BT417" s="818"/>
      <c r="BU417" s="818"/>
      <c r="BV417" s="818"/>
      <c r="BW417" s="92"/>
      <c r="BX417" s="92"/>
      <c r="BY417" s="17"/>
      <c r="BZ417" s="17"/>
      <c r="CA417" s="17"/>
      <c r="CB417" s="17"/>
      <c r="CC417" s="17"/>
      <c r="CD417" s="17"/>
    </row>
    <row r="418">
      <c r="A418" s="92"/>
      <c r="B418" s="820"/>
      <c r="O418" s="17"/>
      <c r="P418" s="17"/>
      <c r="Q418" s="17"/>
      <c r="R418" s="17"/>
      <c r="S418" s="813"/>
      <c r="T418" s="17"/>
      <c r="AX418" s="17"/>
      <c r="BB418" s="17"/>
      <c r="BE418" s="17"/>
      <c r="BF418" s="17"/>
      <c r="BG418" s="17"/>
      <c r="BH418" s="17"/>
      <c r="BI418" s="17"/>
      <c r="BJ418" s="17"/>
      <c r="BK418" s="17"/>
      <c r="BL418" s="92"/>
      <c r="BM418" s="92"/>
      <c r="BN418" s="92"/>
      <c r="BO418" s="92"/>
      <c r="BP418" s="92"/>
      <c r="BQ418" s="818"/>
      <c r="BR418" s="54"/>
      <c r="BS418" s="54"/>
      <c r="BT418" s="818"/>
      <c r="BU418" s="818"/>
      <c r="BV418" s="818"/>
      <c r="BW418" s="92"/>
      <c r="BX418" s="92"/>
      <c r="BY418" s="17"/>
      <c r="BZ418" s="17"/>
      <c r="CA418" s="17"/>
      <c r="CB418" s="17"/>
      <c r="CC418" s="17"/>
      <c r="CD418" s="17"/>
    </row>
    <row r="419">
      <c r="A419" s="92"/>
      <c r="B419" s="820"/>
      <c r="O419" s="17"/>
      <c r="P419" s="17"/>
      <c r="Q419" s="17"/>
      <c r="R419" s="17"/>
      <c r="S419" s="813"/>
      <c r="T419" s="17"/>
      <c r="AX419" s="17"/>
      <c r="BB419" s="17"/>
      <c r="BE419" s="17"/>
      <c r="BF419" s="17"/>
      <c r="BG419" s="17"/>
      <c r="BH419" s="17"/>
      <c r="BI419" s="17"/>
      <c r="BJ419" s="17"/>
      <c r="BK419" s="17"/>
      <c r="BL419" s="92"/>
      <c r="BM419" s="92"/>
      <c r="BN419" s="92"/>
      <c r="BO419" s="92"/>
      <c r="BP419" s="92"/>
      <c r="BQ419" s="818"/>
      <c r="BR419" s="54"/>
      <c r="BS419" s="54"/>
      <c r="BT419" s="818"/>
      <c r="BU419" s="818"/>
      <c r="BV419" s="818"/>
      <c r="BW419" s="92"/>
      <c r="BX419" s="92"/>
      <c r="BY419" s="17"/>
      <c r="BZ419" s="17"/>
      <c r="CA419" s="17"/>
      <c r="CB419" s="17"/>
      <c r="CC419" s="17"/>
      <c r="CD419" s="17"/>
    </row>
    <row r="420">
      <c r="A420" s="92"/>
      <c r="B420" s="820"/>
      <c r="O420" s="17"/>
      <c r="P420" s="17"/>
      <c r="Q420" s="17"/>
      <c r="R420" s="17"/>
      <c r="S420" s="813"/>
      <c r="T420" s="17"/>
      <c r="AX420" s="17"/>
      <c r="BB420" s="17"/>
      <c r="BE420" s="17"/>
      <c r="BF420" s="17"/>
      <c r="BG420" s="17"/>
      <c r="BH420" s="17"/>
      <c r="BI420" s="17"/>
      <c r="BJ420" s="17"/>
      <c r="BK420" s="17"/>
      <c r="BL420" s="92"/>
      <c r="BM420" s="92"/>
      <c r="BN420" s="92"/>
      <c r="BO420" s="92"/>
      <c r="BP420" s="92"/>
      <c r="BQ420" s="818"/>
      <c r="BR420" s="54"/>
      <c r="BS420" s="54"/>
      <c r="BT420" s="818"/>
      <c r="BU420" s="818"/>
      <c r="BV420" s="818"/>
      <c r="BW420" s="92"/>
      <c r="BX420" s="92"/>
      <c r="BY420" s="17"/>
      <c r="BZ420" s="17"/>
      <c r="CA420" s="17"/>
      <c r="CB420" s="17"/>
      <c r="CC420" s="17"/>
      <c r="CD420" s="17"/>
    </row>
    <row r="421">
      <c r="A421" s="92"/>
      <c r="B421" s="820"/>
      <c r="O421" s="17"/>
      <c r="P421" s="17"/>
      <c r="Q421" s="17"/>
      <c r="R421" s="17"/>
      <c r="S421" s="813"/>
      <c r="T421" s="17"/>
      <c r="AX421" s="17"/>
      <c r="BB421" s="17"/>
      <c r="BE421" s="17"/>
      <c r="BF421" s="17"/>
      <c r="BG421" s="17"/>
      <c r="BH421" s="17"/>
      <c r="BI421" s="17"/>
      <c r="BJ421" s="17"/>
      <c r="BK421" s="17"/>
      <c r="BL421" s="92"/>
      <c r="BM421" s="92"/>
      <c r="BN421" s="92"/>
      <c r="BO421" s="92"/>
      <c r="BP421" s="92"/>
      <c r="BQ421" s="818"/>
      <c r="BR421" s="54"/>
      <c r="BS421" s="54"/>
      <c r="BT421" s="818"/>
      <c r="BU421" s="818"/>
      <c r="BV421" s="818"/>
      <c r="BW421" s="92"/>
      <c r="BX421" s="92"/>
      <c r="BY421" s="17"/>
      <c r="BZ421" s="17"/>
      <c r="CA421" s="17"/>
      <c r="CB421" s="17"/>
      <c r="CC421" s="17"/>
      <c r="CD421" s="17"/>
    </row>
    <row r="422">
      <c r="A422" s="92"/>
      <c r="B422" s="820"/>
      <c r="O422" s="17"/>
      <c r="P422" s="17"/>
      <c r="Q422" s="17"/>
      <c r="R422" s="17"/>
      <c r="S422" s="813"/>
      <c r="T422" s="17"/>
      <c r="AX422" s="17"/>
      <c r="BB422" s="17"/>
      <c r="BE422" s="17"/>
      <c r="BF422" s="17"/>
      <c r="BG422" s="17"/>
      <c r="BH422" s="17"/>
      <c r="BI422" s="17"/>
      <c r="BJ422" s="17"/>
      <c r="BK422" s="17"/>
      <c r="BL422" s="92"/>
      <c r="BM422" s="92"/>
      <c r="BN422" s="92"/>
      <c r="BO422" s="92"/>
      <c r="BP422" s="92"/>
      <c r="BQ422" s="818"/>
      <c r="BR422" s="54"/>
      <c r="BS422" s="54"/>
      <c r="BT422" s="818"/>
      <c r="BU422" s="818"/>
      <c r="BV422" s="818"/>
      <c r="BW422" s="92"/>
      <c r="BX422" s="92"/>
      <c r="BY422" s="17"/>
      <c r="BZ422" s="17"/>
      <c r="CA422" s="17"/>
      <c r="CB422" s="17"/>
      <c r="CC422" s="17"/>
      <c r="CD422" s="17"/>
    </row>
    <row r="423">
      <c r="A423" s="92"/>
      <c r="B423" s="820"/>
      <c r="O423" s="17"/>
      <c r="P423" s="17"/>
      <c r="Q423" s="17"/>
      <c r="R423" s="17"/>
      <c r="S423" s="813"/>
      <c r="T423" s="17"/>
      <c r="AX423" s="17"/>
      <c r="BB423" s="17"/>
      <c r="BE423" s="17"/>
      <c r="BF423" s="17"/>
      <c r="BG423" s="17"/>
      <c r="BH423" s="17"/>
      <c r="BI423" s="17"/>
      <c r="BJ423" s="17"/>
      <c r="BK423" s="17"/>
      <c r="BL423" s="92"/>
      <c r="BM423" s="92"/>
      <c r="BN423" s="92"/>
      <c r="BO423" s="92"/>
      <c r="BP423" s="92"/>
      <c r="BQ423" s="818"/>
      <c r="BR423" s="54"/>
      <c r="BS423" s="54"/>
      <c r="BT423" s="818"/>
      <c r="BU423" s="818"/>
      <c r="BV423" s="818"/>
      <c r="BW423" s="92"/>
      <c r="BX423" s="92"/>
      <c r="BY423" s="17"/>
      <c r="BZ423" s="17"/>
      <c r="CA423" s="17"/>
      <c r="CB423" s="17"/>
      <c r="CC423" s="17"/>
      <c r="CD423" s="17"/>
    </row>
    <row r="424">
      <c r="A424" s="92"/>
      <c r="B424" s="820"/>
      <c r="O424" s="17"/>
      <c r="P424" s="17"/>
      <c r="Q424" s="17"/>
      <c r="R424" s="17"/>
      <c r="S424" s="813"/>
      <c r="T424" s="17"/>
      <c r="AX424" s="17"/>
      <c r="BB424" s="17"/>
      <c r="BE424" s="17"/>
      <c r="BF424" s="17"/>
      <c r="BG424" s="17"/>
      <c r="BH424" s="17"/>
      <c r="BI424" s="17"/>
      <c r="BJ424" s="17"/>
      <c r="BK424" s="17"/>
      <c r="BL424" s="92"/>
      <c r="BM424" s="92"/>
      <c r="BN424" s="92"/>
      <c r="BO424" s="92"/>
      <c r="BP424" s="92"/>
      <c r="BQ424" s="818"/>
      <c r="BR424" s="54"/>
      <c r="BS424" s="54"/>
      <c r="BT424" s="818"/>
      <c r="BU424" s="818"/>
      <c r="BV424" s="818"/>
      <c r="BW424" s="92"/>
      <c r="BX424" s="92"/>
      <c r="BY424" s="17"/>
      <c r="BZ424" s="17"/>
      <c r="CA424" s="17"/>
      <c r="CB424" s="17"/>
      <c r="CC424" s="17"/>
      <c r="CD424" s="17"/>
    </row>
    <row r="425">
      <c r="A425" s="92"/>
      <c r="B425" s="820"/>
      <c r="O425" s="17"/>
      <c r="P425" s="17"/>
      <c r="Q425" s="17"/>
      <c r="R425" s="17"/>
      <c r="S425" s="813"/>
      <c r="T425" s="17"/>
      <c r="AX425" s="17"/>
      <c r="BB425" s="17"/>
      <c r="BE425" s="17"/>
      <c r="BF425" s="17"/>
      <c r="BG425" s="17"/>
      <c r="BH425" s="17"/>
      <c r="BI425" s="17"/>
      <c r="BJ425" s="17"/>
      <c r="BK425" s="17"/>
      <c r="BL425" s="92"/>
      <c r="BM425" s="92"/>
      <c r="BN425" s="92"/>
      <c r="BO425" s="92"/>
      <c r="BP425" s="92"/>
      <c r="BQ425" s="818"/>
      <c r="BR425" s="54"/>
      <c r="BS425" s="54"/>
      <c r="BT425" s="818"/>
      <c r="BU425" s="818"/>
      <c r="BV425" s="818"/>
      <c r="BW425" s="92"/>
      <c r="BX425" s="92"/>
      <c r="BY425" s="17"/>
      <c r="BZ425" s="17"/>
      <c r="CA425" s="17"/>
      <c r="CB425" s="17"/>
      <c r="CC425" s="17"/>
      <c r="CD425" s="17"/>
    </row>
    <row r="426">
      <c r="A426" s="92"/>
      <c r="B426" s="820"/>
      <c r="O426" s="17"/>
      <c r="P426" s="17"/>
      <c r="Q426" s="17"/>
      <c r="R426" s="17"/>
      <c r="S426" s="813"/>
      <c r="T426" s="17"/>
      <c r="AX426" s="17"/>
      <c r="BB426" s="17"/>
      <c r="BE426" s="17"/>
      <c r="BF426" s="17"/>
      <c r="BG426" s="17"/>
      <c r="BH426" s="17"/>
      <c r="BI426" s="17"/>
      <c r="BJ426" s="17"/>
      <c r="BK426" s="17"/>
      <c r="BL426" s="92"/>
      <c r="BM426" s="92"/>
      <c r="BN426" s="92"/>
      <c r="BO426" s="92"/>
      <c r="BP426" s="92"/>
      <c r="BQ426" s="818"/>
      <c r="BR426" s="54"/>
      <c r="BS426" s="54"/>
      <c r="BT426" s="818"/>
      <c r="BU426" s="818"/>
      <c r="BV426" s="818"/>
      <c r="BW426" s="92"/>
      <c r="BX426" s="92"/>
      <c r="BY426" s="17"/>
      <c r="BZ426" s="17"/>
      <c r="CA426" s="17"/>
      <c r="CB426" s="17"/>
      <c r="CC426" s="17"/>
      <c r="CD426" s="17"/>
    </row>
    <row r="427">
      <c r="A427" s="92"/>
      <c r="B427" s="820"/>
      <c r="O427" s="17"/>
      <c r="P427" s="17"/>
      <c r="Q427" s="17"/>
      <c r="R427" s="17"/>
      <c r="S427" s="813"/>
      <c r="T427" s="17"/>
      <c r="AX427" s="17"/>
      <c r="BB427" s="17"/>
      <c r="BE427" s="17"/>
      <c r="BF427" s="17"/>
      <c r="BG427" s="17"/>
      <c r="BH427" s="17"/>
      <c r="BI427" s="17"/>
      <c r="BJ427" s="17"/>
      <c r="BK427" s="17"/>
      <c r="BL427" s="92"/>
      <c r="BM427" s="92"/>
      <c r="BN427" s="92"/>
      <c r="BO427" s="92"/>
      <c r="BP427" s="92"/>
      <c r="BQ427" s="818"/>
      <c r="BR427" s="54"/>
      <c r="BS427" s="54"/>
      <c r="BT427" s="818"/>
      <c r="BU427" s="818"/>
      <c r="BV427" s="818"/>
      <c r="BW427" s="92"/>
      <c r="BX427" s="92"/>
      <c r="BY427" s="17"/>
      <c r="BZ427" s="17"/>
      <c r="CA427" s="17"/>
      <c r="CB427" s="17"/>
      <c r="CC427" s="17"/>
      <c r="CD427" s="17"/>
    </row>
    <row r="428">
      <c r="A428" s="92"/>
      <c r="B428" s="820"/>
      <c r="O428" s="17"/>
      <c r="P428" s="17"/>
      <c r="Q428" s="17"/>
      <c r="R428" s="17"/>
      <c r="S428" s="813"/>
      <c r="T428" s="17"/>
      <c r="AX428" s="17"/>
      <c r="BB428" s="17"/>
      <c r="BE428" s="17"/>
      <c r="BF428" s="17"/>
      <c r="BG428" s="17"/>
      <c r="BH428" s="17"/>
      <c r="BI428" s="17"/>
      <c r="BJ428" s="17"/>
      <c r="BK428" s="17"/>
      <c r="BL428" s="92"/>
      <c r="BM428" s="92"/>
      <c r="BN428" s="92"/>
      <c r="BO428" s="92"/>
      <c r="BP428" s="92"/>
      <c r="BQ428" s="818"/>
      <c r="BR428" s="54"/>
      <c r="BS428" s="54"/>
      <c r="BT428" s="818"/>
      <c r="BU428" s="818"/>
      <c r="BV428" s="818"/>
      <c r="BW428" s="92"/>
      <c r="BX428" s="92"/>
      <c r="BY428" s="17"/>
      <c r="BZ428" s="17"/>
      <c r="CA428" s="17"/>
      <c r="CB428" s="17"/>
      <c r="CC428" s="17"/>
      <c r="CD428" s="17"/>
    </row>
    <row r="429">
      <c r="A429" s="92"/>
      <c r="B429" s="820"/>
      <c r="O429" s="17"/>
      <c r="P429" s="17"/>
      <c r="Q429" s="17"/>
      <c r="R429" s="17"/>
      <c r="S429" s="813"/>
      <c r="T429" s="17"/>
      <c r="AX429" s="17"/>
      <c r="BB429" s="17"/>
      <c r="BE429" s="17"/>
      <c r="BF429" s="17"/>
      <c r="BG429" s="17"/>
      <c r="BH429" s="17"/>
      <c r="BI429" s="17"/>
      <c r="BJ429" s="17"/>
      <c r="BK429" s="17"/>
      <c r="BL429" s="92"/>
      <c r="BM429" s="92"/>
      <c r="BN429" s="92"/>
      <c r="BO429" s="92"/>
      <c r="BP429" s="92"/>
      <c r="BQ429" s="818"/>
      <c r="BR429" s="54"/>
      <c r="BS429" s="54"/>
      <c r="BT429" s="818"/>
      <c r="BU429" s="818"/>
      <c r="BV429" s="818"/>
      <c r="BW429" s="92"/>
      <c r="BX429" s="92"/>
      <c r="BY429" s="17"/>
      <c r="BZ429" s="17"/>
      <c r="CA429" s="17"/>
      <c r="CB429" s="17"/>
      <c r="CC429" s="17"/>
      <c r="CD429" s="17"/>
    </row>
    <row r="430">
      <c r="A430" s="92"/>
      <c r="B430" s="820"/>
      <c r="O430" s="17"/>
      <c r="P430" s="17"/>
      <c r="Q430" s="17"/>
      <c r="R430" s="17"/>
      <c r="S430" s="813"/>
      <c r="T430" s="17"/>
      <c r="AX430" s="17"/>
      <c r="BB430" s="17"/>
      <c r="BE430" s="17"/>
      <c r="BF430" s="17"/>
      <c r="BG430" s="17"/>
      <c r="BH430" s="17"/>
      <c r="BI430" s="17"/>
      <c r="BJ430" s="17"/>
      <c r="BK430" s="17"/>
      <c r="BL430" s="92"/>
      <c r="BM430" s="92"/>
      <c r="BN430" s="92"/>
      <c r="BO430" s="92"/>
      <c r="BP430" s="92"/>
      <c r="BQ430" s="818"/>
      <c r="BR430" s="54"/>
      <c r="BS430" s="54"/>
      <c r="BT430" s="818"/>
      <c r="BU430" s="818"/>
      <c r="BV430" s="818"/>
      <c r="BW430" s="92"/>
      <c r="BX430" s="92"/>
      <c r="BY430" s="17"/>
      <c r="BZ430" s="17"/>
      <c r="CA430" s="17"/>
      <c r="CB430" s="17"/>
      <c r="CC430" s="17"/>
      <c r="CD430" s="17"/>
    </row>
    <row r="431">
      <c r="A431" s="92"/>
      <c r="B431" s="820"/>
      <c r="O431" s="17"/>
      <c r="P431" s="17"/>
      <c r="Q431" s="17"/>
      <c r="R431" s="17"/>
      <c r="S431" s="813"/>
      <c r="T431" s="17"/>
      <c r="AX431" s="17"/>
      <c r="BB431" s="17"/>
      <c r="BE431" s="17"/>
      <c r="BF431" s="17"/>
      <c r="BG431" s="17"/>
      <c r="BH431" s="17"/>
      <c r="BI431" s="17"/>
      <c r="BJ431" s="17"/>
      <c r="BK431" s="17"/>
      <c r="BL431" s="92"/>
      <c r="BM431" s="92"/>
      <c r="BN431" s="92"/>
      <c r="BO431" s="92"/>
      <c r="BP431" s="92"/>
      <c r="BQ431" s="818"/>
      <c r="BR431" s="54"/>
      <c r="BS431" s="54"/>
      <c r="BT431" s="818"/>
      <c r="BU431" s="818"/>
      <c r="BV431" s="818"/>
      <c r="BW431" s="92"/>
      <c r="BX431" s="92"/>
      <c r="BY431" s="17"/>
      <c r="BZ431" s="17"/>
      <c r="CA431" s="17"/>
      <c r="CB431" s="17"/>
      <c r="CC431" s="17"/>
      <c r="CD431" s="17"/>
    </row>
    <row r="432">
      <c r="A432" s="92"/>
      <c r="B432" s="820"/>
      <c r="O432" s="17"/>
      <c r="P432" s="17"/>
      <c r="Q432" s="17"/>
      <c r="R432" s="17"/>
      <c r="S432" s="813"/>
      <c r="T432" s="17"/>
      <c r="AX432" s="17"/>
      <c r="BB432" s="17"/>
      <c r="BE432" s="17"/>
      <c r="BF432" s="17"/>
      <c r="BG432" s="17"/>
      <c r="BH432" s="17"/>
      <c r="BI432" s="17"/>
      <c r="BJ432" s="17"/>
      <c r="BK432" s="17"/>
      <c r="BL432" s="92"/>
      <c r="BM432" s="92"/>
      <c r="BN432" s="92"/>
      <c r="BO432" s="92"/>
      <c r="BP432" s="92"/>
      <c r="BQ432" s="818"/>
      <c r="BR432" s="54"/>
      <c r="BS432" s="54"/>
      <c r="BT432" s="818"/>
      <c r="BU432" s="818"/>
      <c r="BV432" s="818"/>
      <c r="BW432" s="92"/>
      <c r="BX432" s="92"/>
      <c r="BY432" s="17"/>
      <c r="BZ432" s="17"/>
      <c r="CA432" s="17"/>
      <c r="CB432" s="17"/>
      <c r="CC432" s="17"/>
      <c r="CD432" s="17"/>
    </row>
    <row r="433">
      <c r="A433" s="92"/>
      <c r="B433" s="820"/>
      <c r="O433" s="17"/>
      <c r="P433" s="17"/>
      <c r="Q433" s="17"/>
      <c r="R433" s="17"/>
      <c r="S433" s="813"/>
      <c r="T433" s="17"/>
      <c r="AX433" s="17"/>
      <c r="BB433" s="17"/>
      <c r="BE433" s="17"/>
      <c r="BF433" s="17"/>
      <c r="BG433" s="17"/>
      <c r="BH433" s="17"/>
      <c r="BI433" s="17"/>
      <c r="BJ433" s="17"/>
      <c r="BK433" s="17"/>
      <c r="BL433" s="92"/>
      <c r="BM433" s="92"/>
      <c r="BN433" s="92"/>
      <c r="BO433" s="92"/>
      <c r="BP433" s="92"/>
      <c r="BQ433" s="818"/>
      <c r="BR433" s="54"/>
      <c r="BS433" s="54"/>
      <c r="BT433" s="818"/>
      <c r="BU433" s="818"/>
      <c r="BV433" s="818"/>
      <c r="BW433" s="92"/>
      <c r="BX433" s="92"/>
      <c r="BY433" s="17"/>
      <c r="BZ433" s="17"/>
      <c r="CA433" s="17"/>
      <c r="CB433" s="17"/>
      <c r="CC433" s="17"/>
      <c r="CD433" s="17"/>
    </row>
    <row r="434">
      <c r="A434" s="92"/>
      <c r="B434" s="820"/>
      <c r="O434" s="17"/>
      <c r="P434" s="17"/>
      <c r="Q434" s="17"/>
      <c r="R434" s="17"/>
      <c r="S434" s="813"/>
      <c r="T434" s="17"/>
      <c r="AX434" s="17"/>
      <c r="BB434" s="17"/>
      <c r="BE434" s="17"/>
      <c r="BF434" s="17"/>
      <c r="BG434" s="17"/>
      <c r="BH434" s="17"/>
      <c r="BI434" s="17"/>
      <c r="BJ434" s="17"/>
      <c r="BK434" s="17"/>
      <c r="BL434" s="92"/>
      <c r="BM434" s="92"/>
      <c r="BN434" s="92"/>
      <c r="BO434" s="92"/>
      <c r="BP434" s="92"/>
      <c r="BQ434" s="818"/>
      <c r="BR434" s="54"/>
      <c r="BS434" s="54"/>
      <c r="BT434" s="818"/>
      <c r="BU434" s="818"/>
      <c r="BV434" s="818"/>
      <c r="BW434" s="92"/>
      <c r="BX434" s="92"/>
      <c r="BY434" s="17"/>
      <c r="BZ434" s="17"/>
      <c r="CA434" s="17"/>
      <c r="CB434" s="17"/>
      <c r="CC434" s="17"/>
      <c r="CD434" s="17"/>
    </row>
    <row r="435">
      <c r="A435" s="92"/>
      <c r="B435" s="820"/>
      <c r="O435" s="17"/>
      <c r="P435" s="17"/>
      <c r="Q435" s="17"/>
      <c r="R435" s="17"/>
      <c r="S435" s="813"/>
      <c r="T435" s="17"/>
      <c r="AX435" s="17"/>
      <c r="BB435" s="17"/>
      <c r="BE435" s="17"/>
      <c r="BF435" s="17"/>
      <c r="BG435" s="17"/>
      <c r="BH435" s="17"/>
      <c r="BI435" s="17"/>
      <c r="BJ435" s="17"/>
      <c r="BK435" s="17"/>
      <c r="BL435" s="92"/>
      <c r="BM435" s="92"/>
      <c r="BN435" s="92"/>
      <c r="BO435" s="92"/>
      <c r="BP435" s="92"/>
      <c r="BQ435" s="818"/>
      <c r="BR435" s="54"/>
      <c r="BS435" s="54"/>
      <c r="BT435" s="818"/>
      <c r="BU435" s="818"/>
      <c r="BV435" s="818"/>
      <c r="BW435" s="92"/>
      <c r="BX435" s="92"/>
      <c r="BY435" s="17"/>
      <c r="BZ435" s="17"/>
      <c r="CA435" s="17"/>
      <c r="CB435" s="17"/>
      <c r="CC435" s="17"/>
      <c r="CD435" s="17"/>
    </row>
    <row r="436">
      <c r="A436" s="92"/>
      <c r="B436" s="820"/>
      <c r="O436" s="17"/>
      <c r="P436" s="17"/>
      <c r="Q436" s="17"/>
      <c r="R436" s="17"/>
      <c r="S436" s="813"/>
      <c r="T436" s="17"/>
      <c r="AX436" s="17"/>
      <c r="BB436" s="17"/>
      <c r="BE436" s="17"/>
      <c r="BF436" s="17"/>
      <c r="BG436" s="17"/>
      <c r="BH436" s="17"/>
      <c r="BI436" s="17"/>
      <c r="BJ436" s="17"/>
      <c r="BK436" s="17"/>
      <c r="BL436" s="92"/>
      <c r="BM436" s="92"/>
      <c r="BN436" s="92"/>
      <c r="BO436" s="92"/>
      <c r="BP436" s="92"/>
      <c r="BQ436" s="818"/>
      <c r="BR436" s="54"/>
      <c r="BS436" s="54"/>
      <c r="BT436" s="818"/>
      <c r="BU436" s="818"/>
      <c r="BV436" s="818"/>
      <c r="BW436" s="92"/>
      <c r="BX436" s="92"/>
      <c r="BY436" s="17"/>
      <c r="BZ436" s="17"/>
      <c r="CA436" s="17"/>
      <c r="CB436" s="17"/>
      <c r="CC436" s="17"/>
      <c r="CD436" s="17"/>
    </row>
    <row r="437">
      <c r="A437" s="92"/>
      <c r="B437" s="820"/>
      <c r="O437" s="17"/>
      <c r="P437" s="17"/>
      <c r="Q437" s="17"/>
      <c r="R437" s="17"/>
      <c r="S437" s="813"/>
      <c r="T437" s="17"/>
      <c r="AX437" s="17"/>
      <c r="BB437" s="17"/>
      <c r="BE437" s="17"/>
      <c r="BF437" s="17"/>
      <c r="BG437" s="17"/>
      <c r="BH437" s="17"/>
      <c r="BI437" s="17"/>
      <c r="BJ437" s="17"/>
      <c r="BK437" s="17"/>
      <c r="BL437" s="92"/>
      <c r="BM437" s="92"/>
      <c r="BN437" s="92"/>
      <c r="BO437" s="92"/>
      <c r="BP437" s="92"/>
      <c r="BQ437" s="818"/>
      <c r="BR437" s="54"/>
      <c r="BS437" s="54"/>
      <c r="BT437" s="818"/>
      <c r="BU437" s="818"/>
      <c r="BV437" s="818"/>
      <c r="BW437" s="92"/>
      <c r="BX437" s="92"/>
      <c r="BY437" s="17"/>
      <c r="BZ437" s="17"/>
      <c r="CA437" s="17"/>
      <c r="CB437" s="17"/>
      <c r="CC437" s="17"/>
      <c r="CD437" s="17"/>
    </row>
    <row r="438">
      <c r="A438" s="92"/>
      <c r="B438" s="820"/>
      <c r="O438" s="17"/>
      <c r="P438" s="17"/>
      <c r="Q438" s="17"/>
      <c r="R438" s="17"/>
      <c r="S438" s="813"/>
      <c r="T438" s="17"/>
      <c r="AX438" s="17"/>
      <c r="BB438" s="17"/>
      <c r="BE438" s="17"/>
      <c r="BF438" s="17"/>
      <c r="BG438" s="17"/>
      <c r="BH438" s="17"/>
      <c r="BI438" s="17"/>
      <c r="BJ438" s="17"/>
      <c r="BK438" s="17"/>
      <c r="BL438" s="92"/>
      <c r="BM438" s="92"/>
      <c r="BN438" s="92"/>
      <c r="BO438" s="92"/>
      <c r="BP438" s="92"/>
      <c r="BQ438" s="818"/>
      <c r="BR438" s="54"/>
      <c r="BS438" s="54"/>
      <c r="BT438" s="818"/>
      <c r="BU438" s="818"/>
      <c r="BV438" s="818"/>
      <c r="BW438" s="92"/>
      <c r="BX438" s="92"/>
      <c r="BY438" s="17"/>
      <c r="BZ438" s="17"/>
      <c r="CA438" s="17"/>
      <c r="CB438" s="17"/>
      <c r="CC438" s="17"/>
      <c r="CD438" s="17"/>
    </row>
    <row r="439">
      <c r="A439" s="92"/>
      <c r="B439" s="820"/>
      <c r="O439" s="17"/>
      <c r="P439" s="17"/>
      <c r="Q439" s="17"/>
      <c r="R439" s="17"/>
      <c r="S439" s="813"/>
      <c r="T439" s="17"/>
      <c r="AX439" s="17"/>
      <c r="BB439" s="17"/>
      <c r="BE439" s="17"/>
      <c r="BF439" s="17"/>
      <c r="BG439" s="17"/>
      <c r="BH439" s="17"/>
      <c r="BI439" s="17"/>
      <c r="BJ439" s="17"/>
      <c r="BK439" s="17"/>
      <c r="BL439" s="92"/>
      <c r="BM439" s="92"/>
      <c r="BN439" s="92"/>
      <c r="BO439" s="92"/>
      <c r="BP439" s="92"/>
      <c r="BQ439" s="818"/>
      <c r="BR439" s="54"/>
      <c r="BS439" s="54"/>
      <c r="BT439" s="818"/>
      <c r="BU439" s="818"/>
      <c r="BV439" s="818"/>
      <c r="BW439" s="92"/>
      <c r="BX439" s="92"/>
      <c r="BY439" s="17"/>
      <c r="BZ439" s="17"/>
      <c r="CA439" s="17"/>
      <c r="CB439" s="17"/>
      <c r="CC439" s="17"/>
      <c r="CD439" s="17"/>
    </row>
    <row r="440">
      <c r="A440" s="92"/>
      <c r="B440" s="820"/>
      <c r="O440" s="17"/>
      <c r="P440" s="17"/>
      <c r="Q440" s="17"/>
      <c r="R440" s="17"/>
      <c r="S440" s="813"/>
      <c r="T440" s="17"/>
      <c r="AX440" s="17"/>
      <c r="BB440" s="17"/>
      <c r="BE440" s="17"/>
      <c r="BF440" s="17"/>
      <c r="BG440" s="17"/>
      <c r="BH440" s="17"/>
      <c r="BI440" s="17"/>
      <c r="BJ440" s="17"/>
      <c r="BK440" s="17"/>
      <c r="BL440" s="92"/>
      <c r="BM440" s="92"/>
      <c r="BN440" s="92"/>
      <c r="BO440" s="92"/>
      <c r="BP440" s="92"/>
      <c r="BQ440" s="818"/>
      <c r="BR440" s="54"/>
      <c r="BS440" s="54"/>
      <c r="BT440" s="818"/>
      <c r="BU440" s="818"/>
      <c r="BV440" s="818"/>
      <c r="BW440" s="92"/>
      <c r="BX440" s="92"/>
      <c r="BY440" s="17"/>
      <c r="BZ440" s="17"/>
      <c r="CA440" s="17"/>
      <c r="CB440" s="17"/>
      <c r="CC440" s="17"/>
      <c r="CD440" s="17"/>
    </row>
    <row r="441">
      <c r="A441" s="92"/>
      <c r="B441" s="820"/>
      <c r="O441" s="17"/>
      <c r="P441" s="17"/>
      <c r="Q441" s="17"/>
      <c r="R441" s="17"/>
      <c r="S441" s="813"/>
      <c r="T441" s="17"/>
      <c r="AX441" s="17"/>
      <c r="BB441" s="17"/>
      <c r="BE441" s="17"/>
      <c r="BF441" s="17"/>
      <c r="BG441" s="17"/>
      <c r="BH441" s="17"/>
      <c r="BI441" s="17"/>
      <c r="BJ441" s="17"/>
      <c r="BK441" s="17"/>
      <c r="BL441" s="92"/>
      <c r="BM441" s="92"/>
      <c r="BN441" s="92"/>
      <c r="BO441" s="92"/>
      <c r="BP441" s="92"/>
      <c r="BQ441" s="818"/>
      <c r="BR441" s="54"/>
      <c r="BS441" s="54"/>
      <c r="BT441" s="818"/>
      <c r="BU441" s="818"/>
      <c r="BV441" s="818"/>
      <c r="BW441" s="92"/>
      <c r="BX441" s="92"/>
      <c r="BY441" s="17"/>
      <c r="BZ441" s="17"/>
      <c r="CA441" s="17"/>
      <c r="CB441" s="17"/>
      <c r="CC441" s="17"/>
      <c r="CD441" s="17"/>
    </row>
    <row r="442">
      <c r="A442" s="92"/>
      <c r="B442" s="820"/>
      <c r="O442" s="17"/>
      <c r="P442" s="17"/>
      <c r="Q442" s="17"/>
      <c r="R442" s="17"/>
      <c r="S442" s="813"/>
      <c r="T442" s="17"/>
      <c r="AX442" s="17"/>
      <c r="BB442" s="17"/>
      <c r="BE442" s="17"/>
      <c r="BF442" s="17"/>
      <c r="BG442" s="17"/>
      <c r="BH442" s="17"/>
      <c r="BI442" s="17"/>
      <c r="BJ442" s="17"/>
      <c r="BK442" s="17"/>
      <c r="BL442" s="92"/>
      <c r="BM442" s="92"/>
      <c r="BN442" s="92"/>
      <c r="BO442" s="92"/>
      <c r="BP442" s="92"/>
      <c r="BQ442" s="818"/>
      <c r="BR442" s="54"/>
      <c r="BS442" s="54"/>
      <c r="BT442" s="818"/>
      <c r="BU442" s="818"/>
      <c r="BV442" s="818"/>
      <c r="BW442" s="92"/>
      <c r="BX442" s="92"/>
      <c r="BY442" s="17"/>
      <c r="BZ442" s="17"/>
      <c r="CA442" s="17"/>
      <c r="CB442" s="17"/>
      <c r="CC442" s="17"/>
      <c r="CD442" s="17"/>
    </row>
    <row r="443">
      <c r="A443" s="92"/>
      <c r="B443" s="820"/>
      <c r="O443" s="17"/>
      <c r="P443" s="17"/>
      <c r="Q443" s="17"/>
      <c r="R443" s="17"/>
      <c r="S443" s="813"/>
      <c r="T443" s="17"/>
      <c r="AX443" s="17"/>
      <c r="BB443" s="17"/>
      <c r="BE443" s="17"/>
      <c r="BF443" s="17"/>
      <c r="BG443" s="17"/>
      <c r="BH443" s="17"/>
      <c r="BI443" s="17"/>
      <c r="BJ443" s="17"/>
      <c r="BK443" s="17"/>
      <c r="BL443" s="92"/>
      <c r="BM443" s="92"/>
      <c r="BN443" s="92"/>
      <c r="BO443" s="92"/>
      <c r="BP443" s="92"/>
      <c r="BQ443" s="818"/>
      <c r="BR443" s="54"/>
      <c r="BS443" s="54"/>
      <c r="BT443" s="818"/>
      <c r="BU443" s="818"/>
      <c r="BV443" s="818"/>
      <c r="BW443" s="92"/>
      <c r="BX443" s="92"/>
      <c r="BY443" s="17"/>
      <c r="BZ443" s="17"/>
      <c r="CA443" s="17"/>
      <c r="CB443" s="17"/>
      <c r="CC443" s="17"/>
      <c r="CD443" s="17"/>
    </row>
    <row r="444">
      <c r="A444" s="92"/>
      <c r="B444" s="820"/>
      <c r="O444" s="17"/>
      <c r="P444" s="17"/>
      <c r="Q444" s="17"/>
      <c r="R444" s="17"/>
      <c r="S444" s="813"/>
      <c r="T444" s="17"/>
      <c r="AX444" s="17"/>
      <c r="BB444" s="17"/>
      <c r="BE444" s="17"/>
      <c r="BF444" s="17"/>
      <c r="BG444" s="17"/>
      <c r="BH444" s="17"/>
      <c r="BI444" s="17"/>
      <c r="BJ444" s="17"/>
      <c r="BK444" s="17"/>
      <c r="BL444" s="92"/>
      <c r="BM444" s="92"/>
      <c r="BN444" s="92"/>
      <c r="BO444" s="92"/>
      <c r="BP444" s="92"/>
      <c r="BQ444" s="818"/>
      <c r="BR444" s="54"/>
      <c r="BS444" s="54"/>
      <c r="BT444" s="818"/>
      <c r="BU444" s="818"/>
      <c r="BV444" s="818"/>
      <c r="BW444" s="92"/>
      <c r="BX444" s="92"/>
      <c r="BY444" s="17"/>
      <c r="BZ444" s="17"/>
      <c r="CA444" s="17"/>
      <c r="CB444" s="17"/>
      <c r="CC444" s="17"/>
      <c r="CD444" s="17"/>
    </row>
    <row r="445">
      <c r="A445" s="92"/>
      <c r="B445" s="820"/>
      <c r="O445" s="17"/>
      <c r="P445" s="17"/>
      <c r="Q445" s="17"/>
      <c r="R445" s="17"/>
      <c r="S445" s="813"/>
      <c r="T445" s="17"/>
      <c r="AX445" s="17"/>
      <c r="BB445" s="17"/>
      <c r="BE445" s="17"/>
      <c r="BF445" s="17"/>
      <c r="BG445" s="17"/>
      <c r="BH445" s="17"/>
      <c r="BI445" s="17"/>
      <c r="BJ445" s="17"/>
      <c r="BK445" s="17"/>
      <c r="BL445" s="92"/>
      <c r="BM445" s="92"/>
      <c r="BN445" s="92"/>
      <c r="BO445" s="92"/>
      <c r="BP445" s="92"/>
      <c r="BQ445" s="818"/>
      <c r="BR445" s="54"/>
      <c r="BS445" s="54"/>
      <c r="BT445" s="818"/>
      <c r="BU445" s="818"/>
      <c r="BV445" s="818"/>
      <c r="BW445" s="92"/>
      <c r="BX445" s="92"/>
      <c r="BY445" s="17"/>
      <c r="BZ445" s="17"/>
      <c r="CA445" s="17"/>
      <c r="CB445" s="17"/>
      <c r="CC445" s="17"/>
      <c r="CD445" s="17"/>
    </row>
    <row r="446">
      <c r="A446" s="92"/>
      <c r="B446" s="820"/>
      <c r="O446" s="17"/>
      <c r="P446" s="17"/>
      <c r="Q446" s="17"/>
      <c r="R446" s="17"/>
      <c r="S446" s="813"/>
      <c r="T446" s="17"/>
      <c r="AX446" s="17"/>
      <c r="BB446" s="17"/>
      <c r="BE446" s="17"/>
      <c r="BF446" s="17"/>
      <c r="BG446" s="17"/>
      <c r="BH446" s="17"/>
      <c r="BI446" s="17"/>
      <c r="BJ446" s="17"/>
      <c r="BK446" s="17"/>
      <c r="BL446" s="92"/>
      <c r="BM446" s="92"/>
      <c r="BN446" s="92"/>
      <c r="BO446" s="92"/>
      <c r="BP446" s="92"/>
      <c r="BQ446" s="818"/>
      <c r="BR446" s="54"/>
      <c r="BS446" s="54"/>
      <c r="BT446" s="818"/>
      <c r="BU446" s="818"/>
      <c r="BV446" s="818"/>
      <c r="BW446" s="92"/>
      <c r="BX446" s="92"/>
      <c r="BY446" s="17"/>
      <c r="BZ446" s="17"/>
      <c r="CA446" s="17"/>
      <c r="CB446" s="17"/>
      <c r="CC446" s="17"/>
      <c r="CD446" s="17"/>
    </row>
    <row r="447">
      <c r="A447" s="92"/>
      <c r="B447" s="820"/>
      <c r="O447" s="17"/>
      <c r="P447" s="17"/>
      <c r="Q447" s="17"/>
      <c r="R447" s="17"/>
      <c r="S447" s="813"/>
      <c r="T447" s="17"/>
      <c r="AX447" s="17"/>
      <c r="BB447" s="17"/>
      <c r="BE447" s="17"/>
      <c r="BF447" s="17"/>
      <c r="BG447" s="17"/>
      <c r="BH447" s="17"/>
      <c r="BI447" s="17"/>
      <c r="BJ447" s="17"/>
      <c r="BK447" s="17"/>
      <c r="BL447" s="92"/>
      <c r="BM447" s="92"/>
      <c r="BN447" s="92"/>
      <c r="BO447" s="92"/>
      <c r="BP447" s="92"/>
      <c r="BQ447" s="818"/>
      <c r="BR447" s="54"/>
      <c r="BS447" s="54"/>
      <c r="BT447" s="818"/>
      <c r="BU447" s="818"/>
      <c r="BV447" s="818"/>
      <c r="BW447" s="92"/>
      <c r="BX447" s="92"/>
      <c r="BY447" s="17"/>
      <c r="BZ447" s="17"/>
      <c r="CA447" s="17"/>
      <c r="CB447" s="17"/>
      <c r="CC447" s="17"/>
      <c r="CD447" s="17"/>
    </row>
    <row r="448">
      <c r="A448" s="92"/>
      <c r="B448" s="820"/>
      <c r="O448" s="17"/>
      <c r="P448" s="17"/>
      <c r="Q448" s="17"/>
      <c r="R448" s="17"/>
      <c r="S448" s="813"/>
      <c r="T448" s="17"/>
      <c r="AX448" s="17"/>
      <c r="BB448" s="17"/>
      <c r="BE448" s="17"/>
      <c r="BF448" s="17"/>
      <c r="BG448" s="17"/>
      <c r="BH448" s="17"/>
      <c r="BI448" s="17"/>
      <c r="BJ448" s="17"/>
      <c r="BK448" s="17"/>
      <c r="BL448" s="92"/>
      <c r="BM448" s="92"/>
      <c r="BN448" s="92"/>
      <c r="BO448" s="92"/>
      <c r="BP448" s="92"/>
      <c r="BQ448" s="818"/>
      <c r="BR448" s="54"/>
      <c r="BS448" s="54"/>
      <c r="BT448" s="818"/>
      <c r="BU448" s="818"/>
      <c r="BV448" s="818"/>
      <c r="BW448" s="92"/>
      <c r="BX448" s="92"/>
      <c r="BY448" s="17"/>
      <c r="BZ448" s="17"/>
      <c r="CA448" s="17"/>
      <c r="CB448" s="17"/>
      <c r="CC448" s="17"/>
      <c r="CD448" s="17"/>
    </row>
    <row r="449">
      <c r="A449" s="92"/>
      <c r="B449" s="820"/>
      <c r="O449" s="17"/>
      <c r="P449" s="17"/>
      <c r="Q449" s="17"/>
      <c r="R449" s="17"/>
      <c r="S449" s="813"/>
      <c r="T449" s="17"/>
      <c r="AX449" s="17"/>
      <c r="BB449" s="17"/>
      <c r="BE449" s="17"/>
      <c r="BF449" s="17"/>
      <c r="BG449" s="17"/>
      <c r="BH449" s="17"/>
      <c r="BI449" s="17"/>
      <c r="BJ449" s="17"/>
      <c r="BK449" s="17"/>
      <c r="BL449" s="92"/>
      <c r="BM449" s="92"/>
      <c r="BN449" s="92"/>
      <c r="BO449" s="92"/>
      <c r="BP449" s="92"/>
      <c r="BQ449" s="818"/>
      <c r="BR449" s="54"/>
      <c r="BS449" s="54"/>
      <c r="BT449" s="818"/>
      <c r="BU449" s="818"/>
      <c r="BV449" s="818"/>
      <c r="BW449" s="92"/>
      <c r="BX449" s="92"/>
      <c r="BY449" s="17"/>
      <c r="BZ449" s="17"/>
      <c r="CA449" s="17"/>
      <c r="CB449" s="17"/>
      <c r="CC449" s="17"/>
      <c r="CD449" s="17"/>
    </row>
    <row r="450">
      <c r="A450" s="92"/>
      <c r="B450" s="820"/>
      <c r="O450" s="17"/>
      <c r="P450" s="17"/>
      <c r="Q450" s="17"/>
      <c r="R450" s="17"/>
      <c r="S450" s="813"/>
      <c r="T450" s="17"/>
      <c r="AX450" s="17"/>
      <c r="BB450" s="17"/>
      <c r="BE450" s="17"/>
      <c r="BF450" s="17"/>
      <c r="BG450" s="17"/>
      <c r="BH450" s="17"/>
      <c r="BI450" s="17"/>
      <c r="BJ450" s="17"/>
      <c r="BK450" s="17"/>
      <c r="BL450" s="92"/>
      <c r="BM450" s="92"/>
      <c r="BN450" s="92"/>
      <c r="BO450" s="92"/>
      <c r="BP450" s="92"/>
      <c r="BQ450" s="818"/>
      <c r="BR450" s="54"/>
      <c r="BS450" s="54"/>
      <c r="BT450" s="818"/>
      <c r="BU450" s="818"/>
      <c r="BV450" s="818"/>
      <c r="BW450" s="92"/>
      <c r="BX450" s="92"/>
      <c r="BY450" s="17"/>
      <c r="BZ450" s="17"/>
      <c r="CA450" s="17"/>
      <c r="CB450" s="17"/>
      <c r="CC450" s="17"/>
      <c r="CD450" s="17"/>
    </row>
    <row r="451">
      <c r="A451" s="92"/>
      <c r="B451" s="820"/>
      <c r="O451" s="17"/>
      <c r="P451" s="17"/>
      <c r="Q451" s="17"/>
      <c r="R451" s="17"/>
      <c r="S451" s="813"/>
      <c r="T451" s="17"/>
      <c r="AX451" s="17"/>
      <c r="BB451" s="17"/>
      <c r="BE451" s="17"/>
      <c r="BF451" s="17"/>
      <c r="BG451" s="17"/>
      <c r="BH451" s="17"/>
      <c r="BI451" s="17"/>
      <c r="BJ451" s="17"/>
      <c r="BK451" s="17"/>
      <c r="BL451" s="92"/>
      <c r="BM451" s="92"/>
      <c r="BN451" s="92"/>
      <c r="BO451" s="92"/>
      <c r="BP451" s="92"/>
      <c r="BQ451" s="818"/>
      <c r="BR451" s="54"/>
      <c r="BS451" s="54"/>
      <c r="BT451" s="818"/>
      <c r="BU451" s="818"/>
      <c r="BV451" s="818"/>
      <c r="BW451" s="92"/>
      <c r="BX451" s="92"/>
      <c r="BY451" s="17"/>
      <c r="BZ451" s="17"/>
      <c r="CA451" s="17"/>
      <c r="CB451" s="17"/>
      <c r="CC451" s="17"/>
      <c r="CD451" s="17"/>
    </row>
    <row r="452">
      <c r="A452" s="92"/>
      <c r="B452" s="820"/>
      <c r="O452" s="17"/>
      <c r="P452" s="17"/>
      <c r="Q452" s="17"/>
      <c r="R452" s="17"/>
      <c r="S452" s="813"/>
      <c r="T452" s="17"/>
      <c r="AX452" s="17"/>
      <c r="BB452" s="17"/>
      <c r="BE452" s="17"/>
      <c r="BF452" s="17"/>
      <c r="BG452" s="17"/>
      <c r="BH452" s="17"/>
      <c r="BI452" s="17"/>
      <c r="BJ452" s="17"/>
      <c r="BK452" s="17"/>
      <c r="BL452" s="92"/>
      <c r="BM452" s="92"/>
      <c r="BN452" s="92"/>
      <c r="BO452" s="92"/>
      <c r="BP452" s="92"/>
      <c r="BQ452" s="818"/>
      <c r="BR452" s="54"/>
      <c r="BS452" s="54"/>
      <c r="BT452" s="818"/>
      <c r="BU452" s="818"/>
      <c r="BV452" s="818"/>
      <c r="BW452" s="92"/>
      <c r="BX452" s="92"/>
      <c r="BY452" s="17"/>
      <c r="BZ452" s="17"/>
      <c r="CA452" s="17"/>
      <c r="CB452" s="17"/>
      <c r="CC452" s="17"/>
      <c r="CD452" s="17"/>
    </row>
    <row r="453">
      <c r="A453" s="92"/>
      <c r="B453" s="820"/>
      <c r="O453" s="17"/>
      <c r="P453" s="17"/>
      <c r="Q453" s="17"/>
      <c r="R453" s="17"/>
      <c r="S453" s="813"/>
      <c r="T453" s="17"/>
      <c r="AX453" s="17"/>
      <c r="BB453" s="17"/>
      <c r="BE453" s="17"/>
      <c r="BF453" s="17"/>
      <c r="BG453" s="17"/>
      <c r="BH453" s="17"/>
      <c r="BI453" s="17"/>
      <c r="BJ453" s="17"/>
      <c r="BK453" s="17"/>
      <c r="BL453" s="92"/>
      <c r="BM453" s="92"/>
      <c r="BN453" s="92"/>
      <c r="BO453" s="92"/>
      <c r="BP453" s="92"/>
      <c r="BQ453" s="818"/>
      <c r="BR453" s="54"/>
      <c r="BS453" s="54"/>
      <c r="BT453" s="818"/>
      <c r="BU453" s="818"/>
      <c r="BV453" s="818"/>
      <c r="BW453" s="92"/>
      <c r="BX453" s="92"/>
      <c r="BY453" s="17"/>
      <c r="BZ453" s="17"/>
      <c r="CA453" s="17"/>
      <c r="CB453" s="17"/>
      <c r="CC453" s="17"/>
      <c r="CD453" s="17"/>
    </row>
    <row r="454">
      <c r="A454" s="92"/>
      <c r="B454" s="820"/>
      <c r="O454" s="17"/>
      <c r="P454" s="17"/>
      <c r="Q454" s="17"/>
      <c r="R454" s="17"/>
      <c r="S454" s="813"/>
      <c r="T454" s="17"/>
      <c r="AX454" s="17"/>
      <c r="BB454" s="17"/>
      <c r="BE454" s="17"/>
      <c r="BF454" s="17"/>
      <c r="BG454" s="17"/>
      <c r="BH454" s="17"/>
      <c r="BI454" s="17"/>
      <c r="BJ454" s="17"/>
      <c r="BK454" s="17"/>
      <c r="BL454" s="92"/>
      <c r="BM454" s="92"/>
      <c r="BN454" s="92"/>
      <c r="BO454" s="92"/>
      <c r="BP454" s="92"/>
      <c r="BQ454" s="818"/>
      <c r="BR454" s="54"/>
      <c r="BS454" s="54"/>
      <c r="BT454" s="818"/>
      <c r="BU454" s="818"/>
      <c r="BV454" s="818"/>
      <c r="BW454" s="92"/>
      <c r="BX454" s="92"/>
      <c r="BY454" s="17"/>
      <c r="BZ454" s="17"/>
      <c r="CA454" s="17"/>
      <c r="CB454" s="17"/>
      <c r="CC454" s="17"/>
      <c r="CD454" s="17"/>
    </row>
    <row r="455">
      <c r="A455" s="92"/>
      <c r="B455" s="820"/>
      <c r="O455" s="17"/>
      <c r="P455" s="17"/>
      <c r="Q455" s="17"/>
      <c r="R455" s="17"/>
      <c r="S455" s="813"/>
      <c r="T455" s="17"/>
      <c r="AX455" s="17"/>
      <c r="BB455" s="17"/>
      <c r="BE455" s="17"/>
      <c r="BF455" s="17"/>
      <c r="BG455" s="17"/>
      <c r="BH455" s="17"/>
      <c r="BI455" s="17"/>
      <c r="BJ455" s="17"/>
      <c r="BK455" s="17"/>
      <c r="BL455" s="92"/>
      <c r="BM455" s="92"/>
      <c r="BN455" s="92"/>
      <c r="BO455" s="92"/>
      <c r="BP455" s="92"/>
      <c r="BQ455" s="818"/>
      <c r="BR455" s="54"/>
      <c r="BS455" s="54"/>
      <c r="BT455" s="818"/>
      <c r="BU455" s="818"/>
      <c r="BV455" s="818"/>
      <c r="BW455" s="92"/>
      <c r="BX455" s="92"/>
      <c r="BY455" s="17"/>
      <c r="BZ455" s="17"/>
      <c r="CA455" s="17"/>
      <c r="CB455" s="17"/>
      <c r="CC455" s="17"/>
      <c r="CD455" s="17"/>
    </row>
    <row r="456">
      <c r="A456" s="92"/>
      <c r="B456" s="820"/>
      <c r="O456" s="17"/>
      <c r="P456" s="17"/>
      <c r="Q456" s="17"/>
      <c r="R456" s="17"/>
      <c r="S456" s="813"/>
      <c r="T456" s="17"/>
      <c r="AX456" s="17"/>
      <c r="BB456" s="17"/>
      <c r="BE456" s="17"/>
      <c r="BF456" s="17"/>
      <c r="BG456" s="17"/>
      <c r="BH456" s="17"/>
      <c r="BI456" s="17"/>
      <c r="BJ456" s="17"/>
      <c r="BK456" s="17"/>
      <c r="BL456" s="92"/>
      <c r="BM456" s="92"/>
      <c r="BN456" s="92"/>
      <c r="BO456" s="92"/>
      <c r="BP456" s="92"/>
      <c r="BQ456" s="818"/>
      <c r="BR456" s="54"/>
      <c r="BS456" s="54"/>
      <c r="BT456" s="818"/>
      <c r="BU456" s="818"/>
      <c r="BV456" s="818"/>
      <c r="BW456" s="92"/>
      <c r="BX456" s="92"/>
      <c r="BY456" s="17"/>
      <c r="BZ456" s="17"/>
      <c r="CA456" s="17"/>
      <c r="CB456" s="17"/>
      <c r="CC456" s="17"/>
      <c r="CD456" s="17"/>
    </row>
    <row r="457">
      <c r="A457" s="92"/>
      <c r="B457" s="820"/>
      <c r="O457" s="17"/>
      <c r="P457" s="17"/>
      <c r="Q457" s="17"/>
      <c r="R457" s="17"/>
      <c r="S457" s="813"/>
      <c r="T457" s="17"/>
      <c r="AX457" s="17"/>
      <c r="BB457" s="17"/>
      <c r="BE457" s="17"/>
      <c r="BF457" s="17"/>
      <c r="BG457" s="17"/>
      <c r="BH457" s="17"/>
      <c r="BI457" s="17"/>
      <c r="BJ457" s="17"/>
      <c r="BK457" s="17"/>
      <c r="BL457" s="92"/>
      <c r="BM457" s="92"/>
      <c r="BN457" s="92"/>
      <c r="BO457" s="92"/>
      <c r="BP457" s="92"/>
      <c r="BQ457" s="818"/>
      <c r="BR457" s="54"/>
      <c r="BS457" s="54"/>
      <c r="BT457" s="818"/>
      <c r="BU457" s="818"/>
      <c r="BV457" s="818"/>
      <c r="BW457" s="92"/>
      <c r="BX457" s="92"/>
      <c r="BY457" s="17"/>
      <c r="BZ457" s="17"/>
      <c r="CA457" s="17"/>
      <c r="CB457" s="17"/>
      <c r="CC457" s="17"/>
      <c r="CD457" s="17"/>
    </row>
    <row r="458">
      <c r="A458" s="92"/>
      <c r="B458" s="820"/>
      <c r="O458" s="17"/>
      <c r="P458" s="17"/>
      <c r="Q458" s="17"/>
      <c r="R458" s="17"/>
      <c r="S458" s="813"/>
      <c r="T458" s="17"/>
      <c r="AX458" s="17"/>
      <c r="BB458" s="17"/>
      <c r="BE458" s="17"/>
      <c r="BF458" s="17"/>
      <c r="BG458" s="17"/>
      <c r="BH458" s="17"/>
      <c r="BI458" s="17"/>
      <c r="BJ458" s="17"/>
      <c r="BK458" s="17"/>
      <c r="BL458" s="92"/>
      <c r="BM458" s="92"/>
      <c r="BN458" s="92"/>
      <c r="BO458" s="92"/>
      <c r="BP458" s="92"/>
      <c r="BQ458" s="818"/>
      <c r="BR458" s="54"/>
      <c r="BS458" s="54"/>
      <c r="BT458" s="818"/>
      <c r="BU458" s="818"/>
      <c r="BV458" s="818"/>
      <c r="BW458" s="92"/>
      <c r="BX458" s="92"/>
      <c r="BY458" s="17"/>
      <c r="BZ458" s="17"/>
      <c r="CA458" s="17"/>
      <c r="CB458" s="17"/>
      <c r="CC458" s="17"/>
      <c r="CD458" s="17"/>
    </row>
    <row r="459">
      <c r="A459" s="92"/>
      <c r="B459" s="820"/>
      <c r="O459" s="17"/>
      <c r="P459" s="17"/>
      <c r="Q459" s="17"/>
      <c r="R459" s="17"/>
      <c r="S459" s="813"/>
      <c r="T459" s="17"/>
      <c r="AX459" s="17"/>
      <c r="BB459" s="17"/>
      <c r="BE459" s="17"/>
      <c r="BF459" s="17"/>
      <c r="BG459" s="17"/>
      <c r="BH459" s="17"/>
      <c r="BI459" s="17"/>
      <c r="BJ459" s="17"/>
      <c r="BK459" s="17"/>
      <c r="BL459" s="92"/>
      <c r="BM459" s="92"/>
      <c r="BN459" s="92"/>
      <c r="BO459" s="92"/>
      <c r="BP459" s="92"/>
      <c r="BQ459" s="818"/>
      <c r="BR459" s="54"/>
      <c r="BS459" s="54"/>
      <c r="BT459" s="818"/>
      <c r="BU459" s="818"/>
      <c r="BV459" s="818"/>
      <c r="BW459" s="92"/>
      <c r="BX459" s="92"/>
      <c r="BY459" s="17"/>
      <c r="BZ459" s="17"/>
      <c r="CA459" s="17"/>
      <c r="CB459" s="17"/>
      <c r="CC459" s="17"/>
      <c r="CD459" s="17"/>
    </row>
    <row r="460">
      <c r="A460" s="92"/>
      <c r="B460" s="820"/>
      <c r="O460" s="17"/>
      <c r="P460" s="17"/>
      <c r="Q460" s="17"/>
      <c r="R460" s="17"/>
      <c r="S460" s="813"/>
      <c r="T460" s="17"/>
      <c r="AX460" s="17"/>
      <c r="BB460" s="17"/>
      <c r="BE460" s="17"/>
      <c r="BF460" s="17"/>
      <c r="BG460" s="17"/>
      <c r="BH460" s="17"/>
      <c r="BI460" s="17"/>
      <c r="BJ460" s="17"/>
      <c r="BK460" s="17"/>
      <c r="BL460" s="92"/>
      <c r="BM460" s="92"/>
      <c r="BN460" s="92"/>
      <c r="BO460" s="92"/>
      <c r="BP460" s="92"/>
      <c r="BQ460" s="818"/>
      <c r="BR460" s="54"/>
      <c r="BS460" s="54"/>
      <c r="BT460" s="818"/>
      <c r="BU460" s="818"/>
      <c r="BV460" s="818"/>
      <c r="BW460" s="92"/>
      <c r="BX460" s="92"/>
      <c r="BY460" s="17"/>
      <c r="BZ460" s="17"/>
      <c r="CA460" s="17"/>
      <c r="CB460" s="17"/>
      <c r="CC460" s="17"/>
      <c r="CD460" s="17"/>
    </row>
    <row r="461">
      <c r="A461" s="92"/>
      <c r="B461" s="820"/>
      <c r="O461" s="17"/>
      <c r="P461" s="17"/>
      <c r="Q461" s="17"/>
      <c r="R461" s="17"/>
      <c r="S461" s="813"/>
      <c r="T461" s="17"/>
      <c r="AX461" s="17"/>
      <c r="BB461" s="17"/>
      <c r="BE461" s="17"/>
      <c r="BF461" s="17"/>
      <c r="BG461" s="17"/>
      <c r="BH461" s="17"/>
      <c r="BI461" s="17"/>
      <c r="BJ461" s="17"/>
      <c r="BK461" s="17"/>
      <c r="BL461" s="92"/>
      <c r="BM461" s="92"/>
      <c r="BN461" s="92"/>
      <c r="BO461" s="92"/>
      <c r="BP461" s="92"/>
      <c r="BQ461" s="818"/>
      <c r="BR461" s="54"/>
      <c r="BS461" s="54"/>
      <c r="BT461" s="818"/>
      <c r="BU461" s="818"/>
      <c r="BV461" s="818"/>
      <c r="BW461" s="92"/>
      <c r="BX461" s="92"/>
      <c r="BY461" s="17"/>
      <c r="BZ461" s="17"/>
      <c r="CA461" s="17"/>
      <c r="CB461" s="17"/>
      <c r="CC461" s="17"/>
      <c r="CD461" s="17"/>
    </row>
    <row r="462">
      <c r="A462" s="92"/>
      <c r="B462" s="820"/>
      <c r="O462" s="17"/>
      <c r="P462" s="17"/>
      <c r="Q462" s="17"/>
      <c r="R462" s="17"/>
      <c r="S462" s="813"/>
      <c r="T462" s="17"/>
      <c r="AX462" s="17"/>
      <c r="BB462" s="17"/>
      <c r="BE462" s="17"/>
      <c r="BF462" s="17"/>
      <c r="BG462" s="17"/>
      <c r="BH462" s="17"/>
      <c r="BI462" s="17"/>
      <c r="BJ462" s="17"/>
      <c r="BK462" s="17"/>
      <c r="BL462" s="92"/>
      <c r="BM462" s="92"/>
      <c r="BN462" s="92"/>
      <c r="BO462" s="92"/>
      <c r="BP462" s="92"/>
      <c r="BQ462" s="818"/>
      <c r="BR462" s="54"/>
      <c r="BS462" s="54"/>
      <c r="BT462" s="818"/>
      <c r="BU462" s="818"/>
      <c r="BV462" s="818"/>
      <c r="BW462" s="92"/>
      <c r="BX462" s="92"/>
      <c r="BY462" s="17"/>
      <c r="BZ462" s="17"/>
      <c r="CA462" s="17"/>
      <c r="CB462" s="17"/>
      <c r="CC462" s="17"/>
      <c r="CD462" s="17"/>
    </row>
    <row r="463">
      <c r="A463" s="92"/>
      <c r="B463" s="820"/>
      <c r="O463" s="17"/>
      <c r="P463" s="17"/>
      <c r="Q463" s="17"/>
      <c r="R463" s="17"/>
      <c r="S463" s="813"/>
      <c r="T463" s="17"/>
      <c r="AX463" s="17"/>
      <c r="BB463" s="17"/>
      <c r="BE463" s="17"/>
      <c r="BF463" s="17"/>
      <c r="BG463" s="17"/>
      <c r="BH463" s="17"/>
      <c r="BI463" s="17"/>
      <c r="BJ463" s="17"/>
      <c r="BK463" s="17"/>
      <c r="BL463" s="92"/>
      <c r="BM463" s="92"/>
      <c r="BN463" s="92"/>
      <c r="BO463" s="92"/>
      <c r="BP463" s="92"/>
      <c r="BQ463" s="818"/>
      <c r="BR463" s="54"/>
      <c r="BS463" s="54"/>
      <c r="BT463" s="818"/>
      <c r="BU463" s="818"/>
      <c r="BV463" s="818"/>
      <c r="BW463" s="92"/>
      <c r="BX463" s="92"/>
      <c r="BY463" s="17"/>
      <c r="BZ463" s="17"/>
      <c r="CA463" s="17"/>
      <c r="CB463" s="17"/>
      <c r="CC463" s="17"/>
      <c r="CD463" s="17"/>
    </row>
    <row r="464">
      <c r="A464" s="92"/>
      <c r="B464" s="820"/>
      <c r="O464" s="17"/>
      <c r="P464" s="17"/>
      <c r="Q464" s="17"/>
      <c r="R464" s="17"/>
      <c r="S464" s="813"/>
      <c r="T464" s="17"/>
      <c r="AX464" s="17"/>
      <c r="BB464" s="17"/>
      <c r="BE464" s="17"/>
      <c r="BF464" s="17"/>
      <c r="BG464" s="17"/>
      <c r="BH464" s="17"/>
      <c r="BI464" s="17"/>
      <c r="BJ464" s="17"/>
      <c r="BK464" s="17"/>
      <c r="BL464" s="92"/>
      <c r="BM464" s="92"/>
      <c r="BN464" s="92"/>
      <c r="BO464" s="92"/>
      <c r="BP464" s="92"/>
      <c r="BQ464" s="818"/>
      <c r="BR464" s="54"/>
      <c r="BS464" s="54"/>
      <c r="BT464" s="818"/>
      <c r="BU464" s="818"/>
      <c r="BV464" s="818"/>
      <c r="BW464" s="92"/>
      <c r="BX464" s="92"/>
      <c r="BY464" s="17"/>
      <c r="BZ464" s="17"/>
      <c r="CA464" s="17"/>
      <c r="CB464" s="17"/>
      <c r="CC464" s="17"/>
      <c r="CD464" s="17"/>
    </row>
    <row r="465">
      <c r="A465" s="92"/>
      <c r="B465" s="820"/>
      <c r="O465" s="17"/>
      <c r="P465" s="17"/>
      <c r="Q465" s="17"/>
      <c r="R465" s="17"/>
      <c r="S465" s="813"/>
      <c r="T465" s="17"/>
      <c r="AX465" s="17"/>
      <c r="BB465" s="17"/>
      <c r="BE465" s="17"/>
      <c r="BF465" s="17"/>
      <c r="BG465" s="17"/>
      <c r="BH465" s="17"/>
      <c r="BI465" s="17"/>
      <c r="BJ465" s="17"/>
      <c r="BK465" s="17"/>
      <c r="BL465" s="92"/>
      <c r="BM465" s="92"/>
      <c r="BN465" s="92"/>
      <c r="BO465" s="92"/>
      <c r="BP465" s="92"/>
      <c r="BQ465" s="818"/>
      <c r="BR465" s="54"/>
      <c r="BS465" s="54"/>
      <c r="BT465" s="818"/>
      <c r="BU465" s="818"/>
      <c r="BV465" s="818"/>
      <c r="BW465" s="92"/>
      <c r="BX465" s="92"/>
      <c r="BY465" s="17"/>
      <c r="BZ465" s="17"/>
      <c r="CA465" s="17"/>
      <c r="CB465" s="17"/>
      <c r="CC465" s="17"/>
      <c r="CD465" s="17"/>
    </row>
    <row r="466">
      <c r="A466" s="92"/>
      <c r="B466" s="820"/>
      <c r="O466" s="17"/>
      <c r="P466" s="17"/>
      <c r="Q466" s="17"/>
      <c r="R466" s="17"/>
      <c r="S466" s="813"/>
      <c r="T466" s="17"/>
      <c r="AX466" s="17"/>
      <c r="BB466" s="17"/>
      <c r="BE466" s="17"/>
      <c r="BF466" s="17"/>
      <c r="BG466" s="17"/>
      <c r="BH466" s="17"/>
      <c r="BI466" s="17"/>
      <c r="BJ466" s="17"/>
      <c r="BK466" s="17"/>
      <c r="BL466" s="92"/>
      <c r="BM466" s="92"/>
      <c r="BN466" s="92"/>
      <c r="BO466" s="92"/>
      <c r="BP466" s="92"/>
      <c r="BQ466" s="818"/>
      <c r="BR466" s="54"/>
      <c r="BS466" s="54"/>
      <c r="BT466" s="818"/>
      <c r="BU466" s="818"/>
      <c r="BV466" s="818"/>
      <c r="BW466" s="92"/>
      <c r="BX466" s="92"/>
      <c r="BY466" s="17"/>
      <c r="BZ466" s="17"/>
      <c r="CA466" s="17"/>
      <c r="CB466" s="17"/>
      <c r="CC466" s="17"/>
      <c r="CD466" s="17"/>
    </row>
    <row r="467">
      <c r="A467" s="92"/>
      <c r="B467" s="820"/>
      <c r="O467" s="17"/>
      <c r="P467" s="17"/>
      <c r="Q467" s="17"/>
      <c r="R467" s="17"/>
      <c r="S467" s="813"/>
      <c r="T467" s="17"/>
      <c r="AX467" s="17"/>
      <c r="BB467" s="17"/>
      <c r="BE467" s="17"/>
      <c r="BF467" s="17"/>
      <c r="BG467" s="17"/>
      <c r="BH467" s="17"/>
      <c r="BI467" s="17"/>
      <c r="BJ467" s="17"/>
      <c r="BK467" s="17"/>
      <c r="BL467" s="92"/>
      <c r="BM467" s="92"/>
      <c r="BN467" s="92"/>
      <c r="BO467" s="92"/>
      <c r="BP467" s="92"/>
      <c r="BQ467" s="818"/>
      <c r="BR467" s="54"/>
      <c r="BS467" s="54"/>
      <c r="BT467" s="818"/>
      <c r="BU467" s="818"/>
      <c r="BV467" s="818"/>
      <c r="BW467" s="92"/>
      <c r="BX467" s="92"/>
      <c r="BY467" s="17"/>
      <c r="BZ467" s="17"/>
      <c r="CA467" s="17"/>
      <c r="CB467" s="17"/>
      <c r="CC467" s="17"/>
      <c r="CD467" s="17"/>
    </row>
    <row r="468">
      <c r="A468" s="92"/>
      <c r="B468" s="820"/>
      <c r="O468" s="17"/>
      <c r="P468" s="17"/>
      <c r="Q468" s="17"/>
      <c r="R468" s="17"/>
      <c r="S468" s="813"/>
      <c r="T468" s="17"/>
      <c r="AX468" s="17"/>
      <c r="BB468" s="17"/>
      <c r="BE468" s="17"/>
      <c r="BF468" s="17"/>
      <c r="BG468" s="17"/>
      <c r="BH468" s="17"/>
      <c r="BI468" s="17"/>
      <c r="BJ468" s="17"/>
      <c r="BK468" s="17"/>
      <c r="BL468" s="92"/>
      <c r="BM468" s="92"/>
      <c r="BN468" s="92"/>
      <c r="BO468" s="92"/>
      <c r="BP468" s="92"/>
      <c r="BQ468" s="818"/>
      <c r="BR468" s="54"/>
      <c r="BS468" s="54"/>
      <c r="BT468" s="818"/>
      <c r="BU468" s="818"/>
      <c r="BV468" s="818"/>
      <c r="BW468" s="92"/>
      <c r="BX468" s="92"/>
      <c r="BY468" s="17"/>
      <c r="BZ468" s="17"/>
      <c r="CA468" s="17"/>
      <c r="CB468" s="17"/>
      <c r="CC468" s="17"/>
      <c r="CD468" s="17"/>
    </row>
    <row r="469">
      <c r="A469" s="92"/>
      <c r="B469" s="820"/>
      <c r="O469" s="17"/>
      <c r="P469" s="17"/>
      <c r="Q469" s="17"/>
      <c r="R469" s="17"/>
      <c r="S469" s="813"/>
      <c r="T469" s="17"/>
      <c r="AX469" s="17"/>
      <c r="BB469" s="17"/>
      <c r="BE469" s="17"/>
      <c r="BF469" s="17"/>
      <c r="BG469" s="17"/>
      <c r="BH469" s="17"/>
      <c r="BI469" s="17"/>
      <c r="BJ469" s="17"/>
      <c r="BK469" s="17"/>
      <c r="BL469" s="92"/>
      <c r="BM469" s="92"/>
      <c r="BN469" s="92"/>
      <c r="BO469" s="92"/>
      <c r="BP469" s="92"/>
      <c r="BQ469" s="818"/>
      <c r="BR469" s="54"/>
      <c r="BS469" s="54"/>
      <c r="BT469" s="818"/>
      <c r="BU469" s="818"/>
      <c r="BV469" s="818"/>
      <c r="BW469" s="92"/>
      <c r="BX469" s="92"/>
      <c r="BY469" s="17"/>
      <c r="BZ469" s="17"/>
      <c r="CA469" s="17"/>
      <c r="CB469" s="17"/>
      <c r="CC469" s="17"/>
      <c r="CD469" s="17"/>
    </row>
    <row r="470">
      <c r="A470" s="92"/>
      <c r="B470" s="820"/>
      <c r="O470" s="17"/>
      <c r="P470" s="17"/>
      <c r="Q470" s="17"/>
      <c r="R470" s="17"/>
      <c r="S470" s="813"/>
      <c r="T470" s="17"/>
      <c r="AX470" s="17"/>
      <c r="BB470" s="17"/>
      <c r="BE470" s="17"/>
      <c r="BF470" s="17"/>
      <c r="BG470" s="17"/>
      <c r="BH470" s="17"/>
      <c r="BI470" s="17"/>
      <c r="BJ470" s="17"/>
      <c r="BK470" s="17"/>
      <c r="BL470" s="92"/>
      <c r="BM470" s="92"/>
      <c r="BN470" s="92"/>
      <c r="BO470" s="92"/>
      <c r="BP470" s="92"/>
      <c r="BQ470" s="818"/>
      <c r="BR470" s="54"/>
      <c r="BS470" s="54"/>
      <c r="BT470" s="818"/>
      <c r="BU470" s="818"/>
      <c r="BV470" s="818"/>
      <c r="BW470" s="92"/>
      <c r="BX470" s="92"/>
      <c r="BY470" s="17"/>
      <c r="BZ470" s="17"/>
      <c r="CA470" s="17"/>
      <c r="CB470" s="17"/>
      <c r="CC470" s="17"/>
      <c r="CD470" s="17"/>
    </row>
    <row r="471">
      <c r="A471" s="92"/>
      <c r="B471" s="820"/>
      <c r="O471" s="17"/>
      <c r="P471" s="17"/>
      <c r="Q471" s="17"/>
      <c r="R471" s="17"/>
      <c r="S471" s="813"/>
      <c r="T471" s="17"/>
      <c r="AX471" s="17"/>
      <c r="BB471" s="17"/>
      <c r="BE471" s="17"/>
      <c r="BF471" s="17"/>
      <c r="BG471" s="17"/>
      <c r="BH471" s="17"/>
      <c r="BI471" s="17"/>
      <c r="BJ471" s="17"/>
      <c r="BK471" s="17"/>
      <c r="BL471" s="92"/>
      <c r="BM471" s="92"/>
      <c r="BN471" s="92"/>
      <c r="BO471" s="92"/>
      <c r="BP471" s="92"/>
      <c r="BQ471" s="818"/>
      <c r="BR471" s="54"/>
      <c r="BS471" s="54"/>
      <c r="BT471" s="818"/>
      <c r="BU471" s="818"/>
      <c r="BV471" s="818"/>
      <c r="BW471" s="92"/>
      <c r="BX471" s="92"/>
      <c r="BY471" s="17"/>
      <c r="BZ471" s="17"/>
      <c r="CA471" s="17"/>
      <c r="CB471" s="17"/>
      <c r="CC471" s="17"/>
      <c r="CD471" s="17"/>
    </row>
    <row r="472">
      <c r="A472" s="92"/>
      <c r="B472" s="820"/>
      <c r="O472" s="17"/>
      <c r="P472" s="17"/>
      <c r="Q472" s="17"/>
      <c r="R472" s="17"/>
      <c r="S472" s="813"/>
      <c r="T472" s="17"/>
      <c r="AX472" s="17"/>
      <c r="BB472" s="17"/>
      <c r="BE472" s="17"/>
      <c r="BF472" s="17"/>
      <c r="BG472" s="17"/>
      <c r="BH472" s="17"/>
      <c r="BI472" s="17"/>
      <c r="BJ472" s="17"/>
      <c r="BK472" s="17"/>
      <c r="BL472" s="92"/>
      <c r="BM472" s="92"/>
      <c r="BN472" s="92"/>
      <c r="BO472" s="92"/>
      <c r="BP472" s="92"/>
      <c r="BQ472" s="818"/>
      <c r="BR472" s="54"/>
      <c r="BS472" s="54"/>
      <c r="BT472" s="818"/>
      <c r="BU472" s="818"/>
      <c r="BV472" s="818"/>
      <c r="BW472" s="92"/>
      <c r="BX472" s="92"/>
      <c r="BY472" s="17"/>
      <c r="BZ472" s="17"/>
      <c r="CA472" s="17"/>
      <c r="CB472" s="17"/>
      <c r="CC472" s="17"/>
      <c r="CD472" s="17"/>
    </row>
    <row r="473">
      <c r="A473" s="92"/>
      <c r="B473" s="820"/>
      <c r="O473" s="17"/>
      <c r="P473" s="17"/>
      <c r="Q473" s="17"/>
      <c r="R473" s="17"/>
      <c r="S473" s="813"/>
      <c r="T473" s="17"/>
      <c r="AX473" s="17"/>
      <c r="BB473" s="17"/>
      <c r="BE473" s="17"/>
      <c r="BF473" s="17"/>
      <c r="BG473" s="17"/>
      <c r="BH473" s="17"/>
      <c r="BI473" s="17"/>
      <c r="BJ473" s="17"/>
      <c r="BK473" s="17"/>
      <c r="BL473" s="92"/>
      <c r="BM473" s="92"/>
      <c r="BN473" s="92"/>
      <c r="BO473" s="92"/>
      <c r="BP473" s="92"/>
      <c r="BQ473" s="818"/>
      <c r="BR473" s="54"/>
      <c r="BS473" s="54"/>
      <c r="BT473" s="818"/>
      <c r="BU473" s="818"/>
      <c r="BV473" s="818"/>
      <c r="BW473" s="92"/>
      <c r="BX473" s="92"/>
      <c r="BY473" s="17"/>
      <c r="BZ473" s="17"/>
      <c r="CA473" s="17"/>
      <c r="CB473" s="17"/>
      <c r="CC473" s="17"/>
      <c r="CD473" s="17"/>
    </row>
    <row r="474">
      <c r="A474" s="92"/>
      <c r="B474" s="820"/>
      <c r="O474" s="17"/>
      <c r="P474" s="17"/>
      <c r="Q474" s="17"/>
      <c r="R474" s="17"/>
      <c r="S474" s="813"/>
      <c r="T474" s="17"/>
      <c r="AX474" s="17"/>
      <c r="BB474" s="17"/>
      <c r="BE474" s="17"/>
      <c r="BF474" s="17"/>
      <c r="BG474" s="17"/>
      <c r="BH474" s="17"/>
      <c r="BI474" s="17"/>
      <c r="BJ474" s="17"/>
      <c r="BK474" s="17"/>
      <c r="BL474" s="92"/>
      <c r="BM474" s="92"/>
      <c r="BN474" s="92"/>
      <c r="BO474" s="92"/>
      <c r="BP474" s="92"/>
      <c r="BQ474" s="818"/>
      <c r="BR474" s="54"/>
      <c r="BS474" s="54"/>
      <c r="BT474" s="818"/>
      <c r="BU474" s="818"/>
      <c r="BV474" s="818"/>
      <c r="BW474" s="92"/>
      <c r="BX474" s="92"/>
      <c r="BY474" s="17"/>
      <c r="BZ474" s="17"/>
      <c r="CA474" s="17"/>
      <c r="CB474" s="17"/>
      <c r="CC474" s="17"/>
      <c r="CD474" s="17"/>
    </row>
    <row r="475">
      <c r="A475" s="92"/>
      <c r="B475" s="820"/>
      <c r="O475" s="17"/>
      <c r="P475" s="17"/>
      <c r="Q475" s="17"/>
      <c r="R475" s="17"/>
      <c r="S475" s="813"/>
      <c r="T475" s="17"/>
      <c r="AX475" s="17"/>
      <c r="BB475" s="17"/>
      <c r="BE475" s="17"/>
      <c r="BF475" s="17"/>
      <c r="BG475" s="17"/>
      <c r="BH475" s="17"/>
      <c r="BI475" s="17"/>
      <c r="BJ475" s="17"/>
      <c r="BK475" s="17"/>
      <c r="BL475" s="92"/>
      <c r="BM475" s="92"/>
      <c r="BN475" s="92"/>
      <c r="BO475" s="92"/>
      <c r="BP475" s="92"/>
      <c r="BQ475" s="818"/>
      <c r="BR475" s="54"/>
      <c r="BS475" s="54"/>
      <c r="BT475" s="818"/>
      <c r="BU475" s="818"/>
      <c r="BV475" s="818"/>
      <c r="BW475" s="92"/>
      <c r="BX475" s="92"/>
      <c r="BY475" s="17"/>
      <c r="BZ475" s="17"/>
      <c r="CA475" s="17"/>
      <c r="CB475" s="17"/>
      <c r="CC475" s="17"/>
      <c r="CD475" s="17"/>
    </row>
    <row r="476">
      <c r="A476" s="92"/>
      <c r="B476" s="820"/>
      <c r="O476" s="17"/>
      <c r="P476" s="17"/>
      <c r="Q476" s="17"/>
      <c r="R476" s="17"/>
      <c r="S476" s="813"/>
      <c r="T476" s="17"/>
      <c r="AX476" s="17"/>
      <c r="BB476" s="17"/>
      <c r="BE476" s="17"/>
      <c r="BF476" s="17"/>
      <c r="BG476" s="17"/>
      <c r="BH476" s="17"/>
      <c r="BI476" s="17"/>
      <c r="BJ476" s="17"/>
      <c r="BK476" s="17"/>
      <c r="BL476" s="92"/>
      <c r="BM476" s="92"/>
      <c r="BN476" s="92"/>
      <c r="BO476" s="92"/>
      <c r="BP476" s="92"/>
      <c r="BQ476" s="818"/>
      <c r="BR476" s="54"/>
      <c r="BS476" s="54"/>
      <c r="BT476" s="818"/>
      <c r="BU476" s="818"/>
      <c r="BV476" s="818"/>
      <c r="BW476" s="92"/>
      <c r="BX476" s="92"/>
      <c r="BY476" s="17"/>
      <c r="BZ476" s="17"/>
      <c r="CA476" s="17"/>
      <c r="CB476" s="17"/>
      <c r="CC476" s="17"/>
      <c r="CD476" s="17"/>
    </row>
    <row r="477">
      <c r="A477" s="92"/>
      <c r="B477" s="820"/>
      <c r="O477" s="17"/>
      <c r="P477" s="17"/>
      <c r="Q477" s="17"/>
      <c r="R477" s="17"/>
      <c r="S477" s="813"/>
      <c r="T477" s="17"/>
      <c r="AX477" s="17"/>
      <c r="BB477" s="17"/>
      <c r="BE477" s="17"/>
      <c r="BF477" s="17"/>
      <c r="BG477" s="17"/>
      <c r="BH477" s="17"/>
      <c r="BI477" s="17"/>
      <c r="BJ477" s="17"/>
      <c r="BK477" s="17"/>
      <c r="BL477" s="92"/>
      <c r="BM477" s="92"/>
      <c r="BN477" s="92"/>
      <c r="BO477" s="92"/>
      <c r="BP477" s="92"/>
      <c r="BQ477" s="818"/>
      <c r="BR477" s="54"/>
      <c r="BS477" s="54"/>
      <c r="BT477" s="818"/>
      <c r="BU477" s="818"/>
      <c r="BV477" s="818"/>
      <c r="BW477" s="92"/>
      <c r="BX477" s="92"/>
      <c r="BY477" s="17"/>
      <c r="BZ477" s="17"/>
      <c r="CA477" s="17"/>
      <c r="CB477" s="17"/>
      <c r="CC477" s="17"/>
      <c r="CD477" s="17"/>
    </row>
    <row r="478">
      <c r="A478" s="92"/>
      <c r="B478" s="820"/>
      <c r="O478" s="17"/>
      <c r="P478" s="17"/>
      <c r="Q478" s="17"/>
      <c r="R478" s="17"/>
      <c r="S478" s="813"/>
      <c r="T478" s="17"/>
      <c r="AX478" s="17"/>
      <c r="BB478" s="17"/>
      <c r="BE478" s="17"/>
      <c r="BF478" s="17"/>
      <c r="BG478" s="17"/>
      <c r="BH478" s="17"/>
      <c r="BI478" s="17"/>
      <c r="BJ478" s="17"/>
      <c r="BK478" s="17"/>
      <c r="BL478" s="92"/>
      <c r="BM478" s="92"/>
      <c r="BN478" s="92"/>
      <c r="BO478" s="92"/>
      <c r="BP478" s="92"/>
      <c r="BQ478" s="818"/>
      <c r="BR478" s="54"/>
      <c r="BS478" s="54"/>
      <c r="BT478" s="818"/>
      <c r="BU478" s="818"/>
      <c r="BV478" s="818"/>
      <c r="BW478" s="92"/>
      <c r="BX478" s="92"/>
      <c r="BY478" s="17"/>
      <c r="BZ478" s="17"/>
      <c r="CA478" s="17"/>
      <c r="CB478" s="17"/>
      <c r="CC478" s="17"/>
      <c r="CD478" s="17"/>
    </row>
    <row r="479">
      <c r="A479" s="92"/>
      <c r="B479" s="820"/>
      <c r="O479" s="17"/>
      <c r="P479" s="17"/>
      <c r="Q479" s="17"/>
      <c r="R479" s="17"/>
      <c r="S479" s="813"/>
      <c r="T479" s="17"/>
      <c r="AX479" s="17"/>
      <c r="BB479" s="17"/>
      <c r="BE479" s="17"/>
      <c r="BF479" s="17"/>
      <c r="BG479" s="17"/>
      <c r="BH479" s="17"/>
      <c r="BI479" s="17"/>
      <c r="BJ479" s="17"/>
      <c r="BK479" s="17"/>
      <c r="BL479" s="92"/>
      <c r="BM479" s="92"/>
      <c r="BN479" s="92"/>
      <c r="BO479" s="92"/>
      <c r="BP479" s="92"/>
      <c r="BQ479" s="818"/>
      <c r="BR479" s="54"/>
      <c r="BS479" s="54"/>
      <c r="BT479" s="818"/>
      <c r="BU479" s="818"/>
      <c r="BV479" s="818"/>
      <c r="BW479" s="92"/>
      <c r="BX479" s="92"/>
      <c r="BY479" s="17"/>
      <c r="BZ479" s="17"/>
      <c r="CA479" s="17"/>
      <c r="CB479" s="17"/>
      <c r="CC479" s="17"/>
      <c r="CD479" s="17"/>
    </row>
    <row r="480">
      <c r="A480" s="92"/>
      <c r="B480" s="820"/>
      <c r="O480" s="17"/>
      <c r="P480" s="17"/>
      <c r="Q480" s="17"/>
      <c r="R480" s="17"/>
      <c r="S480" s="813"/>
      <c r="T480" s="17"/>
      <c r="AX480" s="17"/>
      <c r="BB480" s="17"/>
      <c r="BE480" s="17"/>
      <c r="BF480" s="17"/>
      <c r="BG480" s="17"/>
      <c r="BH480" s="17"/>
      <c r="BI480" s="17"/>
      <c r="BJ480" s="17"/>
      <c r="BK480" s="17"/>
      <c r="BL480" s="92"/>
      <c r="BM480" s="92"/>
      <c r="BN480" s="92"/>
      <c r="BO480" s="92"/>
      <c r="BP480" s="92"/>
      <c r="BQ480" s="818"/>
      <c r="BR480" s="54"/>
      <c r="BS480" s="54"/>
      <c r="BT480" s="818"/>
      <c r="BU480" s="818"/>
      <c r="BV480" s="818"/>
      <c r="BW480" s="92"/>
      <c r="BX480" s="92"/>
      <c r="BY480" s="17"/>
      <c r="BZ480" s="17"/>
      <c r="CA480" s="17"/>
      <c r="CB480" s="17"/>
      <c r="CC480" s="17"/>
      <c r="CD480" s="17"/>
    </row>
    <row r="481">
      <c r="A481" s="92"/>
      <c r="B481" s="820"/>
      <c r="O481" s="17"/>
      <c r="P481" s="17"/>
      <c r="Q481" s="17"/>
      <c r="R481" s="17"/>
      <c r="S481" s="813"/>
      <c r="T481" s="17"/>
      <c r="AX481" s="17"/>
      <c r="BB481" s="17"/>
      <c r="BE481" s="17"/>
      <c r="BF481" s="17"/>
      <c r="BG481" s="17"/>
      <c r="BH481" s="17"/>
      <c r="BI481" s="17"/>
      <c r="BJ481" s="17"/>
      <c r="BK481" s="17"/>
      <c r="BL481" s="92"/>
      <c r="BM481" s="92"/>
      <c r="BN481" s="92"/>
      <c r="BO481" s="92"/>
      <c r="BP481" s="92"/>
      <c r="BQ481" s="818"/>
      <c r="BR481" s="54"/>
      <c r="BS481" s="54"/>
      <c r="BT481" s="818"/>
      <c r="BU481" s="818"/>
      <c r="BV481" s="818"/>
      <c r="BW481" s="92"/>
      <c r="BX481" s="92"/>
      <c r="BY481" s="17"/>
      <c r="BZ481" s="17"/>
      <c r="CA481" s="17"/>
      <c r="CB481" s="17"/>
      <c r="CC481" s="17"/>
      <c r="CD481" s="17"/>
    </row>
    <row r="482">
      <c r="A482" s="92"/>
      <c r="B482" s="820"/>
      <c r="O482" s="17"/>
      <c r="P482" s="17"/>
      <c r="Q482" s="17"/>
      <c r="R482" s="17"/>
      <c r="S482" s="813"/>
      <c r="T482" s="17"/>
      <c r="AX482" s="17"/>
      <c r="BB482" s="17"/>
      <c r="BE482" s="17"/>
      <c r="BF482" s="17"/>
      <c r="BG482" s="17"/>
      <c r="BH482" s="17"/>
      <c r="BI482" s="17"/>
      <c r="BJ482" s="17"/>
      <c r="BK482" s="17"/>
      <c r="BL482" s="92"/>
      <c r="BM482" s="92"/>
      <c r="BN482" s="92"/>
      <c r="BO482" s="92"/>
      <c r="BP482" s="92"/>
      <c r="BQ482" s="818"/>
      <c r="BR482" s="54"/>
      <c r="BS482" s="54"/>
      <c r="BT482" s="818"/>
      <c r="BU482" s="818"/>
      <c r="BV482" s="818"/>
      <c r="BW482" s="92"/>
      <c r="BX482" s="92"/>
      <c r="BY482" s="17"/>
      <c r="BZ482" s="17"/>
      <c r="CA482" s="17"/>
      <c r="CB482" s="17"/>
      <c r="CC482" s="17"/>
      <c r="CD482" s="17"/>
    </row>
    <row r="483">
      <c r="A483" s="92"/>
      <c r="B483" s="820"/>
      <c r="O483" s="17"/>
      <c r="P483" s="17"/>
      <c r="Q483" s="17"/>
      <c r="R483" s="17"/>
      <c r="S483" s="813"/>
      <c r="T483" s="17"/>
      <c r="AX483" s="17"/>
      <c r="BB483" s="17"/>
      <c r="BE483" s="17"/>
      <c r="BF483" s="17"/>
      <c r="BG483" s="17"/>
      <c r="BH483" s="17"/>
      <c r="BI483" s="17"/>
      <c r="BJ483" s="17"/>
      <c r="BK483" s="17"/>
      <c r="BL483" s="92"/>
      <c r="BM483" s="92"/>
      <c r="BN483" s="92"/>
      <c r="BO483" s="92"/>
      <c r="BP483" s="92"/>
      <c r="BQ483" s="818"/>
      <c r="BR483" s="54"/>
      <c r="BS483" s="54"/>
      <c r="BT483" s="818"/>
      <c r="BU483" s="818"/>
      <c r="BV483" s="818"/>
      <c r="BW483" s="92"/>
      <c r="BX483" s="92"/>
      <c r="BY483" s="17"/>
      <c r="BZ483" s="17"/>
      <c r="CA483" s="17"/>
      <c r="CB483" s="17"/>
      <c r="CC483" s="17"/>
      <c r="CD483" s="17"/>
    </row>
    <row r="484">
      <c r="A484" s="92"/>
      <c r="B484" s="820"/>
      <c r="O484" s="17"/>
      <c r="P484" s="17"/>
      <c r="Q484" s="17"/>
      <c r="R484" s="17"/>
      <c r="S484" s="813"/>
      <c r="T484" s="17"/>
      <c r="AX484" s="17"/>
      <c r="BB484" s="17"/>
      <c r="BE484" s="17"/>
      <c r="BF484" s="17"/>
      <c r="BG484" s="17"/>
      <c r="BH484" s="17"/>
      <c r="BI484" s="17"/>
      <c r="BJ484" s="17"/>
      <c r="BK484" s="17"/>
      <c r="BL484" s="92"/>
      <c r="BM484" s="92"/>
      <c r="BN484" s="92"/>
      <c r="BO484" s="92"/>
      <c r="BP484" s="92"/>
      <c r="BQ484" s="818"/>
      <c r="BR484" s="54"/>
      <c r="BS484" s="54"/>
      <c r="BT484" s="818"/>
      <c r="BU484" s="818"/>
      <c r="BV484" s="818"/>
      <c r="BW484" s="92"/>
      <c r="BX484" s="92"/>
      <c r="BY484" s="17"/>
      <c r="BZ484" s="17"/>
      <c r="CA484" s="17"/>
      <c r="CB484" s="17"/>
      <c r="CC484" s="17"/>
      <c r="CD484" s="17"/>
    </row>
    <row r="485">
      <c r="A485" s="92"/>
      <c r="B485" s="820"/>
      <c r="O485" s="17"/>
      <c r="P485" s="17"/>
      <c r="Q485" s="17"/>
      <c r="R485" s="17"/>
      <c r="S485" s="813"/>
      <c r="T485" s="17"/>
      <c r="AX485" s="17"/>
      <c r="BB485" s="17"/>
      <c r="BE485" s="17"/>
      <c r="BF485" s="17"/>
      <c r="BG485" s="17"/>
      <c r="BH485" s="17"/>
      <c r="BI485" s="17"/>
      <c r="BJ485" s="17"/>
      <c r="BK485" s="17"/>
      <c r="BL485" s="92"/>
      <c r="BM485" s="92"/>
      <c r="BN485" s="92"/>
      <c r="BO485" s="92"/>
      <c r="BP485" s="92"/>
      <c r="BQ485" s="818"/>
      <c r="BR485" s="54"/>
      <c r="BS485" s="54"/>
      <c r="BT485" s="818"/>
      <c r="BU485" s="818"/>
      <c r="BV485" s="818"/>
      <c r="BW485" s="92"/>
      <c r="BX485" s="92"/>
      <c r="BY485" s="17"/>
      <c r="BZ485" s="17"/>
      <c r="CA485" s="17"/>
      <c r="CB485" s="17"/>
      <c r="CC485" s="17"/>
      <c r="CD485" s="17"/>
    </row>
    <row r="486">
      <c r="A486" s="92"/>
      <c r="B486" s="820"/>
      <c r="O486" s="17"/>
      <c r="P486" s="17"/>
      <c r="Q486" s="17"/>
      <c r="R486" s="17"/>
      <c r="S486" s="813"/>
      <c r="T486" s="17"/>
      <c r="AX486" s="17"/>
      <c r="BB486" s="17"/>
      <c r="BE486" s="17"/>
      <c r="BF486" s="17"/>
      <c r="BG486" s="17"/>
      <c r="BH486" s="17"/>
      <c r="BI486" s="17"/>
      <c r="BJ486" s="17"/>
      <c r="BK486" s="17"/>
      <c r="BL486" s="92"/>
      <c r="BM486" s="92"/>
      <c r="BN486" s="92"/>
      <c r="BO486" s="92"/>
      <c r="BP486" s="92"/>
      <c r="BQ486" s="818"/>
      <c r="BR486" s="54"/>
      <c r="BS486" s="54"/>
      <c r="BT486" s="818"/>
      <c r="BU486" s="818"/>
      <c r="BV486" s="818"/>
      <c r="BW486" s="92"/>
      <c r="BX486" s="92"/>
      <c r="BY486" s="17"/>
      <c r="BZ486" s="17"/>
      <c r="CA486" s="17"/>
      <c r="CB486" s="17"/>
      <c r="CC486" s="17"/>
      <c r="CD486" s="17"/>
    </row>
    <row r="487">
      <c r="A487" s="92"/>
      <c r="B487" s="820"/>
      <c r="O487" s="17"/>
      <c r="P487" s="17"/>
      <c r="Q487" s="17"/>
      <c r="R487" s="17"/>
      <c r="S487" s="813"/>
      <c r="T487" s="17"/>
      <c r="AX487" s="17"/>
      <c r="BB487" s="17"/>
      <c r="BE487" s="17"/>
      <c r="BF487" s="17"/>
      <c r="BG487" s="17"/>
      <c r="BH487" s="17"/>
      <c r="BI487" s="17"/>
      <c r="BJ487" s="17"/>
      <c r="BK487" s="17"/>
      <c r="BL487" s="92"/>
      <c r="BM487" s="92"/>
      <c r="BN487" s="92"/>
      <c r="BO487" s="92"/>
      <c r="BP487" s="92"/>
      <c r="BQ487" s="818"/>
      <c r="BR487" s="54"/>
      <c r="BS487" s="54"/>
      <c r="BT487" s="818"/>
      <c r="BU487" s="818"/>
      <c r="BV487" s="818"/>
      <c r="BW487" s="92"/>
      <c r="BX487" s="92"/>
      <c r="BY487" s="17"/>
      <c r="BZ487" s="17"/>
      <c r="CA487" s="17"/>
      <c r="CB487" s="17"/>
      <c r="CC487" s="17"/>
      <c r="CD487" s="17"/>
    </row>
    <row r="488">
      <c r="A488" s="92"/>
      <c r="B488" s="820"/>
      <c r="O488" s="17"/>
      <c r="P488" s="17"/>
      <c r="Q488" s="17"/>
      <c r="R488" s="17"/>
      <c r="S488" s="813"/>
      <c r="T488" s="17"/>
      <c r="AX488" s="17"/>
      <c r="BB488" s="17"/>
      <c r="BE488" s="17"/>
      <c r="BF488" s="17"/>
      <c r="BG488" s="17"/>
      <c r="BH488" s="17"/>
      <c r="BI488" s="17"/>
      <c r="BJ488" s="17"/>
      <c r="BK488" s="17"/>
      <c r="BL488" s="92"/>
      <c r="BM488" s="92"/>
      <c r="BN488" s="92"/>
      <c r="BO488" s="92"/>
      <c r="BP488" s="92"/>
      <c r="BQ488" s="818"/>
      <c r="BR488" s="54"/>
      <c r="BS488" s="54"/>
      <c r="BT488" s="818"/>
      <c r="BU488" s="818"/>
      <c r="BV488" s="818"/>
      <c r="BW488" s="92"/>
      <c r="BX488" s="92"/>
      <c r="BY488" s="17"/>
      <c r="BZ488" s="17"/>
      <c r="CA488" s="17"/>
      <c r="CB488" s="17"/>
      <c r="CC488" s="17"/>
      <c r="CD488" s="17"/>
    </row>
    <row r="489">
      <c r="A489" s="92"/>
      <c r="B489" s="820"/>
      <c r="O489" s="17"/>
      <c r="P489" s="17"/>
      <c r="Q489" s="17"/>
      <c r="R489" s="17"/>
      <c r="S489" s="813"/>
      <c r="T489" s="17"/>
      <c r="AX489" s="17"/>
      <c r="BB489" s="17"/>
      <c r="BE489" s="17"/>
      <c r="BF489" s="17"/>
      <c r="BG489" s="17"/>
      <c r="BH489" s="17"/>
      <c r="BI489" s="17"/>
      <c r="BJ489" s="17"/>
      <c r="BK489" s="17"/>
      <c r="BL489" s="92"/>
      <c r="BM489" s="92"/>
      <c r="BN489" s="92"/>
      <c r="BO489" s="92"/>
      <c r="BP489" s="92"/>
      <c r="BQ489" s="818"/>
      <c r="BR489" s="54"/>
      <c r="BS489" s="54"/>
      <c r="BT489" s="818"/>
      <c r="BU489" s="818"/>
      <c r="BV489" s="818"/>
      <c r="BW489" s="92"/>
      <c r="BX489" s="92"/>
      <c r="BY489" s="17"/>
      <c r="BZ489" s="17"/>
      <c r="CA489" s="17"/>
      <c r="CB489" s="17"/>
      <c r="CC489" s="17"/>
      <c r="CD489" s="17"/>
    </row>
    <row r="490">
      <c r="A490" s="92"/>
      <c r="B490" s="820"/>
      <c r="O490" s="17"/>
      <c r="P490" s="17"/>
      <c r="Q490" s="17"/>
      <c r="R490" s="17"/>
      <c r="S490" s="813"/>
      <c r="T490" s="17"/>
      <c r="AX490" s="17"/>
      <c r="BB490" s="17"/>
      <c r="BE490" s="17"/>
      <c r="BF490" s="17"/>
      <c r="BG490" s="17"/>
      <c r="BH490" s="17"/>
      <c r="BI490" s="17"/>
      <c r="BJ490" s="17"/>
      <c r="BK490" s="17"/>
      <c r="BL490" s="92"/>
      <c r="BM490" s="92"/>
      <c r="BN490" s="92"/>
      <c r="BO490" s="92"/>
      <c r="BP490" s="92"/>
      <c r="BQ490" s="818"/>
      <c r="BR490" s="54"/>
      <c r="BS490" s="54"/>
      <c r="BT490" s="818"/>
      <c r="BU490" s="818"/>
      <c r="BV490" s="818"/>
      <c r="BW490" s="92"/>
      <c r="BX490" s="92"/>
      <c r="BY490" s="17"/>
      <c r="BZ490" s="17"/>
      <c r="CA490" s="17"/>
      <c r="CB490" s="17"/>
      <c r="CC490" s="17"/>
      <c r="CD490" s="17"/>
    </row>
    <row r="491">
      <c r="A491" s="92"/>
      <c r="B491" s="820"/>
      <c r="O491" s="17"/>
      <c r="P491" s="17"/>
      <c r="Q491" s="17"/>
      <c r="R491" s="17"/>
      <c r="S491" s="813"/>
      <c r="T491" s="17"/>
      <c r="AX491" s="17"/>
      <c r="BB491" s="17"/>
      <c r="BE491" s="17"/>
      <c r="BF491" s="17"/>
      <c r="BG491" s="17"/>
      <c r="BH491" s="17"/>
      <c r="BI491" s="17"/>
      <c r="BJ491" s="17"/>
      <c r="BK491" s="17"/>
      <c r="BL491" s="92"/>
      <c r="BM491" s="92"/>
      <c r="BN491" s="92"/>
      <c r="BO491" s="92"/>
      <c r="BP491" s="92"/>
      <c r="BQ491" s="818"/>
      <c r="BR491" s="54"/>
      <c r="BS491" s="54"/>
      <c r="BT491" s="818"/>
      <c r="BU491" s="818"/>
      <c r="BV491" s="818"/>
      <c r="BW491" s="92"/>
      <c r="BX491" s="92"/>
      <c r="BY491" s="17"/>
      <c r="BZ491" s="17"/>
      <c r="CA491" s="17"/>
      <c r="CB491" s="17"/>
      <c r="CC491" s="17"/>
      <c r="CD491" s="17"/>
    </row>
    <row r="492">
      <c r="A492" s="92"/>
      <c r="B492" s="820"/>
      <c r="O492" s="17"/>
      <c r="P492" s="17"/>
      <c r="Q492" s="17"/>
      <c r="R492" s="17"/>
      <c r="S492" s="813"/>
      <c r="T492" s="17"/>
      <c r="AX492" s="17"/>
      <c r="BB492" s="17"/>
      <c r="BE492" s="17"/>
      <c r="BF492" s="17"/>
      <c r="BG492" s="17"/>
      <c r="BH492" s="17"/>
      <c r="BI492" s="17"/>
      <c r="BJ492" s="17"/>
      <c r="BK492" s="17"/>
      <c r="BL492" s="92"/>
      <c r="BM492" s="92"/>
      <c r="BN492" s="92"/>
      <c r="BO492" s="92"/>
      <c r="BP492" s="92"/>
      <c r="BQ492" s="818"/>
      <c r="BR492" s="54"/>
      <c r="BS492" s="54"/>
      <c r="BT492" s="818"/>
      <c r="BU492" s="818"/>
      <c r="BV492" s="818"/>
      <c r="BW492" s="92"/>
      <c r="BX492" s="92"/>
      <c r="BY492" s="17"/>
      <c r="BZ492" s="17"/>
      <c r="CA492" s="17"/>
      <c r="CB492" s="17"/>
      <c r="CC492" s="17"/>
      <c r="CD492" s="17"/>
    </row>
    <row r="493">
      <c r="A493" s="92"/>
      <c r="B493" s="820"/>
      <c r="O493" s="17"/>
      <c r="P493" s="17"/>
      <c r="Q493" s="17"/>
      <c r="R493" s="17"/>
      <c r="S493" s="813"/>
      <c r="T493" s="17"/>
      <c r="AX493" s="17"/>
      <c r="BB493" s="17"/>
      <c r="BE493" s="17"/>
      <c r="BF493" s="17"/>
      <c r="BG493" s="17"/>
      <c r="BH493" s="17"/>
      <c r="BI493" s="17"/>
      <c r="BJ493" s="17"/>
      <c r="BK493" s="17"/>
      <c r="BL493" s="92"/>
      <c r="BM493" s="92"/>
      <c r="BN493" s="92"/>
      <c r="BO493" s="92"/>
      <c r="BP493" s="92"/>
      <c r="BQ493" s="818"/>
      <c r="BR493" s="54"/>
      <c r="BS493" s="54"/>
      <c r="BT493" s="818"/>
      <c r="BU493" s="818"/>
      <c r="BV493" s="818"/>
      <c r="BW493" s="92"/>
      <c r="BX493" s="92"/>
      <c r="BY493" s="17"/>
      <c r="BZ493" s="17"/>
      <c r="CA493" s="17"/>
      <c r="CB493" s="17"/>
      <c r="CC493" s="17"/>
      <c r="CD493" s="17"/>
    </row>
    <row r="494">
      <c r="A494" s="92"/>
      <c r="B494" s="820"/>
      <c r="O494" s="17"/>
      <c r="P494" s="17"/>
      <c r="Q494" s="17"/>
      <c r="R494" s="17"/>
      <c r="S494" s="813"/>
      <c r="T494" s="17"/>
      <c r="AX494" s="17"/>
      <c r="BB494" s="17"/>
      <c r="BE494" s="17"/>
      <c r="BF494" s="17"/>
      <c r="BG494" s="17"/>
      <c r="BH494" s="17"/>
      <c r="BI494" s="17"/>
      <c r="BJ494" s="17"/>
      <c r="BK494" s="17"/>
      <c r="BL494" s="92"/>
      <c r="BM494" s="92"/>
      <c r="BN494" s="92"/>
      <c r="BO494" s="92"/>
      <c r="BP494" s="92"/>
      <c r="BQ494" s="818"/>
      <c r="BR494" s="54"/>
      <c r="BS494" s="54"/>
      <c r="BT494" s="818"/>
      <c r="BU494" s="818"/>
      <c r="BV494" s="818"/>
      <c r="BW494" s="92"/>
      <c r="BX494" s="92"/>
      <c r="BY494" s="17"/>
      <c r="BZ494" s="17"/>
      <c r="CA494" s="17"/>
      <c r="CB494" s="17"/>
      <c r="CC494" s="17"/>
      <c r="CD494" s="17"/>
    </row>
    <row r="495">
      <c r="A495" s="92"/>
      <c r="B495" s="820"/>
      <c r="O495" s="17"/>
      <c r="P495" s="17"/>
      <c r="Q495" s="17"/>
      <c r="R495" s="17"/>
      <c r="S495" s="813"/>
      <c r="T495" s="17"/>
      <c r="AX495" s="17"/>
      <c r="BB495" s="17"/>
      <c r="BE495" s="17"/>
      <c r="BF495" s="17"/>
      <c r="BG495" s="17"/>
      <c r="BH495" s="17"/>
      <c r="BI495" s="17"/>
      <c r="BJ495" s="17"/>
      <c r="BK495" s="17"/>
      <c r="BL495" s="92"/>
      <c r="BM495" s="92"/>
      <c r="BN495" s="92"/>
      <c r="BO495" s="92"/>
      <c r="BP495" s="92"/>
      <c r="BQ495" s="818"/>
      <c r="BR495" s="54"/>
      <c r="BS495" s="54"/>
      <c r="BT495" s="818"/>
      <c r="BU495" s="818"/>
      <c r="BV495" s="818"/>
      <c r="BW495" s="92"/>
      <c r="BX495" s="92"/>
      <c r="BY495" s="17"/>
      <c r="BZ495" s="17"/>
      <c r="CA495" s="17"/>
      <c r="CB495" s="17"/>
      <c r="CC495" s="17"/>
      <c r="CD495" s="17"/>
    </row>
    <row r="496">
      <c r="A496" s="92"/>
      <c r="B496" s="820"/>
      <c r="O496" s="17"/>
      <c r="P496" s="17"/>
      <c r="Q496" s="17"/>
      <c r="R496" s="17"/>
      <c r="S496" s="813"/>
      <c r="T496" s="17"/>
      <c r="AX496" s="17"/>
      <c r="BB496" s="17"/>
      <c r="BE496" s="17"/>
      <c r="BF496" s="17"/>
      <c r="BG496" s="17"/>
      <c r="BH496" s="17"/>
      <c r="BI496" s="17"/>
      <c r="BJ496" s="17"/>
      <c r="BK496" s="17"/>
      <c r="BL496" s="92"/>
      <c r="BM496" s="92"/>
      <c r="BN496" s="92"/>
      <c r="BO496" s="92"/>
      <c r="BP496" s="92"/>
      <c r="BQ496" s="818"/>
      <c r="BR496" s="54"/>
      <c r="BS496" s="54"/>
      <c r="BT496" s="818"/>
      <c r="BU496" s="818"/>
      <c r="BV496" s="818"/>
      <c r="BW496" s="92"/>
      <c r="BX496" s="92"/>
      <c r="BY496" s="17"/>
      <c r="BZ496" s="17"/>
      <c r="CA496" s="17"/>
      <c r="CB496" s="17"/>
      <c r="CC496" s="17"/>
      <c r="CD496" s="17"/>
    </row>
    <row r="497">
      <c r="A497" s="92"/>
      <c r="B497" s="820"/>
      <c r="O497" s="17"/>
      <c r="P497" s="17"/>
      <c r="Q497" s="17"/>
      <c r="R497" s="17"/>
      <c r="S497" s="813"/>
      <c r="T497" s="17"/>
      <c r="AX497" s="17"/>
      <c r="BB497" s="17"/>
      <c r="BE497" s="17"/>
      <c r="BF497" s="17"/>
      <c r="BG497" s="17"/>
      <c r="BH497" s="17"/>
      <c r="BI497" s="17"/>
      <c r="BJ497" s="17"/>
      <c r="BK497" s="17"/>
      <c r="BL497" s="92"/>
      <c r="BM497" s="92"/>
      <c r="BN497" s="92"/>
      <c r="BO497" s="92"/>
      <c r="BP497" s="92"/>
      <c r="BQ497" s="818"/>
      <c r="BR497" s="54"/>
      <c r="BS497" s="54"/>
      <c r="BT497" s="818"/>
      <c r="BU497" s="818"/>
      <c r="BV497" s="818"/>
      <c r="BW497" s="92"/>
      <c r="BX497" s="92"/>
      <c r="BY497" s="17"/>
      <c r="BZ497" s="17"/>
      <c r="CA497" s="17"/>
      <c r="CB497" s="17"/>
      <c r="CC497" s="17"/>
      <c r="CD497" s="17"/>
    </row>
    <row r="498">
      <c r="A498" s="92"/>
      <c r="B498" s="820"/>
      <c r="O498" s="17"/>
      <c r="P498" s="17"/>
      <c r="Q498" s="17"/>
      <c r="R498" s="17"/>
      <c r="S498" s="813"/>
      <c r="T498" s="17"/>
      <c r="AX498" s="17"/>
      <c r="BB498" s="17"/>
      <c r="BE498" s="17"/>
      <c r="BF498" s="17"/>
      <c r="BG498" s="17"/>
      <c r="BH498" s="17"/>
      <c r="BI498" s="17"/>
      <c r="BJ498" s="17"/>
      <c r="BK498" s="17"/>
      <c r="BL498" s="92"/>
      <c r="BM498" s="92"/>
      <c r="BN498" s="92"/>
      <c r="BO498" s="92"/>
      <c r="BP498" s="92"/>
      <c r="BQ498" s="818"/>
      <c r="BR498" s="54"/>
      <c r="BS498" s="54"/>
      <c r="BT498" s="818"/>
      <c r="BU498" s="818"/>
      <c r="BV498" s="818"/>
      <c r="BW498" s="92"/>
      <c r="BX498" s="92"/>
      <c r="BY498" s="17"/>
      <c r="BZ498" s="17"/>
      <c r="CA498" s="17"/>
      <c r="CB498" s="17"/>
      <c r="CC498" s="17"/>
      <c r="CD498" s="17"/>
    </row>
    <row r="499">
      <c r="A499" s="92"/>
      <c r="B499" s="820"/>
      <c r="O499" s="17"/>
      <c r="P499" s="17"/>
      <c r="Q499" s="17"/>
      <c r="R499" s="17"/>
      <c r="S499" s="813"/>
      <c r="T499" s="17"/>
      <c r="AX499" s="17"/>
      <c r="BB499" s="17"/>
      <c r="BE499" s="17"/>
      <c r="BF499" s="17"/>
      <c r="BG499" s="17"/>
      <c r="BH499" s="17"/>
      <c r="BI499" s="17"/>
      <c r="BJ499" s="17"/>
      <c r="BK499" s="17"/>
      <c r="BL499" s="92"/>
      <c r="BM499" s="92"/>
      <c r="BN499" s="92"/>
      <c r="BO499" s="92"/>
      <c r="BP499" s="92"/>
      <c r="BQ499" s="818"/>
      <c r="BR499" s="54"/>
      <c r="BS499" s="54"/>
      <c r="BT499" s="818"/>
      <c r="BU499" s="818"/>
      <c r="BV499" s="818"/>
      <c r="BW499" s="92"/>
      <c r="BX499" s="92"/>
      <c r="BY499" s="17"/>
      <c r="BZ499" s="17"/>
      <c r="CA499" s="17"/>
      <c r="CB499" s="17"/>
      <c r="CC499" s="17"/>
      <c r="CD499" s="17"/>
    </row>
    <row r="500">
      <c r="A500" s="92"/>
      <c r="B500" s="820"/>
      <c r="O500" s="17"/>
      <c r="P500" s="17"/>
      <c r="Q500" s="17"/>
      <c r="R500" s="17"/>
      <c r="S500" s="813"/>
      <c r="T500" s="17"/>
      <c r="AX500" s="17"/>
      <c r="BB500" s="17"/>
      <c r="BE500" s="17"/>
      <c r="BF500" s="17"/>
      <c r="BG500" s="17"/>
      <c r="BH500" s="17"/>
      <c r="BI500" s="17"/>
      <c r="BJ500" s="17"/>
      <c r="BK500" s="17"/>
      <c r="BL500" s="92"/>
      <c r="BM500" s="92"/>
      <c r="BN500" s="92"/>
      <c r="BO500" s="92"/>
      <c r="BP500" s="92"/>
      <c r="BQ500" s="818"/>
      <c r="BR500" s="54"/>
      <c r="BS500" s="54"/>
      <c r="BT500" s="818"/>
      <c r="BU500" s="818"/>
      <c r="BV500" s="818"/>
      <c r="BW500" s="92"/>
      <c r="BX500" s="92"/>
      <c r="BY500" s="17"/>
      <c r="BZ500" s="17"/>
      <c r="CA500" s="17"/>
      <c r="CB500" s="17"/>
      <c r="CC500" s="17"/>
      <c r="CD500" s="17"/>
    </row>
    <row r="501">
      <c r="A501" s="92"/>
      <c r="B501" s="820"/>
      <c r="O501" s="17"/>
      <c r="P501" s="17"/>
      <c r="Q501" s="17"/>
      <c r="R501" s="17"/>
      <c r="S501" s="813"/>
      <c r="T501" s="17"/>
      <c r="AX501" s="17"/>
      <c r="BB501" s="17"/>
      <c r="BE501" s="17"/>
      <c r="BF501" s="17"/>
      <c r="BG501" s="17"/>
      <c r="BH501" s="17"/>
      <c r="BI501" s="17"/>
      <c r="BJ501" s="17"/>
      <c r="BK501" s="17"/>
      <c r="BL501" s="92"/>
      <c r="BM501" s="92"/>
      <c r="BN501" s="92"/>
      <c r="BO501" s="92"/>
      <c r="BP501" s="92"/>
      <c r="BQ501" s="818"/>
      <c r="BR501" s="54"/>
      <c r="BS501" s="54"/>
      <c r="BT501" s="818"/>
      <c r="BU501" s="818"/>
      <c r="BV501" s="818"/>
      <c r="BW501" s="92"/>
      <c r="BX501" s="92"/>
      <c r="BY501" s="17"/>
      <c r="BZ501" s="17"/>
      <c r="CA501" s="17"/>
      <c r="CB501" s="17"/>
      <c r="CC501" s="17"/>
      <c r="CD501" s="17"/>
    </row>
    <row r="502">
      <c r="A502" s="92"/>
      <c r="B502" s="820"/>
      <c r="O502" s="17"/>
      <c r="P502" s="17"/>
      <c r="Q502" s="17"/>
      <c r="R502" s="17"/>
      <c r="S502" s="813"/>
      <c r="T502" s="17"/>
      <c r="AX502" s="17"/>
      <c r="BB502" s="17"/>
      <c r="BE502" s="17"/>
      <c r="BF502" s="17"/>
      <c r="BG502" s="17"/>
      <c r="BH502" s="17"/>
      <c r="BI502" s="17"/>
      <c r="BJ502" s="17"/>
      <c r="BK502" s="17"/>
      <c r="BL502" s="92"/>
      <c r="BM502" s="92"/>
      <c r="BN502" s="92"/>
      <c r="BO502" s="92"/>
      <c r="BP502" s="92"/>
      <c r="BQ502" s="818"/>
      <c r="BR502" s="54"/>
      <c r="BS502" s="54"/>
      <c r="BT502" s="818"/>
      <c r="BU502" s="818"/>
      <c r="BV502" s="818"/>
      <c r="BW502" s="92"/>
      <c r="BX502" s="92"/>
      <c r="BY502" s="17"/>
      <c r="BZ502" s="17"/>
      <c r="CA502" s="17"/>
      <c r="CB502" s="17"/>
      <c r="CC502" s="17"/>
      <c r="CD502" s="17"/>
    </row>
    <row r="503">
      <c r="A503" s="92"/>
      <c r="B503" s="820"/>
      <c r="O503" s="17"/>
      <c r="P503" s="17"/>
      <c r="Q503" s="17"/>
      <c r="R503" s="17"/>
      <c r="S503" s="813"/>
      <c r="T503" s="17"/>
      <c r="AX503" s="17"/>
      <c r="BB503" s="17"/>
      <c r="BE503" s="17"/>
      <c r="BF503" s="17"/>
      <c r="BG503" s="17"/>
      <c r="BH503" s="17"/>
      <c r="BI503" s="17"/>
      <c r="BJ503" s="17"/>
      <c r="BK503" s="17"/>
      <c r="BL503" s="92"/>
      <c r="BM503" s="92"/>
      <c r="BN503" s="92"/>
      <c r="BO503" s="92"/>
      <c r="BP503" s="92"/>
      <c r="BQ503" s="818"/>
      <c r="BR503" s="54"/>
      <c r="BS503" s="54"/>
      <c r="BT503" s="818"/>
      <c r="BU503" s="818"/>
      <c r="BV503" s="818"/>
      <c r="BW503" s="92"/>
      <c r="BX503" s="92"/>
      <c r="BY503" s="17"/>
      <c r="BZ503" s="17"/>
      <c r="CA503" s="17"/>
      <c r="CB503" s="17"/>
      <c r="CC503" s="17"/>
      <c r="CD503" s="17"/>
    </row>
    <row r="504">
      <c r="A504" s="92"/>
      <c r="B504" s="820"/>
      <c r="O504" s="17"/>
      <c r="P504" s="17"/>
      <c r="Q504" s="17"/>
      <c r="R504" s="17"/>
      <c r="S504" s="813"/>
      <c r="T504" s="17"/>
      <c r="AX504" s="17"/>
      <c r="BB504" s="17"/>
      <c r="BE504" s="17"/>
      <c r="BF504" s="17"/>
      <c r="BG504" s="17"/>
      <c r="BH504" s="17"/>
      <c r="BI504" s="17"/>
      <c r="BJ504" s="17"/>
      <c r="BK504" s="17"/>
      <c r="BL504" s="92"/>
      <c r="BM504" s="92"/>
      <c r="BN504" s="92"/>
      <c r="BO504" s="92"/>
      <c r="BP504" s="92"/>
      <c r="BQ504" s="818"/>
      <c r="BR504" s="54"/>
      <c r="BS504" s="54"/>
      <c r="BT504" s="818"/>
      <c r="BU504" s="818"/>
      <c r="BV504" s="818"/>
      <c r="BW504" s="92"/>
      <c r="BX504" s="92"/>
      <c r="BY504" s="17"/>
      <c r="BZ504" s="17"/>
      <c r="CA504" s="17"/>
      <c r="CB504" s="17"/>
      <c r="CC504" s="17"/>
      <c r="CD504" s="17"/>
    </row>
    <row r="505">
      <c r="A505" s="92"/>
      <c r="B505" s="820"/>
      <c r="O505" s="17"/>
      <c r="P505" s="17"/>
      <c r="Q505" s="17"/>
      <c r="R505" s="17"/>
      <c r="S505" s="813"/>
      <c r="T505" s="17"/>
      <c r="AX505" s="17"/>
      <c r="BB505" s="17"/>
      <c r="BE505" s="17"/>
      <c r="BF505" s="17"/>
      <c r="BG505" s="17"/>
      <c r="BH505" s="17"/>
      <c r="BI505" s="17"/>
      <c r="BJ505" s="17"/>
      <c r="BK505" s="17"/>
      <c r="BL505" s="92"/>
      <c r="BM505" s="92"/>
      <c r="BN505" s="92"/>
      <c r="BO505" s="92"/>
      <c r="BP505" s="92"/>
      <c r="BQ505" s="818"/>
      <c r="BR505" s="54"/>
      <c r="BS505" s="54"/>
      <c r="BT505" s="818"/>
      <c r="BU505" s="818"/>
      <c r="BV505" s="818"/>
      <c r="BW505" s="92"/>
      <c r="BX505" s="92"/>
      <c r="BY505" s="17"/>
      <c r="BZ505" s="17"/>
      <c r="CA505" s="17"/>
      <c r="CB505" s="17"/>
      <c r="CC505" s="17"/>
      <c r="CD505" s="17"/>
    </row>
    <row r="506">
      <c r="A506" s="92"/>
      <c r="B506" s="820"/>
      <c r="O506" s="17"/>
      <c r="P506" s="17"/>
      <c r="Q506" s="17"/>
      <c r="R506" s="17"/>
      <c r="S506" s="813"/>
      <c r="T506" s="17"/>
      <c r="AX506" s="17"/>
      <c r="BB506" s="17"/>
      <c r="BE506" s="17"/>
      <c r="BF506" s="17"/>
      <c r="BG506" s="17"/>
      <c r="BH506" s="17"/>
      <c r="BI506" s="17"/>
      <c r="BJ506" s="17"/>
      <c r="BK506" s="17"/>
      <c r="BL506" s="92"/>
      <c r="BM506" s="92"/>
      <c r="BN506" s="92"/>
      <c r="BO506" s="92"/>
      <c r="BP506" s="92"/>
      <c r="BQ506" s="818"/>
      <c r="BR506" s="54"/>
      <c r="BS506" s="54"/>
      <c r="BT506" s="818"/>
      <c r="BU506" s="818"/>
      <c r="BV506" s="818"/>
      <c r="BW506" s="92"/>
      <c r="BX506" s="92"/>
      <c r="BY506" s="17"/>
      <c r="BZ506" s="17"/>
      <c r="CA506" s="17"/>
      <c r="CB506" s="17"/>
      <c r="CC506" s="17"/>
      <c r="CD506" s="17"/>
    </row>
    <row r="507">
      <c r="A507" s="92"/>
      <c r="B507" s="820"/>
      <c r="O507" s="17"/>
      <c r="P507" s="17"/>
      <c r="Q507" s="17"/>
      <c r="R507" s="17"/>
      <c r="S507" s="813"/>
      <c r="T507" s="17"/>
      <c r="AX507" s="17"/>
      <c r="BB507" s="17"/>
      <c r="BE507" s="17"/>
      <c r="BF507" s="17"/>
      <c r="BG507" s="17"/>
      <c r="BH507" s="17"/>
      <c r="BI507" s="17"/>
      <c r="BJ507" s="17"/>
      <c r="BK507" s="17"/>
      <c r="BL507" s="92"/>
      <c r="BM507" s="92"/>
      <c r="BN507" s="92"/>
      <c r="BO507" s="92"/>
      <c r="BP507" s="92"/>
      <c r="BQ507" s="818"/>
      <c r="BR507" s="54"/>
      <c r="BS507" s="54"/>
      <c r="BT507" s="818"/>
      <c r="BU507" s="818"/>
      <c r="BV507" s="818"/>
      <c r="BW507" s="92"/>
      <c r="BX507" s="92"/>
      <c r="BY507" s="17"/>
      <c r="BZ507" s="17"/>
      <c r="CA507" s="17"/>
      <c r="CB507" s="17"/>
      <c r="CC507" s="17"/>
      <c r="CD507" s="17"/>
    </row>
    <row r="508">
      <c r="A508" s="92"/>
      <c r="B508" s="820"/>
      <c r="O508" s="17"/>
      <c r="P508" s="17"/>
      <c r="Q508" s="17"/>
      <c r="R508" s="17"/>
      <c r="S508" s="813"/>
      <c r="T508" s="17"/>
      <c r="AX508" s="17"/>
      <c r="BB508" s="17"/>
      <c r="BE508" s="17"/>
      <c r="BF508" s="17"/>
      <c r="BG508" s="17"/>
      <c r="BH508" s="17"/>
      <c r="BI508" s="17"/>
      <c r="BJ508" s="17"/>
      <c r="BK508" s="17"/>
      <c r="BL508" s="92"/>
      <c r="BM508" s="92"/>
      <c r="BN508" s="92"/>
      <c r="BO508" s="92"/>
      <c r="BP508" s="92"/>
      <c r="BQ508" s="818"/>
      <c r="BR508" s="54"/>
      <c r="BS508" s="54"/>
      <c r="BT508" s="818"/>
      <c r="BU508" s="818"/>
      <c r="BV508" s="818"/>
      <c r="BW508" s="92"/>
      <c r="BX508" s="92"/>
      <c r="BY508" s="17"/>
      <c r="BZ508" s="17"/>
      <c r="CA508" s="17"/>
      <c r="CB508" s="17"/>
      <c r="CC508" s="17"/>
      <c r="CD508" s="17"/>
    </row>
    <row r="509">
      <c r="A509" s="92"/>
      <c r="B509" s="820"/>
      <c r="O509" s="17"/>
      <c r="P509" s="17"/>
      <c r="Q509" s="17"/>
      <c r="R509" s="17"/>
      <c r="S509" s="813"/>
      <c r="T509" s="17"/>
      <c r="AX509" s="17"/>
      <c r="BB509" s="17"/>
      <c r="BE509" s="17"/>
      <c r="BF509" s="17"/>
      <c r="BG509" s="17"/>
      <c r="BH509" s="17"/>
      <c r="BI509" s="17"/>
      <c r="BJ509" s="17"/>
      <c r="BK509" s="17"/>
      <c r="BL509" s="92"/>
      <c r="BM509" s="92"/>
      <c r="BN509" s="92"/>
      <c r="BO509" s="92"/>
      <c r="BP509" s="92"/>
      <c r="BQ509" s="818"/>
      <c r="BR509" s="54"/>
      <c r="BS509" s="54"/>
      <c r="BT509" s="818"/>
      <c r="BU509" s="818"/>
      <c r="BV509" s="818"/>
      <c r="BW509" s="92"/>
      <c r="BX509" s="92"/>
      <c r="BY509" s="17"/>
      <c r="BZ509" s="17"/>
      <c r="CA509" s="17"/>
      <c r="CB509" s="17"/>
      <c r="CC509" s="17"/>
      <c r="CD509" s="17"/>
    </row>
    <row r="510">
      <c r="A510" s="92"/>
      <c r="B510" s="820"/>
      <c r="O510" s="17"/>
      <c r="P510" s="17"/>
      <c r="Q510" s="17"/>
      <c r="R510" s="17"/>
      <c r="S510" s="813"/>
      <c r="T510" s="17"/>
      <c r="AX510" s="17"/>
      <c r="BB510" s="17"/>
      <c r="BE510" s="17"/>
      <c r="BF510" s="17"/>
      <c r="BG510" s="17"/>
      <c r="BH510" s="17"/>
      <c r="BI510" s="17"/>
      <c r="BJ510" s="17"/>
      <c r="BK510" s="17"/>
      <c r="BL510" s="92"/>
      <c r="BM510" s="92"/>
      <c r="BN510" s="92"/>
      <c r="BO510" s="92"/>
      <c r="BP510" s="92"/>
      <c r="BQ510" s="818"/>
      <c r="BR510" s="54"/>
      <c r="BS510" s="54"/>
      <c r="BT510" s="818"/>
      <c r="BU510" s="818"/>
      <c r="BV510" s="818"/>
      <c r="BW510" s="92"/>
      <c r="BX510" s="92"/>
      <c r="BY510" s="17"/>
      <c r="BZ510" s="17"/>
      <c r="CA510" s="17"/>
      <c r="CB510" s="17"/>
      <c r="CC510" s="17"/>
      <c r="CD510" s="17"/>
    </row>
    <row r="511">
      <c r="A511" s="92"/>
      <c r="B511" s="820"/>
      <c r="O511" s="17"/>
      <c r="P511" s="17"/>
      <c r="Q511" s="17"/>
      <c r="R511" s="17"/>
      <c r="S511" s="813"/>
      <c r="T511" s="17"/>
      <c r="AX511" s="17"/>
      <c r="BB511" s="17"/>
      <c r="BE511" s="17"/>
      <c r="BF511" s="17"/>
      <c r="BG511" s="17"/>
      <c r="BH511" s="17"/>
      <c r="BI511" s="17"/>
      <c r="BJ511" s="17"/>
      <c r="BK511" s="17"/>
      <c r="BL511" s="92"/>
      <c r="BM511" s="92"/>
      <c r="BN511" s="92"/>
      <c r="BO511" s="92"/>
      <c r="BP511" s="92"/>
      <c r="BQ511" s="818"/>
      <c r="BR511" s="54"/>
      <c r="BS511" s="54"/>
      <c r="BT511" s="818"/>
      <c r="BU511" s="818"/>
      <c r="BV511" s="818"/>
      <c r="BW511" s="92"/>
      <c r="BX511" s="92"/>
      <c r="BY511" s="17"/>
      <c r="BZ511" s="17"/>
      <c r="CA511" s="17"/>
      <c r="CB511" s="17"/>
      <c r="CC511" s="17"/>
      <c r="CD511" s="17"/>
    </row>
    <row r="512">
      <c r="A512" s="92"/>
      <c r="B512" s="820"/>
      <c r="O512" s="17"/>
      <c r="P512" s="17"/>
      <c r="Q512" s="17"/>
      <c r="R512" s="17"/>
      <c r="S512" s="813"/>
      <c r="T512" s="17"/>
      <c r="AX512" s="17"/>
      <c r="BB512" s="17"/>
      <c r="BE512" s="17"/>
      <c r="BF512" s="17"/>
      <c r="BG512" s="17"/>
      <c r="BH512" s="17"/>
      <c r="BI512" s="17"/>
      <c r="BJ512" s="17"/>
      <c r="BK512" s="17"/>
      <c r="BL512" s="92"/>
      <c r="BM512" s="92"/>
      <c r="BN512" s="92"/>
      <c r="BO512" s="92"/>
      <c r="BP512" s="92"/>
      <c r="BQ512" s="818"/>
      <c r="BR512" s="54"/>
      <c r="BS512" s="54"/>
      <c r="BT512" s="818"/>
      <c r="BU512" s="818"/>
      <c r="BV512" s="818"/>
      <c r="BW512" s="92"/>
      <c r="BX512" s="92"/>
      <c r="BY512" s="17"/>
      <c r="BZ512" s="17"/>
      <c r="CA512" s="17"/>
      <c r="CB512" s="17"/>
      <c r="CC512" s="17"/>
      <c r="CD512" s="17"/>
    </row>
    <row r="513">
      <c r="A513" s="92"/>
      <c r="B513" s="820"/>
      <c r="O513" s="17"/>
      <c r="P513" s="17"/>
      <c r="Q513" s="17"/>
      <c r="R513" s="17"/>
      <c r="S513" s="813"/>
      <c r="T513" s="17"/>
      <c r="AX513" s="17"/>
      <c r="BB513" s="17"/>
      <c r="BE513" s="17"/>
      <c r="BF513" s="17"/>
      <c r="BG513" s="17"/>
      <c r="BH513" s="17"/>
      <c r="BI513" s="17"/>
      <c r="BJ513" s="17"/>
      <c r="BK513" s="17"/>
      <c r="BL513" s="92"/>
      <c r="BM513" s="92"/>
      <c r="BN513" s="92"/>
      <c r="BO513" s="92"/>
      <c r="BP513" s="92"/>
      <c r="BQ513" s="818"/>
      <c r="BR513" s="54"/>
      <c r="BS513" s="54"/>
      <c r="BT513" s="818"/>
      <c r="BU513" s="818"/>
      <c r="BV513" s="818"/>
      <c r="BW513" s="92"/>
      <c r="BX513" s="92"/>
      <c r="BY513" s="17"/>
      <c r="BZ513" s="17"/>
      <c r="CA513" s="17"/>
      <c r="CB513" s="17"/>
      <c r="CC513" s="17"/>
      <c r="CD513" s="17"/>
    </row>
    <row r="514">
      <c r="A514" s="92"/>
      <c r="B514" s="820"/>
      <c r="O514" s="17"/>
      <c r="P514" s="17"/>
      <c r="Q514" s="17"/>
      <c r="R514" s="17"/>
      <c r="S514" s="813"/>
      <c r="T514" s="17"/>
      <c r="AX514" s="17"/>
      <c r="BB514" s="17"/>
      <c r="BE514" s="17"/>
      <c r="BF514" s="17"/>
      <c r="BG514" s="17"/>
      <c r="BH514" s="17"/>
      <c r="BI514" s="17"/>
      <c r="BJ514" s="17"/>
      <c r="BK514" s="17"/>
      <c r="BL514" s="92"/>
      <c r="BM514" s="92"/>
      <c r="BN514" s="92"/>
      <c r="BO514" s="92"/>
      <c r="BP514" s="92"/>
      <c r="BQ514" s="818"/>
      <c r="BR514" s="54"/>
      <c r="BS514" s="54"/>
      <c r="BT514" s="818"/>
      <c r="BU514" s="818"/>
      <c r="BV514" s="818"/>
      <c r="BW514" s="92"/>
      <c r="BX514" s="92"/>
      <c r="BY514" s="17"/>
      <c r="BZ514" s="17"/>
      <c r="CA514" s="17"/>
      <c r="CB514" s="17"/>
      <c r="CC514" s="17"/>
      <c r="CD514" s="17"/>
    </row>
    <row r="515">
      <c r="A515" s="92"/>
      <c r="B515" s="820"/>
      <c r="O515" s="17"/>
      <c r="P515" s="17"/>
      <c r="Q515" s="17"/>
      <c r="R515" s="17"/>
      <c r="S515" s="813"/>
      <c r="T515" s="17"/>
      <c r="AX515" s="17"/>
      <c r="BB515" s="17"/>
      <c r="BE515" s="17"/>
      <c r="BF515" s="17"/>
      <c r="BG515" s="17"/>
      <c r="BH515" s="17"/>
      <c r="BI515" s="17"/>
      <c r="BJ515" s="17"/>
      <c r="BK515" s="17"/>
      <c r="BL515" s="92"/>
      <c r="BM515" s="92"/>
      <c r="BN515" s="92"/>
      <c r="BO515" s="92"/>
      <c r="BP515" s="92"/>
      <c r="BQ515" s="818"/>
      <c r="BR515" s="54"/>
      <c r="BS515" s="54"/>
      <c r="BT515" s="818"/>
      <c r="BU515" s="818"/>
      <c r="BV515" s="818"/>
      <c r="BW515" s="92"/>
      <c r="BX515" s="92"/>
      <c r="BY515" s="17"/>
      <c r="BZ515" s="17"/>
      <c r="CA515" s="17"/>
      <c r="CB515" s="17"/>
      <c r="CC515" s="17"/>
      <c r="CD515" s="17"/>
    </row>
    <row r="516">
      <c r="A516" s="92"/>
      <c r="B516" s="820"/>
      <c r="O516" s="17"/>
      <c r="P516" s="17"/>
      <c r="Q516" s="17"/>
      <c r="R516" s="17"/>
      <c r="S516" s="813"/>
      <c r="T516" s="17"/>
      <c r="AX516" s="17"/>
      <c r="BB516" s="17"/>
      <c r="BE516" s="17"/>
      <c r="BF516" s="17"/>
      <c r="BG516" s="17"/>
      <c r="BH516" s="17"/>
      <c r="BI516" s="17"/>
      <c r="BJ516" s="17"/>
      <c r="BK516" s="17"/>
      <c r="BL516" s="92"/>
      <c r="BM516" s="92"/>
      <c r="BN516" s="92"/>
      <c r="BO516" s="92"/>
      <c r="BP516" s="92"/>
      <c r="BQ516" s="818"/>
      <c r="BR516" s="54"/>
      <c r="BS516" s="54"/>
      <c r="BT516" s="818"/>
      <c r="BU516" s="818"/>
      <c r="BV516" s="818"/>
      <c r="BW516" s="92"/>
      <c r="BX516" s="92"/>
      <c r="BY516" s="17"/>
      <c r="BZ516" s="17"/>
      <c r="CA516" s="17"/>
      <c r="CB516" s="17"/>
      <c r="CC516" s="17"/>
      <c r="CD516" s="17"/>
    </row>
    <row r="517">
      <c r="A517" s="92"/>
      <c r="B517" s="820"/>
      <c r="O517" s="17"/>
      <c r="P517" s="17"/>
      <c r="Q517" s="17"/>
      <c r="R517" s="17"/>
      <c r="S517" s="813"/>
      <c r="T517" s="17"/>
      <c r="AX517" s="17"/>
      <c r="BB517" s="17"/>
      <c r="BE517" s="17"/>
      <c r="BF517" s="17"/>
      <c r="BG517" s="17"/>
      <c r="BH517" s="17"/>
      <c r="BI517" s="17"/>
      <c r="BJ517" s="17"/>
      <c r="BK517" s="17"/>
      <c r="BL517" s="92"/>
      <c r="BM517" s="92"/>
      <c r="BN517" s="92"/>
      <c r="BO517" s="92"/>
      <c r="BP517" s="92"/>
      <c r="BQ517" s="818"/>
      <c r="BR517" s="54"/>
      <c r="BS517" s="54"/>
      <c r="BT517" s="818"/>
      <c r="BU517" s="818"/>
      <c r="BV517" s="818"/>
      <c r="BW517" s="92"/>
      <c r="BX517" s="92"/>
      <c r="BY517" s="17"/>
      <c r="BZ517" s="17"/>
      <c r="CA517" s="17"/>
      <c r="CB517" s="17"/>
      <c r="CC517" s="17"/>
      <c r="CD517" s="17"/>
    </row>
    <row r="518">
      <c r="A518" s="92"/>
      <c r="B518" s="820"/>
      <c r="O518" s="17"/>
      <c r="P518" s="17"/>
      <c r="Q518" s="17"/>
      <c r="R518" s="17"/>
      <c r="S518" s="813"/>
      <c r="T518" s="17"/>
      <c r="AX518" s="17"/>
      <c r="BB518" s="17"/>
      <c r="BE518" s="17"/>
      <c r="BF518" s="17"/>
      <c r="BG518" s="17"/>
      <c r="BH518" s="17"/>
      <c r="BI518" s="17"/>
      <c r="BJ518" s="17"/>
      <c r="BK518" s="17"/>
      <c r="BL518" s="92"/>
      <c r="BM518" s="92"/>
      <c r="BN518" s="92"/>
      <c r="BO518" s="92"/>
      <c r="BP518" s="92"/>
      <c r="BQ518" s="818"/>
      <c r="BR518" s="54"/>
      <c r="BS518" s="54"/>
      <c r="BT518" s="818"/>
      <c r="BU518" s="818"/>
      <c r="BV518" s="818"/>
      <c r="BW518" s="92"/>
      <c r="BX518" s="92"/>
      <c r="BY518" s="17"/>
      <c r="BZ518" s="17"/>
      <c r="CA518" s="17"/>
      <c r="CB518" s="17"/>
      <c r="CC518" s="17"/>
      <c r="CD518" s="17"/>
    </row>
    <row r="519">
      <c r="A519" s="92"/>
      <c r="B519" s="820"/>
      <c r="O519" s="17"/>
      <c r="P519" s="17"/>
      <c r="Q519" s="17"/>
      <c r="R519" s="17"/>
      <c r="S519" s="813"/>
      <c r="T519" s="17"/>
      <c r="AX519" s="17"/>
      <c r="BB519" s="17"/>
      <c r="BE519" s="17"/>
      <c r="BF519" s="17"/>
      <c r="BG519" s="17"/>
      <c r="BH519" s="17"/>
      <c r="BI519" s="17"/>
      <c r="BJ519" s="17"/>
      <c r="BK519" s="17"/>
      <c r="BL519" s="92"/>
      <c r="BM519" s="92"/>
      <c r="BN519" s="92"/>
      <c r="BO519" s="92"/>
      <c r="BP519" s="92"/>
      <c r="BQ519" s="818"/>
      <c r="BR519" s="54"/>
      <c r="BS519" s="54"/>
      <c r="BT519" s="818"/>
      <c r="BU519" s="818"/>
      <c r="BV519" s="818"/>
      <c r="BW519" s="92"/>
      <c r="BX519" s="92"/>
      <c r="BY519" s="17"/>
      <c r="BZ519" s="17"/>
      <c r="CA519" s="17"/>
      <c r="CB519" s="17"/>
      <c r="CC519" s="17"/>
      <c r="CD519" s="17"/>
    </row>
    <row r="520">
      <c r="A520" s="92"/>
      <c r="B520" s="820"/>
      <c r="O520" s="17"/>
      <c r="P520" s="17"/>
      <c r="Q520" s="17"/>
      <c r="R520" s="17"/>
      <c r="S520" s="813"/>
      <c r="T520" s="17"/>
      <c r="AX520" s="17"/>
      <c r="BB520" s="17"/>
      <c r="BE520" s="17"/>
      <c r="BF520" s="17"/>
      <c r="BG520" s="17"/>
      <c r="BH520" s="17"/>
      <c r="BI520" s="17"/>
      <c r="BJ520" s="17"/>
      <c r="BK520" s="17"/>
      <c r="BL520" s="92"/>
      <c r="BM520" s="92"/>
      <c r="BN520" s="92"/>
      <c r="BO520" s="92"/>
      <c r="BP520" s="92"/>
      <c r="BQ520" s="818"/>
      <c r="BR520" s="54"/>
      <c r="BS520" s="54"/>
      <c r="BT520" s="818"/>
      <c r="BU520" s="818"/>
      <c r="BV520" s="818"/>
      <c r="BW520" s="92"/>
      <c r="BX520" s="92"/>
      <c r="BY520" s="17"/>
      <c r="BZ520" s="17"/>
      <c r="CA520" s="17"/>
      <c r="CB520" s="17"/>
      <c r="CC520" s="17"/>
      <c r="CD520" s="17"/>
    </row>
    <row r="521">
      <c r="A521" s="92"/>
      <c r="B521" s="820"/>
      <c r="O521" s="17"/>
      <c r="P521" s="17"/>
      <c r="Q521" s="17"/>
      <c r="R521" s="17"/>
      <c r="S521" s="813"/>
      <c r="T521" s="17"/>
      <c r="AX521" s="17"/>
      <c r="BB521" s="17"/>
      <c r="BE521" s="17"/>
      <c r="BF521" s="17"/>
      <c r="BG521" s="17"/>
      <c r="BH521" s="17"/>
      <c r="BI521" s="17"/>
      <c r="BJ521" s="17"/>
      <c r="BK521" s="17"/>
      <c r="BL521" s="92"/>
      <c r="BM521" s="92"/>
      <c r="BN521" s="92"/>
      <c r="BO521" s="92"/>
      <c r="BP521" s="92"/>
      <c r="BQ521" s="818"/>
      <c r="BR521" s="54"/>
      <c r="BS521" s="54"/>
      <c r="BT521" s="818"/>
      <c r="BU521" s="818"/>
      <c r="BV521" s="818"/>
      <c r="BW521" s="92"/>
      <c r="BX521" s="92"/>
      <c r="BY521" s="17"/>
      <c r="BZ521" s="17"/>
      <c r="CA521" s="17"/>
      <c r="CB521" s="17"/>
      <c r="CC521" s="17"/>
      <c r="CD521" s="17"/>
    </row>
    <row r="522">
      <c r="A522" s="92"/>
      <c r="B522" s="820"/>
      <c r="O522" s="17"/>
      <c r="P522" s="17"/>
      <c r="Q522" s="17"/>
      <c r="R522" s="17"/>
      <c r="S522" s="813"/>
      <c r="T522" s="17"/>
      <c r="AX522" s="17"/>
      <c r="BB522" s="17"/>
      <c r="BE522" s="17"/>
      <c r="BF522" s="17"/>
      <c r="BG522" s="17"/>
      <c r="BH522" s="17"/>
      <c r="BI522" s="17"/>
      <c r="BJ522" s="17"/>
      <c r="BK522" s="17"/>
      <c r="BL522" s="92"/>
      <c r="BM522" s="92"/>
      <c r="BN522" s="92"/>
      <c r="BO522" s="92"/>
      <c r="BP522" s="92"/>
      <c r="BQ522" s="818"/>
      <c r="BR522" s="54"/>
      <c r="BS522" s="54"/>
      <c r="BT522" s="818"/>
      <c r="BU522" s="818"/>
      <c r="BV522" s="818"/>
      <c r="BW522" s="92"/>
      <c r="BX522" s="92"/>
      <c r="BY522" s="17"/>
      <c r="BZ522" s="17"/>
      <c r="CA522" s="17"/>
      <c r="CB522" s="17"/>
      <c r="CC522" s="17"/>
      <c r="CD522" s="17"/>
    </row>
    <row r="523">
      <c r="A523" s="92"/>
      <c r="B523" s="820"/>
      <c r="O523" s="17"/>
      <c r="P523" s="17"/>
      <c r="Q523" s="17"/>
      <c r="R523" s="17"/>
      <c r="S523" s="813"/>
      <c r="T523" s="17"/>
      <c r="AX523" s="17"/>
      <c r="BB523" s="17"/>
      <c r="BE523" s="17"/>
      <c r="BF523" s="17"/>
      <c r="BG523" s="17"/>
      <c r="BH523" s="17"/>
      <c r="BI523" s="17"/>
      <c r="BJ523" s="17"/>
      <c r="BK523" s="17"/>
      <c r="BL523" s="92"/>
      <c r="BM523" s="92"/>
      <c r="BN523" s="92"/>
      <c r="BO523" s="92"/>
      <c r="BP523" s="92"/>
      <c r="BQ523" s="818"/>
      <c r="BR523" s="54"/>
      <c r="BS523" s="54"/>
      <c r="BT523" s="818"/>
      <c r="BU523" s="818"/>
      <c r="BV523" s="818"/>
      <c r="BW523" s="92"/>
      <c r="BX523" s="92"/>
      <c r="BY523" s="17"/>
      <c r="BZ523" s="17"/>
      <c r="CA523" s="17"/>
      <c r="CB523" s="17"/>
      <c r="CC523" s="17"/>
      <c r="CD523" s="17"/>
    </row>
    <row r="524">
      <c r="A524" s="92"/>
      <c r="B524" s="820"/>
      <c r="O524" s="17"/>
      <c r="P524" s="17"/>
      <c r="Q524" s="17"/>
      <c r="R524" s="17"/>
      <c r="S524" s="813"/>
      <c r="T524" s="17"/>
      <c r="AX524" s="17"/>
      <c r="BB524" s="17"/>
      <c r="BE524" s="17"/>
      <c r="BF524" s="17"/>
      <c r="BG524" s="17"/>
      <c r="BH524" s="17"/>
      <c r="BI524" s="17"/>
      <c r="BJ524" s="17"/>
      <c r="BK524" s="17"/>
      <c r="BL524" s="92"/>
      <c r="BM524" s="92"/>
      <c r="BN524" s="92"/>
      <c r="BO524" s="92"/>
      <c r="BP524" s="92"/>
      <c r="BQ524" s="818"/>
      <c r="BR524" s="54"/>
      <c r="BS524" s="54"/>
      <c r="BT524" s="818"/>
      <c r="BU524" s="818"/>
      <c r="BV524" s="818"/>
      <c r="BW524" s="92"/>
      <c r="BX524" s="92"/>
      <c r="BY524" s="17"/>
      <c r="BZ524" s="17"/>
      <c r="CA524" s="17"/>
      <c r="CB524" s="17"/>
      <c r="CC524" s="17"/>
      <c r="CD524" s="17"/>
    </row>
    <row r="525">
      <c r="A525" s="92"/>
      <c r="B525" s="820"/>
      <c r="O525" s="17"/>
      <c r="P525" s="17"/>
      <c r="Q525" s="17"/>
      <c r="R525" s="17"/>
      <c r="S525" s="813"/>
      <c r="T525" s="17"/>
      <c r="AX525" s="17"/>
      <c r="BB525" s="17"/>
      <c r="BE525" s="17"/>
      <c r="BF525" s="17"/>
      <c r="BG525" s="17"/>
      <c r="BH525" s="17"/>
      <c r="BI525" s="17"/>
      <c r="BJ525" s="17"/>
      <c r="BK525" s="17"/>
      <c r="BL525" s="92"/>
      <c r="BM525" s="92"/>
      <c r="BN525" s="92"/>
      <c r="BO525" s="92"/>
      <c r="BP525" s="92"/>
      <c r="BQ525" s="818"/>
      <c r="BR525" s="54"/>
      <c r="BS525" s="54"/>
      <c r="BT525" s="818"/>
      <c r="BU525" s="818"/>
      <c r="BV525" s="818"/>
      <c r="BW525" s="92"/>
      <c r="BX525" s="92"/>
      <c r="BY525" s="17"/>
      <c r="BZ525" s="17"/>
      <c r="CA525" s="17"/>
      <c r="CB525" s="17"/>
      <c r="CC525" s="17"/>
      <c r="CD525" s="17"/>
    </row>
    <row r="526">
      <c r="A526" s="92"/>
      <c r="B526" s="820"/>
      <c r="O526" s="17"/>
      <c r="P526" s="17"/>
      <c r="Q526" s="17"/>
      <c r="R526" s="17"/>
      <c r="S526" s="813"/>
      <c r="T526" s="17"/>
      <c r="AX526" s="17"/>
      <c r="BB526" s="17"/>
      <c r="BE526" s="17"/>
      <c r="BF526" s="17"/>
      <c r="BG526" s="17"/>
      <c r="BH526" s="17"/>
      <c r="BI526" s="17"/>
      <c r="BJ526" s="17"/>
      <c r="BK526" s="17"/>
      <c r="BL526" s="92"/>
      <c r="BM526" s="92"/>
      <c r="BN526" s="92"/>
      <c r="BO526" s="92"/>
      <c r="BP526" s="92"/>
      <c r="BQ526" s="818"/>
      <c r="BR526" s="54"/>
      <c r="BS526" s="54"/>
      <c r="BT526" s="818"/>
      <c r="BU526" s="818"/>
      <c r="BV526" s="818"/>
      <c r="BW526" s="92"/>
      <c r="BX526" s="92"/>
      <c r="BY526" s="17"/>
      <c r="BZ526" s="17"/>
      <c r="CA526" s="17"/>
      <c r="CB526" s="17"/>
      <c r="CC526" s="17"/>
      <c r="CD526" s="17"/>
    </row>
    <row r="527">
      <c r="A527" s="92"/>
      <c r="B527" s="820"/>
      <c r="O527" s="17"/>
      <c r="P527" s="17"/>
      <c r="Q527" s="17"/>
      <c r="R527" s="17"/>
      <c r="S527" s="813"/>
      <c r="T527" s="17"/>
      <c r="AX527" s="17"/>
      <c r="BB527" s="17"/>
      <c r="BE527" s="17"/>
      <c r="BF527" s="17"/>
      <c r="BG527" s="17"/>
      <c r="BH527" s="17"/>
      <c r="BI527" s="17"/>
      <c r="BJ527" s="17"/>
      <c r="BK527" s="17"/>
      <c r="BL527" s="92"/>
      <c r="BM527" s="92"/>
      <c r="BN527" s="92"/>
      <c r="BO527" s="92"/>
      <c r="BP527" s="92"/>
      <c r="BQ527" s="818"/>
      <c r="BR527" s="54"/>
      <c r="BS527" s="54"/>
      <c r="BT527" s="818"/>
      <c r="BU527" s="818"/>
      <c r="BV527" s="818"/>
      <c r="BW527" s="92"/>
      <c r="BX527" s="92"/>
      <c r="BY527" s="17"/>
      <c r="BZ527" s="17"/>
      <c r="CA527" s="17"/>
      <c r="CB527" s="17"/>
      <c r="CC527" s="17"/>
      <c r="CD527" s="17"/>
    </row>
    <row r="528">
      <c r="A528" s="92"/>
      <c r="B528" s="820"/>
      <c r="O528" s="17"/>
      <c r="P528" s="17"/>
      <c r="Q528" s="17"/>
      <c r="R528" s="17"/>
      <c r="S528" s="813"/>
      <c r="T528" s="17"/>
      <c r="AX528" s="17"/>
      <c r="BB528" s="17"/>
      <c r="BE528" s="17"/>
      <c r="BF528" s="17"/>
      <c r="BG528" s="17"/>
      <c r="BH528" s="17"/>
      <c r="BI528" s="17"/>
      <c r="BJ528" s="17"/>
      <c r="BK528" s="17"/>
      <c r="BL528" s="92"/>
      <c r="BM528" s="92"/>
      <c r="BN528" s="92"/>
      <c r="BO528" s="92"/>
      <c r="BP528" s="92"/>
      <c r="BQ528" s="818"/>
      <c r="BR528" s="54"/>
      <c r="BS528" s="54"/>
      <c r="BT528" s="818"/>
      <c r="BU528" s="818"/>
      <c r="BV528" s="818"/>
      <c r="BW528" s="92"/>
      <c r="BX528" s="92"/>
      <c r="BY528" s="17"/>
      <c r="BZ528" s="17"/>
      <c r="CA528" s="17"/>
      <c r="CB528" s="17"/>
      <c r="CC528" s="17"/>
      <c r="CD528" s="17"/>
    </row>
    <row r="529">
      <c r="A529" s="92"/>
      <c r="B529" s="820"/>
      <c r="O529" s="17"/>
      <c r="P529" s="17"/>
      <c r="Q529" s="17"/>
      <c r="R529" s="17"/>
      <c r="S529" s="813"/>
      <c r="T529" s="17"/>
      <c r="AX529" s="17"/>
      <c r="BB529" s="17"/>
      <c r="BE529" s="17"/>
      <c r="BF529" s="17"/>
      <c r="BG529" s="17"/>
      <c r="BH529" s="17"/>
      <c r="BI529" s="17"/>
      <c r="BJ529" s="17"/>
      <c r="BK529" s="17"/>
      <c r="BL529" s="92"/>
      <c r="BM529" s="92"/>
      <c r="BN529" s="92"/>
      <c r="BO529" s="92"/>
      <c r="BP529" s="92"/>
      <c r="BQ529" s="818"/>
      <c r="BR529" s="54"/>
      <c r="BS529" s="54"/>
      <c r="BT529" s="818"/>
      <c r="BU529" s="818"/>
      <c r="BV529" s="818"/>
      <c r="BW529" s="92"/>
      <c r="BX529" s="92"/>
      <c r="BY529" s="17"/>
      <c r="BZ529" s="17"/>
      <c r="CA529" s="17"/>
      <c r="CB529" s="17"/>
      <c r="CC529" s="17"/>
      <c r="CD529" s="17"/>
    </row>
    <row r="530">
      <c r="A530" s="92"/>
      <c r="B530" s="820"/>
      <c r="O530" s="17"/>
      <c r="P530" s="17"/>
      <c r="Q530" s="17"/>
      <c r="R530" s="17"/>
      <c r="S530" s="813"/>
      <c r="T530" s="17"/>
      <c r="AX530" s="17"/>
      <c r="BB530" s="17"/>
      <c r="BE530" s="17"/>
      <c r="BF530" s="17"/>
      <c r="BG530" s="17"/>
      <c r="BH530" s="17"/>
      <c r="BI530" s="17"/>
      <c r="BJ530" s="17"/>
      <c r="BK530" s="17"/>
      <c r="BL530" s="92"/>
      <c r="BM530" s="92"/>
      <c r="BN530" s="92"/>
      <c r="BO530" s="92"/>
      <c r="BP530" s="92"/>
      <c r="BQ530" s="818"/>
      <c r="BR530" s="54"/>
      <c r="BS530" s="54"/>
      <c r="BT530" s="818"/>
      <c r="BU530" s="818"/>
      <c r="BV530" s="818"/>
      <c r="BW530" s="92"/>
      <c r="BX530" s="92"/>
      <c r="BY530" s="17"/>
      <c r="BZ530" s="17"/>
      <c r="CA530" s="17"/>
      <c r="CB530" s="17"/>
      <c r="CC530" s="17"/>
      <c r="CD530" s="17"/>
    </row>
    <row r="531">
      <c r="A531" s="92"/>
      <c r="B531" s="820"/>
      <c r="O531" s="17"/>
      <c r="P531" s="17"/>
      <c r="Q531" s="17"/>
      <c r="R531" s="17"/>
      <c r="S531" s="813"/>
      <c r="T531" s="17"/>
      <c r="AX531" s="17"/>
      <c r="BB531" s="17"/>
      <c r="BE531" s="17"/>
      <c r="BF531" s="17"/>
      <c r="BG531" s="17"/>
      <c r="BH531" s="17"/>
      <c r="BI531" s="17"/>
      <c r="BJ531" s="17"/>
      <c r="BK531" s="17"/>
      <c r="BL531" s="92"/>
      <c r="BM531" s="92"/>
      <c r="BN531" s="92"/>
      <c r="BO531" s="92"/>
      <c r="BP531" s="92"/>
      <c r="BQ531" s="818"/>
      <c r="BR531" s="54"/>
      <c r="BS531" s="54"/>
      <c r="BT531" s="818"/>
      <c r="BU531" s="818"/>
      <c r="BV531" s="818"/>
      <c r="BW531" s="92"/>
      <c r="BX531" s="92"/>
      <c r="BY531" s="17"/>
      <c r="BZ531" s="17"/>
      <c r="CA531" s="17"/>
      <c r="CB531" s="17"/>
      <c r="CC531" s="17"/>
      <c r="CD531" s="17"/>
    </row>
    <row r="532">
      <c r="A532" s="92"/>
      <c r="B532" s="820"/>
      <c r="O532" s="17"/>
      <c r="P532" s="17"/>
      <c r="Q532" s="17"/>
      <c r="R532" s="17"/>
      <c r="S532" s="813"/>
      <c r="T532" s="17"/>
      <c r="AX532" s="17"/>
      <c r="BB532" s="17"/>
      <c r="BE532" s="17"/>
      <c r="BF532" s="17"/>
      <c r="BG532" s="17"/>
      <c r="BH532" s="17"/>
      <c r="BI532" s="17"/>
      <c r="BJ532" s="17"/>
      <c r="BK532" s="17"/>
      <c r="BL532" s="92"/>
      <c r="BM532" s="92"/>
      <c r="BN532" s="92"/>
      <c r="BO532" s="92"/>
      <c r="BP532" s="92"/>
      <c r="BQ532" s="818"/>
      <c r="BR532" s="54"/>
      <c r="BS532" s="54"/>
      <c r="BT532" s="818"/>
      <c r="BU532" s="818"/>
      <c r="BV532" s="818"/>
      <c r="BW532" s="92"/>
      <c r="BX532" s="92"/>
      <c r="BY532" s="17"/>
      <c r="BZ532" s="17"/>
      <c r="CA532" s="17"/>
      <c r="CB532" s="17"/>
      <c r="CC532" s="17"/>
      <c r="CD532" s="17"/>
    </row>
    <row r="533">
      <c r="A533" s="92"/>
      <c r="B533" s="820"/>
      <c r="O533" s="17"/>
      <c r="P533" s="17"/>
      <c r="Q533" s="17"/>
      <c r="R533" s="17"/>
      <c r="S533" s="813"/>
      <c r="T533" s="17"/>
      <c r="AX533" s="17"/>
      <c r="BB533" s="17"/>
      <c r="BE533" s="17"/>
      <c r="BF533" s="17"/>
      <c r="BG533" s="17"/>
      <c r="BH533" s="17"/>
      <c r="BI533" s="17"/>
      <c r="BJ533" s="17"/>
      <c r="BK533" s="17"/>
      <c r="BL533" s="92"/>
      <c r="BM533" s="92"/>
      <c r="BN533" s="92"/>
      <c r="BO533" s="92"/>
      <c r="BP533" s="92"/>
      <c r="BQ533" s="818"/>
      <c r="BR533" s="54"/>
      <c r="BS533" s="54"/>
      <c r="BT533" s="818"/>
      <c r="BU533" s="818"/>
      <c r="BV533" s="818"/>
      <c r="BW533" s="92"/>
      <c r="BX533" s="92"/>
      <c r="BY533" s="17"/>
      <c r="BZ533" s="17"/>
      <c r="CA533" s="17"/>
      <c r="CB533" s="17"/>
      <c r="CC533" s="17"/>
      <c r="CD533" s="17"/>
    </row>
    <row r="534">
      <c r="A534" s="92"/>
      <c r="B534" s="820"/>
      <c r="O534" s="17"/>
      <c r="P534" s="17"/>
      <c r="Q534" s="17"/>
      <c r="R534" s="17"/>
      <c r="S534" s="813"/>
      <c r="T534" s="17"/>
      <c r="AX534" s="17"/>
      <c r="BB534" s="17"/>
      <c r="BE534" s="17"/>
      <c r="BF534" s="17"/>
      <c r="BG534" s="17"/>
      <c r="BH534" s="17"/>
      <c r="BI534" s="17"/>
      <c r="BJ534" s="17"/>
      <c r="BK534" s="17"/>
      <c r="BL534" s="92"/>
      <c r="BM534" s="92"/>
      <c r="BN534" s="92"/>
      <c r="BO534" s="92"/>
      <c r="BP534" s="92"/>
      <c r="BQ534" s="818"/>
      <c r="BR534" s="54"/>
      <c r="BS534" s="54"/>
      <c r="BT534" s="818"/>
      <c r="BU534" s="818"/>
      <c r="BV534" s="818"/>
      <c r="BW534" s="92"/>
      <c r="BX534" s="92"/>
      <c r="BY534" s="17"/>
      <c r="BZ534" s="17"/>
      <c r="CA534" s="17"/>
      <c r="CB534" s="17"/>
      <c r="CC534" s="17"/>
      <c r="CD534" s="17"/>
    </row>
    <row r="535">
      <c r="A535" s="92"/>
      <c r="B535" s="820"/>
      <c r="O535" s="17"/>
      <c r="P535" s="17"/>
      <c r="Q535" s="17"/>
      <c r="R535" s="17"/>
      <c r="S535" s="813"/>
      <c r="T535" s="17"/>
      <c r="AX535" s="17"/>
      <c r="BB535" s="17"/>
      <c r="BE535" s="17"/>
      <c r="BF535" s="17"/>
      <c r="BG535" s="17"/>
      <c r="BH535" s="17"/>
      <c r="BI535" s="17"/>
      <c r="BJ535" s="17"/>
      <c r="BK535" s="17"/>
      <c r="BL535" s="92"/>
      <c r="BM535" s="92"/>
      <c r="BN535" s="92"/>
      <c r="BO535" s="92"/>
      <c r="BP535" s="92"/>
      <c r="BQ535" s="818"/>
      <c r="BR535" s="54"/>
      <c r="BS535" s="54"/>
      <c r="BT535" s="818"/>
      <c r="BU535" s="818"/>
      <c r="BV535" s="818"/>
      <c r="BW535" s="92"/>
      <c r="BX535" s="92"/>
      <c r="BY535" s="17"/>
      <c r="BZ535" s="17"/>
      <c r="CA535" s="17"/>
      <c r="CB535" s="17"/>
      <c r="CC535" s="17"/>
      <c r="CD535" s="17"/>
    </row>
    <row r="536">
      <c r="A536" s="92"/>
      <c r="B536" s="820"/>
      <c r="O536" s="17"/>
      <c r="P536" s="17"/>
      <c r="Q536" s="17"/>
      <c r="R536" s="17"/>
      <c r="S536" s="813"/>
      <c r="T536" s="17"/>
      <c r="AX536" s="17"/>
      <c r="BB536" s="17"/>
      <c r="BE536" s="17"/>
      <c r="BF536" s="17"/>
      <c r="BG536" s="17"/>
      <c r="BH536" s="17"/>
      <c r="BI536" s="17"/>
      <c r="BJ536" s="17"/>
      <c r="BK536" s="17"/>
      <c r="BL536" s="92"/>
      <c r="BM536" s="92"/>
      <c r="BN536" s="92"/>
      <c r="BO536" s="92"/>
      <c r="BP536" s="92"/>
      <c r="BQ536" s="818"/>
      <c r="BR536" s="54"/>
      <c r="BS536" s="54"/>
      <c r="BT536" s="818"/>
      <c r="BU536" s="818"/>
      <c r="BV536" s="818"/>
      <c r="BW536" s="92"/>
      <c r="BX536" s="92"/>
      <c r="BY536" s="17"/>
      <c r="BZ536" s="17"/>
      <c r="CA536" s="17"/>
      <c r="CB536" s="17"/>
      <c r="CC536" s="17"/>
      <c r="CD536" s="17"/>
    </row>
    <row r="537">
      <c r="A537" s="92"/>
      <c r="B537" s="820"/>
      <c r="O537" s="17"/>
      <c r="P537" s="17"/>
      <c r="Q537" s="17"/>
      <c r="R537" s="17"/>
      <c r="S537" s="813"/>
      <c r="T537" s="17"/>
      <c r="AX537" s="17"/>
      <c r="BB537" s="17"/>
      <c r="BE537" s="17"/>
      <c r="BF537" s="17"/>
      <c r="BG537" s="17"/>
      <c r="BH537" s="17"/>
      <c r="BI537" s="17"/>
      <c r="BJ537" s="17"/>
      <c r="BK537" s="17"/>
      <c r="BL537" s="92"/>
      <c r="BM537" s="92"/>
      <c r="BN537" s="92"/>
      <c r="BO537" s="92"/>
      <c r="BP537" s="92"/>
      <c r="BQ537" s="818"/>
      <c r="BR537" s="54"/>
      <c r="BS537" s="54"/>
      <c r="BT537" s="818"/>
      <c r="BU537" s="818"/>
      <c r="BV537" s="818"/>
      <c r="BW537" s="92"/>
      <c r="BX537" s="92"/>
      <c r="BY537" s="17"/>
      <c r="BZ537" s="17"/>
      <c r="CA537" s="17"/>
      <c r="CB537" s="17"/>
      <c r="CC537" s="17"/>
      <c r="CD537" s="17"/>
    </row>
    <row r="538">
      <c r="A538" s="92"/>
      <c r="B538" s="820"/>
      <c r="O538" s="17"/>
      <c r="P538" s="17"/>
      <c r="Q538" s="17"/>
      <c r="R538" s="17"/>
      <c r="S538" s="813"/>
      <c r="T538" s="17"/>
      <c r="AX538" s="17"/>
      <c r="BB538" s="17"/>
      <c r="BE538" s="17"/>
      <c r="BF538" s="17"/>
      <c r="BG538" s="17"/>
      <c r="BH538" s="17"/>
      <c r="BI538" s="17"/>
      <c r="BJ538" s="17"/>
      <c r="BK538" s="17"/>
      <c r="BL538" s="92"/>
      <c r="BM538" s="92"/>
      <c r="BN538" s="92"/>
      <c r="BO538" s="92"/>
      <c r="BP538" s="92"/>
      <c r="BQ538" s="818"/>
      <c r="BR538" s="54"/>
      <c r="BS538" s="54"/>
      <c r="BT538" s="818"/>
      <c r="BU538" s="818"/>
      <c r="BV538" s="818"/>
      <c r="BW538" s="92"/>
      <c r="BX538" s="92"/>
      <c r="BY538" s="17"/>
      <c r="BZ538" s="17"/>
      <c r="CA538" s="17"/>
      <c r="CB538" s="17"/>
      <c r="CC538" s="17"/>
      <c r="CD538" s="17"/>
    </row>
    <row r="539">
      <c r="A539" s="92"/>
      <c r="B539" s="820"/>
      <c r="O539" s="17"/>
      <c r="P539" s="17"/>
      <c r="Q539" s="17"/>
      <c r="R539" s="17"/>
      <c r="S539" s="813"/>
      <c r="T539" s="17"/>
      <c r="AX539" s="17"/>
      <c r="BB539" s="17"/>
      <c r="BE539" s="17"/>
      <c r="BF539" s="17"/>
      <c r="BG539" s="17"/>
      <c r="BH539" s="17"/>
      <c r="BI539" s="17"/>
      <c r="BJ539" s="17"/>
      <c r="BK539" s="17"/>
      <c r="BL539" s="92"/>
      <c r="BM539" s="92"/>
      <c r="BN539" s="92"/>
      <c r="BO539" s="92"/>
      <c r="BP539" s="92"/>
      <c r="BQ539" s="818"/>
      <c r="BR539" s="54"/>
      <c r="BS539" s="54"/>
      <c r="BT539" s="818"/>
      <c r="BU539" s="818"/>
      <c r="BV539" s="818"/>
      <c r="BW539" s="92"/>
      <c r="BX539" s="92"/>
      <c r="BY539" s="17"/>
      <c r="BZ539" s="17"/>
      <c r="CA539" s="17"/>
      <c r="CB539" s="17"/>
      <c r="CC539" s="17"/>
      <c r="CD539" s="17"/>
    </row>
    <row r="540">
      <c r="A540" s="92"/>
      <c r="B540" s="820"/>
      <c r="O540" s="17"/>
      <c r="P540" s="17"/>
      <c r="Q540" s="17"/>
      <c r="R540" s="17"/>
      <c r="S540" s="813"/>
      <c r="T540" s="17"/>
      <c r="AX540" s="17"/>
      <c r="BB540" s="17"/>
      <c r="BE540" s="17"/>
      <c r="BF540" s="17"/>
      <c r="BG540" s="17"/>
      <c r="BH540" s="17"/>
      <c r="BI540" s="17"/>
      <c r="BJ540" s="17"/>
      <c r="BK540" s="17"/>
      <c r="BL540" s="92"/>
      <c r="BM540" s="92"/>
      <c r="BN540" s="92"/>
      <c r="BO540" s="92"/>
      <c r="BP540" s="92"/>
      <c r="BQ540" s="818"/>
      <c r="BR540" s="54"/>
      <c r="BS540" s="54"/>
      <c r="BT540" s="818"/>
      <c r="BU540" s="818"/>
      <c r="BV540" s="818"/>
      <c r="BW540" s="92"/>
      <c r="BX540" s="92"/>
      <c r="BY540" s="17"/>
      <c r="BZ540" s="17"/>
      <c r="CA540" s="17"/>
      <c r="CB540" s="17"/>
      <c r="CC540" s="17"/>
      <c r="CD540" s="17"/>
    </row>
    <row r="541">
      <c r="A541" s="92"/>
      <c r="B541" s="820"/>
      <c r="O541" s="17"/>
      <c r="P541" s="17"/>
      <c r="Q541" s="17"/>
      <c r="R541" s="17"/>
      <c r="S541" s="813"/>
      <c r="T541" s="17"/>
      <c r="AX541" s="17"/>
      <c r="BB541" s="17"/>
      <c r="BE541" s="17"/>
      <c r="BF541" s="17"/>
      <c r="BG541" s="17"/>
      <c r="BH541" s="17"/>
      <c r="BI541" s="17"/>
      <c r="BJ541" s="17"/>
      <c r="BK541" s="17"/>
      <c r="BL541" s="92"/>
      <c r="BM541" s="92"/>
      <c r="BN541" s="92"/>
      <c r="BO541" s="92"/>
      <c r="BP541" s="92"/>
      <c r="BQ541" s="818"/>
      <c r="BR541" s="54"/>
      <c r="BS541" s="54"/>
      <c r="BT541" s="818"/>
      <c r="BU541" s="818"/>
      <c r="BV541" s="818"/>
      <c r="BW541" s="92"/>
      <c r="BX541" s="92"/>
      <c r="BY541" s="17"/>
      <c r="BZ541" s="17"/>
      <c r="CA541" s="17"/>
      <c r="CB541" s="17"/>
      <c r="CC541" s="17"/>
      <c r="CD541" s="17"/>
    </row>
    <row r="542">
      <c r="A542" s="92"/>
      <c r="B542" s="820"/>
      <c r="O542" s="17"/>
      <c r="P542" s="17"/>
      <c r="Q542" s="17"/>
      <c r="R542" s="17"/>
      <c r="S542" s="813"/>
      <c r="T542" s="17"/>
      <c r="AX542" s="17"/>
      <c r="BB542" s="17"/>
      <c r="BE542" s="17"/>
      <c r="BF542" s="17"/>
      <c r="BG542" s="17"/>
      <c r="BH542" s="17"/>
      <c r="BI542" s="17"/>
      <c r="BJ542" s="17"/>
      <c r="BK542" s="17"/>
      <c r="BL542" s="92"/>
      <c r="BM542" s="92"/>
      <c r="BN542" s="92"/>
      <c r="BO542" s="92"/>
      <c r="BP542" s="92"/>
      <c r="BQ542" s="818"/>
      <c r="BR542" s="54"/>
      <c r="BS542" s="54"/>
      <c r="BT542" s="818"/>
      <c r="BU542" s="818"/>
      <c r="BV542" s="818"/>
      <c r="BW542" s="92"/>
      <c r="BX542" s="92"/>
      <c r="BY542" s="17"/>
      <c r="BZ542" s="17"/>
      <c r="CA542" s="17"/>
      <c r="CB542" s="17"/>
      <c r="CC542" s="17"/>
      <c r="CD542" s="17"/>
    </row>
    <row r="543">
      <c r="A543" s="92"/>
      <c r="B543" s="820"/>
      <c r="O543" s="17"/>
      <c r="P543" s="17"/>
      <c r="Q543" s="17"/>
      <c r="R543" s="17"/>
      <c r="S543" s="813"/>
      <c r="T543" s="17"/>
      <c r="AX543" s="17"/>
      <c r="BB543" s="17"/>
      <c r="BE543" s="17"/>
      <c r="BF543" s="17"/>
      <c r="BG543" s="17"/>
      <c r="BH543" s="17"/>
      <c r="BI543" s="17"/>
      <c r="BJ543" s="17"/>
      <c r="BK543" s="17"/>
      <c r="BL543" s="92"/>
      <c r="BM543" s="92"/>
      <c r="BN543" s="92"/>
      <c r="BO543" s="92"/>
      <c r="BP543" s="92"/>
      <c r="BQ543" s="818"/>
      <c r="BR543" s="54"/>
      <c r="BS543" s="54"/>
      <c r="BT543" s="818"/>
      <c r="BU543" s="818"/>
      <c r="BV543" s="818"/>
      <c r="BW543" s="92"/>
      <c r="BX543" s="92"/>
      <c r="BY543" s="17"/>
      <c r="BZ543" s="17"/>
      <c r="CA543" s="17"/>
      <c r="CB543" s="17"/>
      <c r="CC543" s="17"/>
      <c r="CD543" s="17"/>
    </row>
    <row r="544">
      <c r="A544" s="92"/>
      <c r="B544" s="820"/>
      <c r="O544" s="17"/>
      <c r="P544" s="17"/>
      <c r="Q544" s="17"/>
      <c r="R544" s="17"/>
      <c r="S544" s="813"/>
      <c r="T544" s="17"/>
      <c r="AX544" s="17"/>
      <c r="BB544" s="17"/>
      <c r="BE544" s="17"/>
      <c r="BF544" s="17"/>
      <c r="BG544" s="17"/>
      <c r="BH544" s="17"/>
      <c r="BI544" s="17"/>
      <c r="BJ544" s="17"/>
      <c r="BK544" s="17"/>
      <c r="BL544" s="92"/>
      <c r="BM544" s="92"/>
      <c r="BN544" s="92"/>
      <c r="BO544" s="92"/>
      <c r="BP544" s="92"/>
      <c r="BQ544" s="818"/>
      <c r="BR544" s="54"/>
      <c r="BS544" s="54"/>
      <c r="BT544" s="818"/>
      <c r="BU544" s="818"/>
      <c r="BV544" s="818"/>
      <c r="BW544" s="92"/>
      <c r="BX544" s="92"/>
      <c r="BY544" s="17"/>
      <c r="BZ544" s="17"/>
      <c r="CA544" s="17"/>
      <c r="CB544" s="17"/>
      <c r="CC544" s="17"/>
      <c r="CD544" s="17"/>
    </row>
    <row r="545">
      <c r="A545" s="92"/>
      <c r="B545" s="820"/>
      <c r="O545" s="17"/>
      <c r="P545" s="17"/>
      <c r="Q545" s="17"/>
      <c r="R545" s="17"/>
      <c r="S545" s="813"/>
      <c r="T545" s="17"/>
      <c r="AX545" s="17"/>
      <c r="BB545" s="17"/>
      <c r="BE545" s="17"/>
      <c r="BF545" s="17"/>
      <c r="BG545" s="17"/>
      <c r="BH545" s="17"/>
      <c r="BI545" s="17"/>
      <c r="BJ545" s="17"/>
      <c r="BK545" s="17"/>
      <c r="BL545" s="92"/>
      <c r="BM545" s="92"/>
      <c r="BN545" s="92"/>
      <c r="BO545" s="92"/>
      <c r="BP545" s="92"/>
      <c r="BQ545" s="818"/>
      <c r="BR545" s="54"/>
      <c r="BS545" s="54"/>
      <c r="BT545" s="818"/>
      <c r="BU545" s="818"/>
      <c r="BV545" s="818"/>
      <c r="BW545" s="92"/>
      <c r="BX545" s="92"/>
      <c r="BY545" s="17"/>
      <c r="BZ545" s="17"/>
      <c r="CA545" s="17"/>
      <c r="CB545" s="17"/>
      <c r="CC545" s="17"/>
      <c r="CD545" s="17"/>
    </row>
    <row r="546">
      <c r="A546" s="92"/>
      <c r="B546" s="820"/>
      <c r="O546" s="17"/>
      <c r="P546" s="17"/>
      <c r="Q546" s="17"/>
      <c r="R546" s="17"/>
      <c r="S546" s="813"/>
      <c r="T546" s="17"/>
      <c r="AX546" s="17"/>
      <c r="BB546" s="17"/>
      <c r="BE546" s="17"/>
      <c r="BF546" s="17"/>
      <c r="BG546" s="17"/>
      <c r="BH546" s="17"/>
      <c r="BI546" s="17"/>
      <c r="BJ546" s="17"/>
      <c r="BK546" s="17"/>
      <c r="BL546" s="92"/>
      <c r="BM546" s="92"/>
      <c r="BN546" s="92"/>
      <c r="BO546" s="92"/>
      <c r="BP546" s="92"/>
      <c r="BQ546" s="818"/>
      <c r="BR546" s="54"/>
      <c r="BS546" s="54"/>
      <c r="BT546" s="818"/>
      <c r="BU546" s="818"/>
      <c r="BV546" s="818"/>
      <c r="BW546" s="92"/>
      <c r="BX546" s="92"/>
      <c r="BY546" s="17"/>
      <c r="BZ546" s="17"/>
      <c r="CA546" s="17"/>
      <c r="CB546" s="17"/>
      <c r="CC546" s="17"/>
      <c r="CD546" s="17"/>
    </row>
    <row r="547">
      <c r="A547" s="92"/>
      <c r="B547" s="820"/>
      <c r="O547" s="17"/>
      <c r="P547" s="17"/>
      <c r="Q547" s="17"/>
      <c r="R547" s="17"/>
      <c r="S547" s="813"/>
      <c r="T547" s="17"/>
      <c r="AX547" s="17"/>
      <c r="BB547" s="17"/>
      <c r="BE547" s="17"/>
      <c r="BF547" s="17"/>
      <c r="BG547" s="17"/>
      <c r="BH547" s="17"/>
      <c r="BI547" s="17"/>
      <c r="BJ547" s="17"/>
      <c r="BK547" s="17"/>
      <c r="BL547" s="92"/>
      <c r="BM547" s="92"/>
      <c r="BN547" s="92"/>
      <c r="BO547" s="92"/>
      <c r="BP547" s="92"/>
      <c r="BQ547" s="818"/>
      <c r="BR547" s="54"/>
      <c r="BS547" s="54"/>
      <c r="BT547" s="818"/>
      <c r="BU547" s="818"/>
      <c r="BV547" s="818"/>
      <c r="BW547" s="92"/>
      <c r="BX547" s="92"/>
      <c r="BY547" s="17"/>
      <c r="BZ547" s="17"/>
      <c r="CA547" s="17"/>
      <c r="CB547" s="17"/>
      <c r="CC547" s="17"/>
      <c r="CD547" s="17"/>
    </row>
    <row r="548">
      <c r="A548" s="92"/>
      <c r="B548" s="820"/>
      <c r="O548" s="17"/>
      <c r="P548" s="17"/>
      <c r="Q548" s="17"/>
      <c r="R548" s="17"/>
      <c r="S548" s="813"/>
      <c r="T548" s="17"/>
      <c r="AX548" s="17"/>
      <c r="BB548" s="17"/>
      <c r="BE548" s="17"/>
      <c r="BF548" s="17"/>
      <c r="BG548" s="17"/>
      <c r="BH548" s="17"/>
      <c r="BI548" s="17"/>
      <c r="BJ548" s="17"/>
      <c r="BK548" s="17"/>
      <c r="BL548" s="92"/>
      <c r="BM548" s="92"/>
      <c r="BN548" s="92"/>
      <c r="BO548" s="92"/>
      <c r="BP548" s="92"/>
      <c r="BQ548" s="818"/>
      <c r="BR548" s="54"/>
      <c r="BS548" s="54"/>
      <c r="BT548" s="818"/>
      <c r="BU548" s="818"/>
      <c r="BV548" s="818"/>
      <c r="BW548" s="92"/>
      <c r="BX548" s="92"/>
      <c r="BY548" s="17"/>
      <c r="BZ548" s="17"/>
      <c r="CA548" s="17"/>
      <c r="CB548" s="17"/>
      <c r="CC548" s="17"/>
      <c r="CD548" s="17"/>
    </row>
    <row r="549">
      <c r="A549" s="92"/>
      <c r="B549" s="820"/>
      <c r="O549" s="17"/>
      <c r="P549" s="17"/>
      <c r="Q549" s="17"/>
      <c r="R549" s="17"/>
      <c r="S549" s="813"/>
      <c r="T549" s="17"/>
      <c r="AX549" s="17"/>
      <c r="BB549" s="17"/>
      <c r="BE549" s="17"/>
      <c r="BF549" s="17"/>
      <c r="BG549" s="17"/>
      <c r="BH549" s="17"/>
      <c r="BI549" s="17"/>
      <c r="BJ549" s="17"/>
      <c r="BK549" s="17"/>
      <c r="BL549" s="92"/>
      <c r="BM549" s="92"/>
      <c r="BN549" s="92"/>
      <c r="BO549" s="92"/>
      <c r="BP549" s="92"/>
      <c r="BQ549" s="818"/>
      <c r="BR549" s="54"/>
      <c r="BS549" s="54"/>
      <c r="BT549" s="818"/>
      <c r="BU549" s="818"/>
      <c r="BV549" s="818"/>
      <c r="BW549" s="92"/>
      <c r="BX549" s="92"/>
      <c r="BY549" s="17"/>
      <c r="BZ549" s="17"/>
      <c r="CA549" s="17"/>
      <c r="CB549" s="17"/>
      <c r="CC549" s="17"/>
      <c r="CD549" s="17"/>
    </row>
    <row r="550">
      <c r="A550" s="92"/>
      <c r="B550" s="820"/>
      <c r="O550" s="17"/>
      <c r="P550" s="17"/>
      <c r="Q550" s="17"/>
      <c r="R550" s="17"/>
      <c r="S550" s="813"/>
      <c r="T550" s="17"/>
      <c r="AX550" s="17"/>
      <c r="BB550" s="17"/>
      <c r="BE550" s="17"/>
      <c r="BF550" s="17"/>
      <c r="BG550" s="17"/>
      <c r="BH550" s="17"/>
      <c r="BI550" s="17"/>
      <c r="BJ550" s="17"/>
      <c r="BK550" s="17"/>
      <c r="BL550" s="92"/>
      <c r="BM550" s="92"/>
      <c r="BN550" s="92"/>
      <c r="BO550" s="92"/>
      <c r="BP550" s="92"/>
      <c r="BQ550" s="818"/>
      <c r="BR550" s="54"/>
      <c r="BS550" s="54"/>
      <c r="BT550" s="818"/>
      <c r="BU550" s="818"/>
      <c r="BV550" s="818"/>
      <c r="BW550" s="92"/>
      <c r="BX550" s="92"/>
      <c r="BY550" s="17"/>
      <c r="BZ550" s="17"/>
      <c r="CA550" s="17"/>
      <c r="CB550" s="17"/>
      <c r="CC550" s="17"/>
      <c r="CD550" s="17"/>
    </row>
    <row r="551">
      <c r="A551" s="92"/>
      <c r="B551" s="820"/>
      <c r="O551" s="17"/>
      <c r="P551" s="17"/>
      <c r="Q551" s="17"/>
      <c r="R551" s="17"/>
      <c r="S551" s="813"/>
      <c r="T551" s="17"/>
      <c r="AX551" s="17"/>
      <c r="BB551" s="17"/>
      <c r="BE551" s="17"/>
      <c r="BF551" s="17"/>
      <c r="BG551" s="17"/>
      <c r="BH551" s="17"/>
      <c r="BI551" s="17"/>
      <c r="BJ551" s="17"/>
      <c r="BK551" s="17"/>
      <c r="BL551" s="92"/>
      <c r="BM551" s="92"/>
      <c r="BN551" s="92"/>
      <c r="BO551" s="92"/>
      <c r="BP551" s="92"/>
      <c r="BQ551" s="818"/>
      <c r="BR551" s="54"/>
      <c r="BS551" s="54"/>
      <c r="BT551" s="818"/>
      <c r="BU551" s="818"/>
      <c r="BV551" s="818"/>
      <c r="BW551" s="92"/>
      <c r="BX551" s="92"/>
      <c r="BY551" s="17"/>
      <c r="BZ551" s="17"/>
      <c r="CA551" s="17"/>
      <c r="CB551" s="17"/>
      <c r="CC551" s="17"/>
      <c r="CD551" s="17"/>
    </row>
    <row r="552">
      <c r="A552" s="92"/>
      <c r="B552" s="820"/>
      <c r="O552" s="17"/>
      <c r="P552" s="17"/>
      <c r="Q552" s="17"/>
      <c r="R552" s="17"/>
      <c r="S552" s="813"/>
      <c r="T552" s="17"/>
      <c r="AX552" s="17"/>
      <c r="BB552" s="17"/>
      <c r="BE552" s="17"/>
      <c r="BF552" s="17"/>
      <c r="BG552" s="17"/>
      <c r="BH552" s="17"/>
      <c r="BI552" s="17"/>
      <c r="BJ552" s="17"/>
      <c r="BK552" s="17"/>
      <c r="BL552" s="92"/>
      <c r="BM552" s="92"/>
      <c r="BN552" s="92"/>
      <c r="BO552" s="92"/>
      <c r="BP552" s="92"/>
      <c r="BQ552" s="818"/>
      <c r="BR552" s="54"/>
      <c r="BS552" s="54"/>
      <c r="BT552" s="818"/>
      <c r="BU552" s="818"/>
      <c r="BV552" s="818"/>
      <c r="BW552" s="92"/>
      <c r="BX552" s="92"/>
      <c r="BY552" s="17"/>
      <c r="BZ552" s="17"/>
      <c r="CA552" s="17"/>
      <c r="CB552" s="17"/>
      <c r="CC552" s="17"/>
      <c r="CD552" s="17"/>
    </row>
    <row r="553">
      <c r="A553" s="92"/>
      <c r="B553" s="820"/>
      <c r="O553" s="17"/>
      <c r="P553" s="17"/>
      <c r="Q553" s="17"/>
      <c r="R553" s="17"/>
      <c r="S553" s="813"/>
      <c r="T553" s="17"/>
      <c r="AX553" s="17"/>
      <c r="BB553" s="17"/>
      <c r="BE553" s="17"/>
      <c r="BF553" s="17"/>
      <c r="BG553" s="17"/>
      <c r="BH553" s="17"/>
      <c r="BI553" s="17"/>
      <c r="BJ553" s="17"/>
      <c r="BK553" s="17"/>
      <c r="BL553" s="92"/>
      <c r="BM553" s="92"/>
      <c r="BN553" s="92"/>
      <c r="BO553" s="92"/>
      <c r="BP553" s="92"/>
      <c r="BQ553" s="818"/>
      <c r="BR553" s="54"/>
      <c r="BS553" s="54"/>
      <c r="BT553" s="818"/>
      <c r="BU553" s="818"/>
      <c r="BV553" s="818"/>
      <c r="BW553" s="92"/>
      <c r="BX553" s="92"/>
      <c r="BY553" s="17"/>
      <c r="BZ553" s="17"/>
      <c r="CA553" s="17"/>
      <c r="CB553" s="17"/>
      <c r="CC553" s="17"/>
      <c r="CD553" s="17"/>
    </row>
    <row r="554">
      <c r="A554" s="92"/>
      <c r="B554" s="820"/>
      <c r="O554" s="17"/>
      <c r="P554" s="17"/>
      <c r="Q554" s="17"/>
      <c r="R554" s="17"/>
      <c r="S554" s="813"/>
      <c r="T554" s="17"/>
      <c r="AX554" s="17"/>
      <c r="BB554" s="17"/>
      <c r="BE554" s="17"/>
      <c r="BF554" s="17"/>
      <c r="BG554" s="17"/>
      <c r="BH554" s="17"/>
      <c r="BI554" s="17"/>
      <c r="BJ554" s="17"/>
      <c r="BK554" s="17"/>
      <c r="BL554" s="92"/>
      <c r="BM554" s="92"/>
      <c r="BN554" s="92"/>
      <c r="BO554" s="92"/>
      <c r="BP554" s="92"/>
      <c r="BQ554" s="818"/>
      <c r="BR554" s="54"/>
      <c r="BS554" s="54"/>
      <c r="BT554" s="818"/>
      <c r="BU554" s="818"/>
      <c r="BV554" s="818"/>
      <c r="BW554" s="92"/>
      <c r="BX554" s="92"/>
      <c r="BY554" s="17"/>
      <c r="BZ554" s="17"/>
      <c r="CA554" s="17"/>
      <c r="CB554" s="17"/>
      <c r="CC554" s="17"/>
      <c r="CD554" s="17"/>
    </row>
    <row r="555">
      <c r="A555" s="92"/>
      <c r="B555" s="820"/>
      <c r="O555" s="17"/>
      <c r="P555" s="17"/>
      <c r="Q555" s="17"/>
      <c r="R555" s="17"/>
      <c r="S555" s="813"/>
      <c r="T555" s="17"/>
      <c r="AX555" s="17"/>
      <c r="BB555" s="17"/>
      <c r="BE555" s="17"/>
      <c r="BF555" s="17"/>
      <c r="BG555" s="17"/>
      <c r="BH555" s="17"/>
      <c r="BI555" s="17"/>
      <c r="BJ555" s="17"/>
      <c r="BK555" s="17"/>
      <c r="BL555" s="92"/>
      <c r="BM555" s="92"/>
      <c r="BN555" s="92"/>
      <c r="BO555" s="92"/>
      <c r="BP555" s="92"/>
      <c r="BQ555" s="818"/>
      <c r="BR555" s="54"/>
      <c r="BS555" s="54"/>
      <c r="BT555" s="818"/>
      <c r="BU555" s="818"/>
      <c r="BV555" s="818"/>
      <c r="BW555" s="92"/>
      <c r="BX555" s="92"/>
      <c r="BY555" s="17"/>
      <c r="BZ555" s="17"/>
      <c r="CA555" s="17"/>
      <c r="CB555" s="17"/>
      <c r="CC555" s="17"/>
      <c r="CD555" s="17"/>
    </row>
    <row r="556">
      <c r="A556" s="92"/>
      <c r="B556" s="820"/>
      <c r="O556" s="17"/>
      <c r="P556" s="17"/>
      <c r="Q556" s="17"/>
      <c r="R556" s="17"/>
      <c r="S556" s="813"/>
      <c r="T556" s="17"/>
      <c r="AX556" s="17"/>
      <c r="BB556" s="17"/>
      <c r="BE556" s="17"/>
      <c r="BF556" s="17"/>
      <c r="BG556" s="17"/>
      <c r="BH556" s="17"/>
      <c r="BI556" s="17"/>
      <c r="BJ556" s="17"/>
      <c r="BK556" s="17"/>
      <c r="BL556" s="92"/>
      <c r="BM556" s="92"/>
      <c r="BN556" s="92"/>
      <c r="BO556" s="92"/>
      <c r="BP556" s="92"/>
      <c r="BQ556" s="818"/>
      <c r="BR556" s="54"/>
      <c r="BS556" s="54"/>
      <c r="BT556" s="818"/>
      <c r="BU556" s="818"/>
      <c r="BV556" s="818"/>
      <c r="BW556" s="92"/>
      <c r="BX556" s="92"/>
      <c r="BY556" s="17"/>
      <c r="BZ556" s="17"/>
      <c r="CA556" s="17"/>
      <c r="CB556" s="17"/>
      <c r="CC556" s="17"/>
      <c r="CD556" s="17"/>
    </row>
    <row r="557">
      <c r="A557" s="92"/>
      <c r="B557" s="820"/>
      <c r="O557" s="17"/>
      <c r="P557" s="17"/>
      <c r="Q557" s="17"/>
      <c r="R557" s="17"/>
      <c r="S557" s="813"/>
      <c r="T557" s="17"/>
      <c r="AX557" s="17"/>
      <c r="BB557" s="17"/>
      <c r="BE557" s="17"/>
      <c r="BF557" s="17"/>
      <c r="BG557" s="17"/>
      <c r="BH557" s="17"/>
      <c r="BI557" s="17"/>
      <c r="BJ557" s="17"/>
      <c r="BK557" s="17"/>
      <c r="BL557" s="92"/>
      <c r="BM557" s="92"/>
      <c r="BN557" s="92"/>
      <c r="BO557" s="92"/>
      <c r="BP557" s="92"/>
      <c r="BQ557" s="818"/>
      <c r="BR557" s="54"/>
      <c r="BS557" s="54"/>
      <c r="BT557" s="818"/>
      <c r="BU557" s="818"/>
      <c r="BV557" s="818"/>
      <c r="BW557" s="92"/>
      <c r="BX557" s="92"/>
      <c r="BY557" s="17"/>
      <c r="BZ557" s="17"/>
      <c r="CA557" s="17"/>
      <c r="CB557" s="17"/>
      <c r="CC557" s="17"/>
      <c r="CD557" s="17"/>
    </row>
    <row r="558">
      <c r="A558" s="92"/>
      <c r="B558" s="820"/>
      <c r="O558" s="17"/>
      <c r="P558" s="17"/>
      <c r="Q558" s="17"/>
      <c r="R558" s="17"/>
      <c r="S558" s="813"/>
      <c r="T558" s="17"/>
      <c r="AX558" s="17"/>
      <c r="BB558" s="17"/>
      <c r="BE558" s="17"/>
      <c r="BF558" s="17"/>
      <c r="BG558" s="17"/>
      <c r="BH558" s="17"/>
      <c r="BI558" s="17"/>
      <c r="BJ558" s="17"/>
      <c r="BK558" s="17"/>
      <c r="BL558" s="92"/>
      <c r="BM558" s="92"/>
      <c r="BN558" s="92"/>
      <c r="BO558" s="92"/>
      <c r="BP558" s="92"/>
      <c r="BQ558" s="818"/>
      <c r="BR558" s="54"/>
      <c r="BS558" s="54"/>
      <c r="BT558" s="818"/>
      <c r="BU558" s="818"/>
      <c r="BV558" s="818"/>
      <c r="BW558" s="92"/>
      <c r="BX558" s="92"/>
      <c r="BY558" s="17"/>
      <c r="BZ558" s="17"/>
      <c r="CA558" s="17"/>
      <c r="CB558" s="17"/>
      <c r="CC558" s="17"/>
      <c r="CD558" s="17"/>
    </row>
    <row r="559">
      <c r="A559" s="92"/>
      <c r="B559" s="820"/>
      <c r="O559" s="17"/>
      <c r="P559" s="17"/>
      <c r="Q559" s="17"/>
      <c r="R559" s="17"/>
      <c r="S559" s="813"/>
      <c r="T559" s="17"/>
      <c r="AX559" s="17"/>
      <c r="BB559" s="17"/>
      <c r="BE559" s="17"/>
      <c r="BF559" s="17"/>
      <c r="BG559" s="17"/>
      <c r="BH559" s="17"/>
      <c r="BI559" s="17"/>
      <c r="BJ559" s="17"/>
      <c r="BK559" s="17"/>
      <c r="BL559" s="92"/>
      <c r="BM559" s="92"/>
      <c r="BN559" s="92"/>
      <c r="BO559" s="92"/>
      <c r="BP559" s="92"/>
      <c r="BQ559" s="818"/>
      <c r="BR559" s="54"/>
      <c r="BS559" s="54"/>
      <c r="BT559" s="818"/>
      <c r="BU559" s="818"/>
      <c r="BV559" s="818"/>
      <c r="BW559" s="92"/>
      <c r="BX559" s="92"/>
      <c r="BY559" s="17"/>
      <c r="BZ559" s="17"/>
      <c r="CA559" s="17"/>
      <c r="CB559" s="17"/>
      <c r="CC559" s="17"/>
      <c r="CD559" s="17"/>
    </row>
    <row r="560">
      <c r="A560" s="92"/>
      <c r="B560" s="820"/>
      <c r="O560" s="17"/>
      <c r="P560" s="17"/>
      <c r="Q560" s="17"/>
      <c r="R560" s="17"/>
      <c r="S560" s="813"/>
      <c r="T560" s="17"/>
      <c r="AX560" s="17"/>
      <c r="BB560" s="17"/>
      <c r="BE560" s="17"/>
      <c r="BF560" s="17"/>
      <c r="BG560" s="17"/>
      <c r="BH560" s="17"/>
      <c r="BI560" s="17"/>
      <c r="BJ560" s="17"/>
      <c r="BK560" s="17"/>
      <c r="BL560" s="92"/>
      <c r="BM560" s="92"/>
      <c r="BN560" s="92"/>
      <c r="BO560" s="92"/>
      <c r="BP560" s="92"/>
      <c r="BQ560" s="818"/>
      <c r="BR560" s="54"/>
      <c r="BS560" s="54"/>
      <c r="BT560" s="818"/>
      <c r="BU560" s="818"/>
      <c r="BV560" s="818"/>
      <c r="BW560" s="92"/>
      <c r="BX560" s="92"/>
      <c r="BY560" s="17"/>
      <c r="BZ560" s="17"/>
      <c r="CA560" s="17"/>
      <c r="CB560" s="17"/>
      <c r="CC560" s="17"/>
      <c r="CD560" s="17"/>
    </row>
    <row r="561">
      <c r="A561" s="92"/>
      <c r="B561" s="820"/>
      <c r="O561" s="17"/>
      <c r="P561" s="17"/>
      <c r="Q561" s="17"/>
      <c r="R561" s="17"/>
      <c r="S561" s="813"/>
      <c r="T561" s="17"/>
      <c r="AX561" s="17"/>
      <c r="BB561" s="17"/>
      <c r="BE561" s="17"/>
      <c r="BF561" s="17"/>
      <c r="BG561" s="17"/>
      <c r="BH561" s="17"/>
      <c r="BI561" s="17"/>
      <c r="BJ561" s="17"/>
      <c r="BK561" s="17"/>
      <c r="BL561" s="92"/>
      <c r="BM561" s="92"/>
      <c r="BN561" s="92"/>
      <c r="BO561" s="92"/>
      <c r="BP561" s="92"/>
      <c r="BQ561" s="818"/>
      <c r="BR561" s="54"/>
      <c r="BS561" s="54"/>
      <c r="BT561" s="818"/>
      <c r="BU561" s="818"/>
      <c r="BV561" s="818"/>
      <c r="BW561" s="92"/>
      <c r="BX561" s="92"/>
      <c r="BY561" s="17"/>
      <c r="BZ561" s="17"/>
      <c r="CA561" s="17"/>
      <c r="CB561" s="17"/>
      <c r="CC561" s="17"/>
      <c r="CD561" s="17"/>
    </row>
    <row r="562">
      <c r="A562" s="92"/>
      <c r="B562" s="820"/>
      <c r="O562" s="17"/>
      <c r="P562" s="17"/>
      <c r="Q562" s="17"/>
      <c r="R562" s="17"/>
      <c r="S562" s="813"/>
      <c r="T562" s="17"/>
      <c r="AX562" s="17"/>
      <c r="BB562" s="17"/>
      <c r="BE562" s="17"/>
      <c r="BF562" s="17"/>
      <c r="BG562" s="17"/>
      <c r="BH562" s="17"/>
      <c r="BI562" s="17"/>
      <c r="BJ562" s="17"/>
      <c r="BK562" s="17"/>
      <c r="BL562" s="92"/>
      <c r="BM562" s="92"/>
      <c r="BN562" s="92"/>
      <c r="BO562" s="92"/>
      <c r="BP562" s="92"/>
      <c r="BQ562" s="818"/>
      <c r="BR562" s="54"/>
      <c r="BS562" s="54"/>
      <c r="BT562" s="818"/>
      <c r="BU562" s="818"/>
      <c r="BV562" s="818"/>
      <c r="BW562" s="92"/>
      <c r="BX562" s="92"/>
      <c r="BY562" s="17"/>
      <c r="BZ562" s="17"/>
      <c r="CA562" s="17"/>
      <c r="CB562" s="17"/>
      <c r="CC562" s="17"/>
      <c r="CD562" s="17"/>
    </row>
    <row r="563">
      <c r="A563" s="92"/>
      <c r="B563" s="820"/>
      <c r="O563" s="17"/>
      <c r="P563" s="17"/>
      <c r="Q563" s="17"/>
      <c r="R563" s="17"/>
      <c r="S563" s="813"/>
      <c r="T563" s="17"/>
      <c r="AX563" s="17"/>
      <c r="BB563" s="17"/>
      <c r="BE563" s="17"/>
      <c r="BF563" s="17"/>
      <c r="BG563" s="17"/>
      <c r="BH563" s="17"/>
      <c r="BI563" s="17"/>
      <c r="BJ563" s="17"/>
      <c r="BK563" s="17"/>
      <c r="BL563" s="92"/>
      <c r="BM563" s="92"/>
      <c r="BN563" s="92"/>
      <c r="BO563" s="92"/>
      <c r="BP563" s="92"/>
      <c r="BQ563" s="818"/>
      <c r="BR563" s="54"/>
      <c r="BS563" s="54"/>
      <c r="BT563" s="818"/>
      <c r="BU563" s="818"/>
      <c r="BV563" s="818"/>
      <c r="BW563" s="92"/>
      <c r="BX563" s="92"/>
      <c r="BY563" s="17"/>
      <c r="BZ563" s="17"/>
      <c r="CA563" s="17"/>
      <c r="CB563" s="17"/>
      <c r="CC563" s="17"/>
      <c r="CD563" s="17"/>
    </row>
    <row r="564">
      <c r="A564" s="92"/>
      <c r="B564" s="820"/>
      <c r="O564" s="17"/>
      <c r="P564" s="17"/>
      <c r="Q564" s="17"/>
      <c r="R564" s="17"/>
      <c r="S564" s="813"/>
      <c r="T564" s="17"/>
      <c r="AX564" s="17"/>
      <c r="BB564" s="17"/>
      <c r="BE564" s="17"/>
      <c r="BF564" s="17"/>
      <c r="BG564" s="17"/>
      <c r="BH564" s="17"/>
      <c r="BI564" s="17"/>
      <c r="BJ564" s="17"/>
      <c r="BK564" s="17"/>
      <c r="BL564" s="92"/>
      <c r="BM564" s="92"/>
      <c r="BN564" s="92"/>
      <c r="BO564" s="92"/>
      <c r="BP564" s="92"/>
      <c r="BQ564" s="818"/>
      <c r="BR564" s="54"/>
      <c r="BS564" s="54"/>
      <c r="BT564" s="818"/>
      <c r="BU564" s="818"/>
      <c r="BV564" s="818"/>
      <c r="BW564" s="92"/>
      <c r="BX564" s="92"/>
      <c r="BY564" s="17"/>
      <c r="BZ564" s="17"/>
      <c r="CA564" s="17"/>
      <c r="CB564" s="17"/>
      <c r="CC564" s="17"/>
      <c r="CD564" s="17"/>
    </row>
    <row r="565">
      <c r="A565" s="92"/>
      <c r="B565" s="820"/>
      <c r="O565" s="17"/>
      <c r="P565" s="17"/>
      <c r="Q565" s="17"/>
      <c r="R565" s="17"/>
      <c r="S565" s="813"/>
      <c r="T565" s="17"/>
      <c r="AX565" s="17"/>
      <c r="BB565" s="17"/>
      <c r="BE565" s="17"/>
      <c r="BF565" s="17"/>
      <c r="BG565" s="17"/>
      <c r="BH565" s="17"/>
      <c r="BI565" s="17"/>
      <c r="BJ565" s="17"/>
      <c r="BK565" s="17"/>
      <c r="BL565" s="92"/>
      <c r="BM565" s="92"/>
      <c r="BN565" s="92"/>
      <c r="BO565" s="92"/>
      <c r="BP565" s="92"/>
      <c r="BQ565" s="818"/>
      <c r="BR565" s="54"/>
      <c r="BS565" s="54"/>
      <c r="BT565" s="818"/>
      <c r="BU565" s="818"/>
      <c r="BV565" s="818"/>
      <c r="BW565" s="92"/>
      <c r="BX565" s="92"/>
      <c r="BY565" s="17"/>
      <c r="BZ565" s="17"/>
      <c r="CA565" s="17"/>
      <c r="CB565" s="17"/>
      <c r="CC565" s="17"/>
      <c r="CD565" s="17"/>
    </row>
    <row r="566">
      <c r="A566" s="92"/>
      <c r="B566" s="820"/>
      <c r="O566" s="17"/>
      <c r="P566" s="17"/>
      <c r="Q566" s="17"/>
      <c r="R566" s="17"/>
      <c r="S566" s="813"/>
      <c r="T566" s="17"/>
      <c r="AX566" s="17"/>
      <c r="BB566" s="17"/>
      <c r="BE566" s="17"/>
      <c r="BF566" s="17"/>
      <c r="BG566" s="17"/>
      <c r="BH566" s="17"/>
      <c r="BI566" s="17"/>
      <c r="BJ566" s="17"/>
      <c r="BK566" s="17"/>
      <c r="BL566" s="92"/>
      <c r="BM566" s="92"/>
      <c r="BN566" s="92"/>
      <c r="BO566" s="92"/>
      <c r="BP566" s="92"/>
      <c r="BQ566" s="818"/>
      <c r="BR566" s="54"/>
      <c r="BS566" s="54"/>
      <c r="BT566" s="818"/>
      <c r="BU566" s="818"/>
      <c r="BV566" s="818"/>
      <c r="BW566" s="92"/>
      <c r="BX566" s="92"/>
      <c r="BY566" s="17"/>
      <c r="BZ566" s="17"/>
      <c r="CA566" s="17"/>
      <c r="CB566" s="17"/>
      <c r="CC566" s="17"/>
      <c r="CD566" s="17"/>
    </row>
    <row r="567">
      <c r="A567" s="92"/>
      <c r="B567" s="820"/>
      <c r="O567" s="17"/>
      <c r="P567" s="17"/>
      <c r="Q567" s="17"/>
      <c r="R567" s="17"/>
      <c r="S567" s="813"/>
      <c r="T567" s="17"/>
      <c r="AX567" s="17"/>
      <c r="BB567" s="17"/>
      <c r="BE567" s="17"/>
      <c r="BF567" s="17"/>
      <c r="BG567" s="17"/>
      <c r="BH567" s="17"/>
      <c r="BI567" s="17"/>
      <c r="BJ567" s="17"/>
      <c r="BK567" s="17"/>
      <c r="BL567" s="92"/>
      <c r="BM567" s="92"/>
      <c r="BN567" s="92"/>
      <c r="BO567" s="92"/>
      <c r="BP567" s="92"/>
      <c r="BQ567" s="818"/>
      <c r="BR567" s="54"/>
      <c r="BS567" s="54"/>
      <c r="BT567" s="818"/>
      <c r="BU567" s="818"/>
      <c r="BV567" s="818"/>
      <c r="BW567" s="92"/>
      <c r="BX567" s="92"/>
      <c r="BY567" s="17"/>
      <c r="BZ567" s="17"/>
      <c r="CA567" s="17"/>
      <c r="CB567" s="17"/>
      <c r="CC567" s="17"/>
      <c r="CD567" s="17"/>
    </row>
    <row r="568">
      <c r="A568" s="92"/>
      <c r="B568" s="820"/>
      <c r="O568" s="17"/>
      <c r="P568" s="17"/>
      <c r="Q568" s="17"/>
      <c r="R568" s="17"/>
      <c r="S568" s="813"/>
      <c r="T568" s="17"/>
      <c r="AX568" s="17"/>
      <c r="BB568" s="17"/>
      <c r="BE568" s="17"/>
      <c r="BF568" s="17"/>
      <c r="BG568" s="17"/>
      <c r="BH568" s="17"/>
      <c r="BI568" s="17"/>
      <c r="BJ568" s="17"/>
      <c r="BK568" s="17"/>
      <c r="BL568" s="92"/>
      <c r="BM568" s="92"/>
      <c r="BN568" s="92"/>
      <c r="BO568" s="92"/>
      <c r="BP568" s="92"/>
      <c r="BQ568" s="818"/>
      <c r="BR568" s="54"/>
      <c r="BS568" s="54"/>
      <c r="BT568" s="818"/>
      <c r="BU568" s="818"/>
      <c r="BV568" s="818"/>
      <c r="BW568" s="92"/>
      <c r="BX568" s="92"/>
      <c r="BY568" s="17"/>
      <c r="BZ568" s="17"/>
      <c r="CA568" s="17"/>
      <c r="CB568" s="17"/>
      <c r="CC568" s="17"/>
      <c r="CD568" s="17"/>
    </row>
    <row r="569">
      <c r="A569" s="92"/>
      <c r="B569" s="820"/>
      <c r="O569" s="17"/>
      <c r="P569" s="17"/>
      <c r="Q569" s="17"/>
      <c r="R569" s="17"/>
      <c r="S569" s="813"/>
      <c r="T569" s="17"/>
      <c r="AX569" s="17"/>
      <c r="BB569" s="17"/>
      <c r="BE569" s="17"/>
      <c r="BF569" s="17"/>
      <c r="BG569" s="17"/>
      <c r="BH569" s="17"/>
      <c r="BI569" s="17"/>
      <c r="BJ569" s="17"/>
      <c r="BK569" s="17"/>
      <c r="BL569" s="92"/>
      <c r="BM569" s="92"/>
      <c r="BN569" s="92"/>
      <c r="BO569" s="92"/>
      <c r="BP569" s="92"/>
      <c r="BQ569" s="818"/>
      <c r="BR569" s="54"/>
      <c r="BS569" s="54"/>
      <c r="BT569" s="818"/>
      <c r="BU569" s="818"/>
      <c r="BV569" s="818"/>
      <c r="BW569" s="92"/>
      <c r="BX569" s="92"/>
      <c r="BY569" s="17"/>
      <c r="BZ569" s="17"/>
      <c r="CA569" s="17"/>
      <c r="CB569" s="17"/>
      <c r="CC569" s="17"/>
      <c r="CD569" s="17"/>
    </row>
    <row r="570">
      <c r="A570" s="92"/>
      <c r="B570" s="820"/>
      <c r="O570" s="17"/>
      <c r="P570" s="17"/>
      <c r="Q570" s="17"/>
      <c r="R570" s="17"/>
      <c r="S570" s="813"/>
      <c r="T570" s="17"/>
      <c r="AX570" s="17"/>
      <c r="BB570" s="17"/>
      <c r="BE570" s="17"/>
      <c r="BF570" s="17"/>
      <c r="BG570" s="17"/>
      <c r="BH570" s="17"/>
      <c r="BI570" s="17"/>
      <c r="BJ570" s="17"/>
      <c r="BK570" s="17"/>
      <c r="BL570" s="92"/>
      <c r="BM570" s="92"/>
      <c r="BN570" s="92"/>
      <c r="BO570" s="92"/>
      <c r="BP570" s="92"/>
      <c r="BQ570" s="818"/>
      <c r="BR570" s="54"/>
      <c r="BS570" s="54"/>
      <c r="BT570" s="818"/>
      <c r="BU570" s="818"/>
      <c r="BV570" s="818"/>
      <c r="BW570" s="92"/>
      <c r="BX570" s="92"/>
      <c r="BY570" s="17"/>
      <c r="BZ570" s="17"/>
      <c r="CA570" s="17"/>
      <c r="CB570" s="17"/>
      <c r="CC570" s="17"/>
      <c r="CD570" s="17"/>
    </row>
    <row r="571">
      <c r="A571" s="92"/>
      <c r="B571" s="820"/>
      <c r="O571" s="17"/>
      <c r="P571" s="17"/>
      <c r="Q571" s="17"/>
      <c r="R571" s="17"/>
      <c r="S571" s="813"/>
      <c r="T571" s="17"/>
      <c r="AX571" s="17"/>
      <c r="BB571" s="17"/>
      <c r="BE571" s="17"/>
      <c r="BF571" s="17"/>
      <c r="BG571" s="17"/>
      <c r="BH571" s="17"/>
      <c r="BI571" s="17"/>
      <c r="BJ571" s="17"/>
      <c r="BK571" s="17"/>
      <c r="BL571" s="92"/>
      <c r="BM571" s="92"/>
      <c r="BN571" s="92"/>
      <c r="BO571" s="92"/>
      <c r="BP571" s="92"/>
      <c r="BQ571" s="818"/>
      <c r="BR571" s="54"/>
      <c r="BS571" s="54"/>
      <c r="BT571" s="818"/>
      <c r="BU571" s="818"/>
      <c r="BV571" s="818"/>
      <c r="BW571" s="92"/>
      <c r="BX571" s="92"/>
      <c r="BY571" s="17"/>
      <c r="BZ571" s="17"/>
      <c r="CA571" s="17"/>
      <c r="CB571" s="17"/>
      <c r="CC571" s="17"/>
      <c r="CD571" s="17"/>
    </row>
    <row r="572">
      <c r="A572" s="92"/>
      <c r="B572" s="820"/>
      <c r="O572" s="17"/>
      <c r="P572" s="17"/>
      <c r="Q572" s="17"/>
      <c r="R572" s="17"/>
      <c r="S572" s="813"/>
      <c r="T572" s="17"/>
      <c r="AX572" s="17"/>
      <c r="BB572" s="17"/>
      <c r="BE572" s="17"/>
      <c r="BF572" s="17"/>
      <c r="BG572" s="17"/>
      <c r="BH572" s="17"/>
      <c r="BI572" s="17"/>
      <c r="BJ572" s="17"/>
      <c r="BK572" s="17"/>
      <c r="BL572" s="92"/>
      <c r="BM572" s="92"/>
      <c r="BN572" s="92"/>
      <c r="BO572" s="92"/>
      <c r="BP572" s="92"/>
      <c r="BQ572" s="818"/>
      <c r="BR572" s="54"/>
      <c r="BS572" s="54"/>
      <c r="BT572" s="818"/>
      <c r="BU572" s="818"/>
      <c r="BV572" s="818"/>
      <c r="BW572" s="92"/>
      <c r="BX572" s="92"/>
      <c r="BY572" s="17"/>
      <c r="BZ572" s="17"/>
      <c r="CA572" s="17"/>
      <c r="CB572" s="17"/>
      <c r="CC572" s="17"/>
      <c r="CD572" s="17"/>
    </row>
    <row r="573">
      <c r="A573" s="92"/>
      <c r="B573" s="820"/>
      <c r="O573" s="17"/>
      <c r="P573" s="17"/>
      <c r="Q573" s="17"/>
      <c r="R573" s="17"/>
      <c r="S573" s="813"/>
      <c r="T573" s="17"/>
      <c r="AX573" s="17"/>
      <c r="BB573" s="17"/>
      <c r="BE573" s="17"/>
      <c r="BF573" s="17"/>
      <c r="BG573" s="17"/>
      <c r="BH573" s="17"/>
      <c r="BI573" s="17"/>
      <c r="BJ573" s="17"/>
      <c r="BK573" s="17"/>
      <c r="BL573" s="92"/>
      <c r="BM573" s="92"/>
      <c r="BN573" s="92"/>
      <c r="BO573" s="92"/>
      <c r="BP573" s="92"/>
      <c r="BQ573" s="818"/>
      <c r="BR573" s="54"/>
      <c r="BS573" s="54"/>
      <c r="BT573" s="818"/>
      <c r="BU573" s="818"/>
      <c r="BV573" s="818"/>
      <c r="BW573" s="92"/>
      <c r="BX573" s="92"/>
      <c r="BY573" s="17"/>
      <c r="BZ573" s="17"/>
      <c r="CA573" s="17"/>
      <c r="CB573" s="17"/>
      <c r="CC573" s="17"/>
      <c r="CD573" s="17"/>
    </row>
    <row r="574">
      <c r="A574" s="92"/>
      <c r="B574" s="820"/>
      <c r="O574" s="17"/>
      <c r="P574" s="17"/>
      <c r="Q574" s="17"/>
      <c r="R574" s="17"/>
      <c r="S574" s="813"/>
      <c r="T574" s="17"/>
      <c r="AX574" s="17"/>
      <c r="BB574" s="17"/>
      <c r="BE574" s="17"/>
      <c r="BF574" s="17"/>
      <c r="BG574" s="17"/>
      <c r="BH574" s="17"/>
      <c r="BI574" s="17"/>
      <c r="BJ574" s="17"/>
      <c r="BK574" s="17"/>
      <c r="BL574" s="92"/>
      <c r="BM574" s="92"/>
      <c r="BN574" s="92"/>
      <c r="BO574" s="92"/>
      <c r="BP574" s="92"/>
      <c r="BQ574" s="818"/>
      <c r="BR574" s="54"/>
      <c r="BS574" s="54"/>
      <c r="BT574" s="818"/>
      <c r="BU574" s="818"/>
      <c r="BV574" s="818"/>
      <c r="BW574" s="92"/>
      <c r="BX574" s="92"/>
      <c r="BY574" s="17"/>
      <c r="BZ574" s="17"/>
      <c r="CA574" s="17"/>
      <c r="CB574" s="17"/>
      <c r="CC574" s="17"/>
      <c r="CD574" s="17"/>
    </row>
    <row r="575">
      <c r="A575" s="92"/>
      <c r="B575" s="820"/>
      <c r="O575" s="17"/>
      <c r="P575" s="17"/>
      <c r="Q575" s="17"/>
      <c r="R575" s="17"/>
      <c r="S575" s="813"/>
      <c r="T575" s="17"/>
      <c r="AX575" s="17"/>
      <c r="BB575" s="17"/>
      <c r="BE575" s="17"/>
      <c r="BF575" s="17"/>
      <c r="BG575" s="17"/>
      <c r="BH575" s="17"/>
      <c r="BI575" s="17"/>
      <c r="BJ575" s="17"/>
      <c r="BK575" s="17"/>
      <c r="BL575" s="92"/>
      <c r="BM575" s="92"/>
      <c r="BN575" s="92"/>
      <c r="BO575" s="92"/>
      <c r="BP575" s="92"/>
      <c r="BQ575" s="818"/>
      <c r="BR575" s="54"/>
      <c r="BS575" s="54"/>
      <c r="BT575" s="818"/>
      <c r="BU575" s="818"/>
      <c r="BV575" s="818"/>
      <c r="BW575" s="92"/>
      <c r="BX575" s="92"/>
      <c r="BY575" s="17"/>
      <c r="BZ575" s="17"/>
      <c r="CA575" s="17"/>
      <c r="CB575" s="17"/>
      <c r="CC575" s="17"/>
      <c r="CD575" s="17"/>
    </row>
    <row r="576">
      <c r="A576" s="92"/>
      <c r="B576" s="820"/>
      <c r="O576" s="17"/>
      <c r="P576" s="17"/>
      <c r="Q576" s="17"/>
      <c r="R576" s="17"/>
      <c r="S576" s="813"/>
      <c r="T576" s="17"/>
      <c r="AX576" s="17"/>
      <c r="BB576" s="17"/>
      <c r="BE576" s="17"/>
      <c r="BF576" s="17"/>
      <c r="BG576" s="17"/>
      <c r="BH576" s="17"/>
      <c r="BI576" s="17"/>
      <c r="BJ576" s="17"/>
      <c r="BK576" s="17"/>
      <c r="BL576" s="92"/>
      <c r="BM576" s="92"/>
      <c r="BN576" s="92"/>
      <c r="BO576" s="92"/>
      <c r="BP576" s="92"/>
      <c r="BQ576" s="818"/>
      <c r="BR576" s="54"/>
      <c r="BS576" s="54"/>
      <c r="BT576" s="818"/>
      <c r="BU576" s="818"/>
      <c r="BV576" s="818"/>
      <c r="BW576" s="92"/>
      <c r="BX576" s="92"/>
      <c r="BY576" s="17"/>
      <c r="BZ576" s="17"/>
      <c r="CA576" s="17"/>
      <c r="CB576" s="17"/>
      <c r="CC576" s="17"/>
      <c r="CD576" s="17"/>
    </row>
    <row r="577">
      <c r="A577" s="92"/>
      <c r="B577" s="820"/>
      <c r="O577" s="17"/>
      <c r="P577" s="17"/>
      <c r="Q577" s="17"/>
      <c r="R577" s="17"/>
      <c r="S577" s="813"/>
      <c r="T577" s="17"/>
      <c r="AX577" s="17"/>
      <c r="BB577" s="17"/>
      <c r="BE577" s="17"/>
      <c r="BF577" s="17"/>
      <c r="BG577" s="17"/>
      <c r="BH577" s="17"/>
      <c r="BI577" s="17"/>
      <c r="BJ577" s="17"/>
      <c r="BK577" s="17"/>
      <c r="BL577" s="92"/>
      <c r="BM577" s="92"/>
      <c r="BN577" s="92"/>
      <c r="BO577" s="92"/>
      <c r="BP577" s="92"/>
      <c r="BQ577" s="818"/>
      <c r="BR577" s="54"/>
      <c r="BS577" s="54"/>
      <c r="BT577" s="818"/>
      <c r="BU577" s="818"/>
      <c r="BV577" s="818"/>
      <c r="BW577" s="92"/>
      <c r="BX577" s="92"/>
      <c r="BY577" s="17"/>
      <c r="BZ577" s="17"/>
      <c r="CA577" s="17"/>
      <c r="CB577" s="17"/>
      <c r="CC577" s="17"/>
      <c r="CD577" s="17"/>
    </row>
    <row r="578">
      <c r="A578" s="92"/>
      <c r="B578" s="820"/>
      <c r="O578" s="17"/>
      <c r="P578" s="17"/>
      <c r="Q578" s="17"/>
      <c r="R578" s="17"/>
      <c r="S578" s="813"/>
      <c r="T578" s="17"/>
      <c r="AX578" s="17"/>
      <c r="BB578" s="17"/>
      <c r="BE578" s="17"/>
      <c r="BF578" s="17"/>
      <c r="BG578" s="17"/>
      <c r="BH578" s="17"/>
      <c r="BI578" s="17"/>
      <c r="BJ578" s="17"/>
      <c r="BK578" s="17"/>
      <c r="BL578" s="92"/>
      <c r="BM578" s="92"/>
      <c r="BN578" s="92"/>
      <c r="BO578" s="92"/>
      <c r="BP578" s="92"/>
      <c r="BQ578" s="818"/>
      <c r="BR578" s="54"/>
      <c r="BS578" s="54"/>
      <c r="BT578" s="818"/>
      <c r="BU578" s="818"/>
      <c r="BV578" s="818"/>
      <c r="BW578" s="92"/>
      <c r="BX578" s="92"/>
      <c r="BY578" s="17"/>
      <c r="BZ578" s="17"/>
      <c r="CA578" s="17"/>
      <c r="CB578" s="17"/>
      <c r="CC578" s="17"/>
      <c r="CD578" s="17"/>
    </row>
    <row r="579">
      <c r="A579" s="92"/>
      <c r="B579" s="820"/>
      <c r="O579" s="17"/>
      <c r="P579" s="17"/>
      <c r="Q579" s="17"/>
      <c r="R579" s="17"/>
      <c r="S579" s="813"/>
      <c r="T579" s="17"/>
      <c r="AX579" s="17"/>
      <c r="BB579" s="17"/>
      <c r="BE579" s="17"/>
      <c r="BF579" s="17"/>
      <c r="BG579" s="17"/>
      <c r="BH579" s="17"/>
      <c r="BI579" s="17"/>
      <c r="BJ579" s="17"/>
      <c r="BK579" s="17"/>
      <c r="BL579" s="92"/>
      <c r="BM579" s="92"/>
      <c r="BN579" s="92"/>
      <c r="BO579" s="92"/>
      <c r="BP579" s="92"/>
      <c r="BQ579" s="818"/>
      <c r="BR579" s="54"/>
      <c r="BS579" s="54"/>
      <c r="BT579" s="818"/>
      <c r="BU579" s="818"/>
      <c r="BV579" s="818"/>
      <c r="BW579" s="92"/>
      <c r="BX579" s="92"/>
      <c r="BY579" s="17"/>
      <c r="BZ579" s="17"/>
      <c r="CA579" s="17"/>
      <c r="CB579" s="17"/>
      <c r="CC579" s="17"/>
      <c r="CD579" s="17"/>
    </row>
    <row r="580">
      <c r="A580" s="92"/>
      <c r="B580" s="820"/>
      <c r="O580" s="17"/>
      <c r="P580" s="17"/>
      <c r="Q580" s="17"/>
      <c r="R580" s="17"/>
      <c r="S580" s="813"/>
      <c r="T580" s="17"/>
      <c r="AX580" s="17"/>
      <c r="BB580" s="17"/>
      <c r="BE580" s="17"/>
      <c r="BF580" s="17"/>
      <c r="BG580" s="17"/>
      <c r="BH580" s="17"/>
      <c r="BI580" s="17"/>
      <c r="BJ580" s="17"/>
      <c r="BK580" s="17"/>
      <c r="BL580" s="92"/>
      <c r="BM580" s="92"/>
      <c r="BN580" s="92"/>
      <c r="BO580" s="92"/>
      <c r="BP580" s="92"/>
      <c r="BQ580" s="818"/>
      <c r="BR580" s="54"/>
      <c r="BS580" s="54"/>
      <c r="BT580" s="818"/>
      <c r="BU580" s="818"/>
      <c r="BV580" s="818"/>
      <c r="BW580" s="92"/>
      <c r="BX580" s="92"/>
      <c r="BY580" s="17"/>
      <c r="BZ580" s="17"/>
      <c r="CA580" s="17"/>
      <c r="CB580" s="17"/>
      <c r="CC580" s="17"/>
      <c r="CD580" s="17"/>
    </row>
    <row r="581">
      <c r="A581" s="92"/>
      <c r="B581" s="820"/>
      <c r="O581" s="17"/>
      <c r="P581" s="17"/>
      <c r="Q581" s="17"/>
      <c r="R581" s="17"/>
      <c r="S581" s="813"/>
      <c r="T581" s="17"/>
      <c r="AX581" s="17"/>
      <c r="BB581" s="17"/>
      <c r="BE581" s="17"/>
      <c r="BF581" s="17"/>
      <c r="BG581" s="17"/>
      <c r="BH581" s="17"/>
      <c r="BI581" s="17"/>
      <c r="BJ581" s="17"/>
      <c r="BK581" s="17"/>
      <c r="BL581" s="92"/>
      <c r="BM581" s="92"/>
      <c r="BN581" s="92"/>
      <c r="BO581" s="92"/>
      <c r="BP581" s="92"/>
      <c r="BQ581" s="818"/>
      <c r="BR581" s="54"/>
      <c r="BS581" s="54"/>
      <c r="BT581" s="818"/>
      <c r="BU581" s="818"/>
      <c r="BV581" s="818"/>
      <c r="BW581" s="92"/>
      <c r="BX581" s="92"/>
      <c r="BY581" s="17"/>
      <c r="BZ581" s="17"/>
      <c r="CA581" s="17"/>
      <c r="CB581" s="17"/>
      <c r="CC581" s="17"/>
      <c r="CD581" s="17"/>
    </row>
    <row r="582">
      <c r="A582" s="92"/>
      <c r="B582" s="820"/>
      <c r="O582" s="17"/>
      <c r="P582" s="17"/>
      <c r="Q582" s="17"/>
      <c r="R582" s="17"/>
      <c r="S582" s="813"/>
      <c r="T582" s="17"/>
      <c r="AX582" s="17"/>
      <c r="BB582" s="17"/>
      <c r="BE582" s="17"/>
      <c r="BF582" s="17"/>
      <c r="BG582" s="17"/>
      <c r="BH582" s="17"/>
      <c r="BI582" s="17"/>
      <c r="BJ582" s="17"/>
      <c r="BK582" s="17"/>
      <c r="BL582" s="92"/>
      <c r="BM582" s="92"/>
      <c r="BN582" s="92"/>
      <c r="BO582" s="92"/>
      <c r="BP582" s="92"/>
      <c r="BQ582" s="818"/>
      <c r="BR582" s="54"/>
      <c r="BS582" s="54"/>
      <c r="BT582" s="818"/>
      <c r="BU582" s="818"/>
      <c r="BV582" s="818"/>
      <c r="BW582" s="92"/>
      <c r="BX582" s="92"/>
      <c r="BY582" s="17"/>
      <c r="BZ582" s="17"/>
      <c r="CA582" s="17"/>
      <c r="CB582" s="17"/>
      <c r="CC582" s="17"/>
      <c r="CD582" s="17"/>
    </row>
    <row r="583">
      <c r="A583" s="92"/>
      <c r="B583" s="820"/>
      <c r="O583" s="17"/>
      <c r="P583" s="17"/>
      <c r="Q583" s="17"/>
      <c r="R583" s="17"/>
      <c r="S583" s="813"/>
      <c r="T583" s="17"/>
      <c r="AX583" s="17"/>
      <c r="BB583" s="17"/>
      <c r="BE583" s="17"/>
      <c r="BF583" s="17"/>
      <c r="BG583" s="17"/>
      <c r="BH583" s="17"/>
      <c r="BI583" s="17"/>
      <c r="BJ583" s="17"/>
      <c r="BK583" s="17"/>
      <c r="BL583" s="92"/>
      <c r="BM583" s="92"/>
      <c r="BN583" s="92"/>
      <c r="BO583" s="92"/>
      <c r="BP583" s="92"/>
      <c r="BQ583" s="818"/>
      <c r="BR583" s="54"/>
      <c r="BS583" s="54"/>
      <c r="BT583" s="818"/>
      <c r="BU583" s="818"/>
      <c r="BV583" s="818"/>
      <c r="BW583" s="92"/>
      <c r="BX583" s="92"/>
      <c r="BY583" s="17"/>
      <c r="BZ583" s="17"/>
      <c r="CA583" s="17"/>
      <c r="CB583" s="17"/>
      <c r="CC583" s="17"/>
      <c r="CD583" s="17"/>
    </row>
    <row r="584">
      <c r="A584" s="92"/>
      <c r="B584" s="820"/>
      <c r="O584" s="17"/>
      <c r="P584" s="17"/>
      <c r="Q584" s="17"/>
      <c r="R584" s="17"/>
      <c r="S584" s="813"/>
      <c r="T584" s="17"/>
      <c r="AX584" s="17"/>
      <c r="BB584" s="17"/>
      <c r="BE584" s="17"/>
      <c r="BF584" s="17"/>
      <c r="BG584" s="17"/>
      <c r="BH584" s="17"/>
      <c r="BI584" s="17"/>
      <c r="BJ584" s="17"/>
      <c r="BK584" s="17"/>
      <c r="BL584" s="92"/>
      <c r="BM584" s="92"/>
      <c r="BN584" s="92"/>
      <c r="BO584" s="92"/>
      <c r="BP584" s="92"/>
      <c r="BQ584" s="818"/>
      <c r="BR584" s="54"/>
      <c r="BS584" s="54"/>
      <c r="BT584" s="818"/>
      <c r="BU584" s="818"/>
      <c r="BV584" s="818"/>
      <c r="BW584" s="92"/>
      <c r="BX584" s="92"/>
      <c r="BY584" s="17"/>
      <c r="BZ584" s="17"/>
      <c r="CA584" s="17"/>
      <c r="CB584" s="17"/>
      <c r="CC584" s="17"/>
      <c r="CD584" s="17"/>
    </row>
    <row r="585">
      <c r="A585" s="92"/>
      <c r="B585" s="820"/>
      <c r="O585" s="17"/>
      <c r="P585" s="17"/>
      <c r="Q585" s="17"/>
      <c r="R585" s="17"/>
      <c r="S585" s="813"/>
      <c r="T585" s="17"/>
      <c r="AX585" s="17"/>
      <c r="BB585" s="17"/>
      <c r="BE585" s="17"/>
      <c r="BF585" s="17"/>
      <c r="BG585" s="17"/>
      <c r="BH585" s="17"/>
      <c r="BI585" s="17"/>
      <c r="BJ585" s="17"/>
      <c r="BK585" s="17"/>
      <c r="BL585" s="92"/>
      <c r="BM585" s="92"/>
      <c r="BN585" s="92"/>
      <c r="BO585" s="92"/>
      <c r="BP585" s="92"/>
      <c r="BQ585" s="818"/>
      <c r="BR585" s="54"/>
      <c r="BS585" s="54"/>
      <c r="BT585" s="818"/>
      <c r="BU585" s="818"/>
      <c r="BV585" s="818"/>
      <c r="BW585" s="92"/>
      <c r="BX585" s="92"/>
      <c r="BY585" s="17"/>
      <c r="BZ585" s="17"/>
      <c r="CA585" s="17"/>
      <c r="CB585" s="17"/>
      <c r="CC585" s="17"/>
      <c r="CD585" s="17"/>
    </row>
    <row r="586">
      <c r="A586" s="92"/>
      <c r="B586" s="820"/>
      <c r="O586" s="17"/>
      <c r="P586" s="17"/>
      <c r="Q586" s="17"/>
      <c r="R586" s="17"/>
      <c r="S586" s="813"/>
      <c r="T586" s="17"/>
      <c r="AX586" s="17"/>
      <c r="BB586" s="17"/>
      <c r="BE586" s="17"/>
      <c r="BF586" s="17"/>
      <c r="BG586" s="17"/>
      <c r="BH586" s="17"/>
      <c r="BI586" s="17"/>
      <c r="BJ586" s="17"/>
      <c r="BK586" s="17"/>
      <c r="BL586" s="92"/>
      <c r="BM586" s="92"/>
      <c r="BN586" s="92"/>
      <c r="BO586" s="92"/>
      <c r="BP586" s="92"/>
      <c r="BQ586" s="818"/>
      <c r="BR586" s="54"/>
      <c r="BS586" s="54"/>
      <c r="BT586" s="818"/>
      <c r="BU586" s="818"/>
      <c r="BV586" s="818"/>
      <c r="BW586" s="92"/>
      <c r="BX586" s="92"/>
      <c r="BY586" s="17"/>
      <c r="BZ586" s="17"/>
      <c r="CA586" s="17"/>
      <c r="CB586" s="17"/>
      <c r="CC586" s="17"/>
      <c r="CD586" s="17"/>
    </row>
    <row r="587">
      <c r="A587" s="92"/>
      <c r="B587" s="820"/>
      <c r="O587" s="17"/>
      <c r="P587" s="17"/>
      <c r="Q587" s="17"/>
      <c r="R587" s="17"/>
      <c r="S587" s="813"/>
      <c r="T587" s="17"/>
      <c r="AX587" s="17"/>
      <c r="BB587" s="17"/>
      <c r="BE587" s="17"/>
      <c r="BF587" s="17"/>
      <c r="BG587" s="17"/>
      <c r="BH587" s="17"/>
      <c r="BI587" s="17"/>
      <c r="BJ587" s="17"/>
      <c r="BK587" s="17"/>
      <c r="BL587" s="92"/>
      <c r="BM587" s="92"/>
      <c r="BN587" s="92"/>
      <c r="BO587" s="92"/>
      <c r="BP587" s="92"/>
      <c r="BQ587" s="818"/>
      <c r="BR587" s="54"/>
      <c r="BS587" s="54"/>
      <c r="BT587" s="818"/>
      <c r="BU587" s="818"/>
      <c r="BV587" s="818"/>
      <c r="BW587" s="92"/>
      <c r="BX587" s="92"/>
      <c r="BY587" s="17"/>
      <c r="BZ587" s="17"/>
      <c r="CA587" s="17"/>
      <c r="CB587" s="17"/>
      <c r="CC587" s="17"/>
      <c r="CD587" s="17"/>
    </row>
    <row r="588">
      <c r="A588" s="92"/>
      <c r="B588" s="820"/>
      <c r="O588" s="17"/>
      <c r="P588" s="17"/>
      <c r="Q588" s="17"/>
      <c r="R588" s="17"/>
      <c r="S588" s="813"/>
      <c r="T588" s="17"/>
      <c r="AX588" s="17"/>
      <c r="BB588" s="17"/>
      <c r="BE588" s="17"/>
      <c r="BF588" s="17"/>
      <c r="BG588" s="17"/>
      <c r="BH588" s="17"/>
      <c r="BI588" s="17"/>
      <c r="BJ588" s="17"/>
      <c r="BK588" s="17"/>
      <c r="BL588" s="92"/>
      <c r="BM588" s="92"/>
      <c r="BN588" s="92"/>
      <c r="BO588" s="92"/>
      <c r="BP588" s="92"/>
      <c r="BQ588" s="818"/>
      <c r="BR588" s="54"/>
      <c r="BS588" s="54"/>
      <c r="BT588" s="818"/>
      <c r="BU588" s="818"/>
      <c r="BV588" s="818"/>
      <c r="BW588" s="92"/>
      <c r="BX588" s="92"/>
      <c r="BY588" s="17"/>
      <c r="BZ588" s="17"/>
      <c r="CA588" s="17"/>
      <c r="CB588" s="17"/>
      <c r="CC588" s="17"/>
      <c r="CD588" s="17"/>
    </row>
    <row r="589">
      <c r="A589" s="92"/>
      <c r="B589" s="820"/>
      <c r="O589" s="17"/>
      <c r="P589" s="17"/>
      <c r="Q589" s="17"/>
      <c r="R589" s="17"/>
      <c r="S589" s="813"/>
      <c r="T589" s="17"/>
      <c r="AX589" s="17"/>
      <c r="BB589" s="17"/>
      <c r="BE589" s="17"/>
      <c r="BF589" s="17"/>
      <c r="BG589" s="17"/>
      <c r="BH589" s="17"/>
      <c r="BI589" s="17"/>
      <c r="BJ589" s="17"/>
      <c r="BK589" s="17"/>
      <c r="BL589" s="92"/>
      <c r="BM589" s="92"/>
      <c r="BN589" s="92"/>
      <c r="BO589" s="92"/>
      <c r="BP589" s="92"/>
      <c r="BQ589" s="818"/>
      <c r="BR589" s="54"/>
      <c r="BS589" s="54"/>
      <c r="BT589" s="818"/>
      <c r="BU589" s="818"/>
      <c r="BV589" s="818"/>
      <c r="BW589" s="92"/>
      <c r="BX589" s="92"/>
      <c r="BY589" s="17"/>
      <c r="BZ589" s="17"/>
      <c r="CA589" s="17"/>
      <c r="CB589" s="17"/>
      <c r="CC589" s="17"/>
      <c r="CD589" s="17"/>
    </row>
    <row r="590">
      <c r="A590" s="92"/>
      <c r="B590" s="820"/>
      <c r="O590" s="17"/>
      <c r="P590" s="17"/>
      <c r="Q590" s="17"/>
      <c r="R590" s="17"/>
      <c r="S590" s="813"/>
      <c r="T590" s="17"/>
      <c r="AX590" s="17"/>
      <c r="BB590" s="17"/>
      <c r="BE590" s="17"/>
      <c r="BF590" s="17"/>
      <c r="BG590" s="17"/>
      <c r="BH590" s="17"/>
      <c r="BI590" s="17"/>
      <c r="BJ590" s="17"/>
      <c r="BK590" s="17"/>
      <c r="BL590" s="92"/>
      <c r="BM590" s="92"/>
      <c r="BN590" s="92"/>
      <c r="BO590" s="92"/>
      <c r="BP590" s="92"/>
      <c r="BQ590" s="818"/>
      <c r="BR590" s="54"/>
      <c r="BS590" s="54"/>
      <c r="BT590" s="818"/>
      <c r="BU590" s="818"/>
      <c r="BV590" s="818"/>
      <c r="BW590" s="92"/>
      <c r="BX590" s="92"/>
      <c r="BY590" s="17"/>
      <c r="BZ590" s="17"/>
      <c r="CA590" s="17"/>
      <c r="CB590" s="17"/>
      <c r="CC590" s="17"/>
      <c r="CD590" s="17"/>
    </row>
    <row r="591">
      <c r="A591" s="92"/>
      <c r="B591" s="820"/>
      <c r="O591" s="17"/>
      <c r="P591" s="17"/>
      <c r="Q591" s="17"/>
      <c r="R591" s="17"/>
      <c r="S591" s="813"/>
      <c r="T591" s="17"/>
      <c r="AX591" s="17"/>
      <c r="BB591" s="17"/>
      <c r="BE591" s="17"/>
      <c r="BF591" s="17"/>
      <c r="BG591" s="17"/>
      <c r="BH591" s="17"/>
      <c r="BI591" s="17"/>
      <c r="BJ591" s="17"/>
      <c r="BK591" s="17"/>
      <c r="BL591" s="92"/>
      <c r="BM591" s="92"/>
      <c r="BN591" s="92"/>
      <c r="BO591" s="92"/>
      <c r="BP591" s="92"/>
      <c r="BQ591" s="818"/>
      <c r="BR591" s="54"/>
      <c r="BS591" s="54"/>
      <c r="BT591" s="818"/>
      <c r="BU591" s="818"/>
      <c r="BV591" s="818"/>
      <c r="BW591" s="92"/>
      <c r="BX591" s="92"/>
      <c r="BY591" s="17"/>
      <c r="BZ591" s="17"/>
      <c r="CA591" s="17"/>
      <c r="CB591" s="17"/>
      <c r="CC591" s="17"/>
      <c r="CD591" s="17"/>
    </row>
    <row r="592">
      <c r="A592" s="92"/>
      <c r="B592" s="820"/>
      <c r="O592" s="17"/>
      <c r="P592" s="17"/>
      <c r="Q592" s="17"/>
      <c r="R592" s="17"/>
      <c r="S592" s="813"/>
      <c r="T592" s="17"/>
      <c r="AX592" s="17"/>
      <c r="BB592" s="17"/>
      <c r="BE592" s="17"/>
      <c r="BF592" s="17"/>
      <c r="BG592" s="17"/>
      <c r="BH592" s="17"/>
      <c r="BI592" s="17"/>
      <c r="BJ592" s="17"/>
      <c r="BK592" s="17"/>
      <c r="BL592" s="92"/>
      <c r="BM592" s="92"/>
      <c r="BN592" s="92"/>
      <c r="BO592" s="92"/>
      <c r="BP592" s="92"/>
      <c r="BQ592" s="818"/>
      <c r="BR592" s="54"/>
      <c r="BS592" s="54"/>
      <c r="BT592" s="818"/>
      <c r="BU592" s="818"/>
      <c r="BV592" s="818"/>
      <c r="BW592" s="92"/>
      <c r="BX592" s="92"/>
      <c r="BY592" s="17"/>
      <c r="BZ592" s="17"/>
      <c r="CA592" s="17"/>
      <c r="CB592" s="17"/>
      <c r="CC592" s="17"/>
      <c r="CD592" s="17"/>
    </row>
    <row r="593">
      <c r="A593" s="92"/>
      <c r="B593" s="820"/>
      <c r="O593" s="17"/>
      <c r="P593" s="17"/>
      <c r="Q593" s="17"/>
      <c r="R593" s="17"/>
      <c r="S593" s="813"/>
      <c r="T593" s="17"/>
      <c r="AX593" s="17"/>
      <c r="BB593" s="17"/>
      <c r="BE593" s="17"/>
      <c r="BF593" s="17"/>
      <c r="BG593" s="17"/>
      <c r="BH593" s="17"/>
      <c r="BI593" s="17"/>
      <c r="BJ593" s="17"/>
      <c r="BK593" s="17"/>
      <c r="BL593" s="92"/>
      <c r="BM593" s="92"/>
      <c r="BN593" s="92"/>
      <c r="BO593" s="92"/>
      <c r="BP593" s="92"/>
      <c r="BQ593" s="818"/>
      <c r="BR593" s="54"/>
      <c r="BS593" s="54"/>
      <c r="BT593" s="818"/>
      <c r="BU593" s="818"/>
      <c r="BV593" s="818"/>
      <c r="BW593" s="92"/>
      <c r="BX593" s="92"/>
      <c r="BY593" s="17"/>
      <c r="BZ593" s="17"/>
      <c r="CA593" s="17"/>
      <c r="CB593" s="17"/>
      <c r="CC593" s="17"/>
      <c r="CD593" s="17"/>
    </row>
    <row r="594">
      <c r="A594" s="92"/>
      <c r="B594" s="820"/>
      <c r="O594" s="17"/>
      <c r="P594" s="17"/>
      <c r="Q594" s="17"/>
      <c r="R594" s="17"/>
      <c r="S594" s="813"/>
      <c r="T594" s="17"/>
      <c r="AX594" s="17"/>
      <c r="BB594" s="17"/>
      <c r="BE594" s="17"/>
      <c r="BF594" s="17"/>
      <c r="BG594" s="17"/>
      <c r="BH594" s="17"/>
      <c r="BI594" s="17"/>
      <c r="BJ594" s="17"/>
      <c r="BK594" s="17"/>
      <c r="BL594" s="92"/>
      <c r="BM594" s="92"/>
      <c r="BN594" s="92"/>
      <c r="BO594" s="92"/>
      <c r="BP594" s="92"/>
      <c r="BQ594" s="818"/>
      <c r="BR594" s="54"/>
      <c r="BS594" s="54"/>
      <c r="BT594" s="818"/>
      <c r="BU594" s="818"/>
      <c r="BV594" s="818"/>
      <c r="BW594" s="92"/>
      <c r="BX594" s="92"/>
      <c r="BY594" s="17"/>
      <c r="BZ594" s="17"/>
      <c r="CA594" s="17"/>
      <c r="CB594" s="17"/>
      <c r="CC594" s="17"/>
      <c r="CD594" s="17"/>
    </row>
    <row r="595">
      <c r="A595" s="92"/>
      <c r="B595" s="820"/>
      <c r="O595" s="17"/>
      <c r="P595" s="17"/>
      <c r="Q595" s="17"/>
      <c r="R595" s="17"/>
      <c r="S595" s="813"/>
      <c r="T595" s="17"/>
      <c r="AX595" s="17"/>
      <c r="BB595" s="17"/>
      <c r="BE595" s="17"/>
      <c r="BF595" s="17"/>
      <c r="BG595" s="17"/>
      <c r="BH595" s="17"/>
      <c r="BI595" s="17"/>
      <c r="BJ595" s="17"/>
      <c r="BK595" s="17"/>
      <c r="BL595" s="92"/>
      <c r="BM595" s="92"/>
      <c r="BN595" s="92"/>
      <c r="BO595" s="92"/>
      <c r="BP595" s="92"/>
      <c r="BQ595" s="818"/>
      <c r="BR595" s="54"/>
      <c r="BS595" s="54"/>
      <c r="BT595" s="818"/>
      <c r="BU595" s="818"/>
      <c r="BV595" s="818"/>
      <c r="BW595" s="92"/>
      <c r="BX595" s="92"/>
      <c r="BY595" s="17"/>
      <c r="BZ595" s="17"/>
      <c r="CA595" s="17"/>
      <c r="CB595" s="17"/>
      <c r="CC595" s="17"/>
      <c r="CD595" s="17"/>
    </row>
    <row r="596">
      <c r="A596" s="92"/>
      <c r="B596" s="820"/>
      <c r="O596" s="17"/>
      <c r="P596" s="17"/>
      <c r="Q596" s="17"/>
      <c r="R596" s="17"/>
      <c r="S596" s="813"/>
      <c r="T596" s="17"/>
      <c r="AX596" s="17"/>
      <c r="BB596" s="17"/>
      <c r="BE596" s="17"/>
      <c r="BF596" s="17"/>
      <c r="BG596" s="17"/>
      <c r="BH596" s="17"/>
      <c r="BI596" s="17"/>
      <c r="BJ596" s="17"/>
      <c r="BK596" s="17"/>
      <c r="BL596" s="92"/>
      <c r="BM596" s="92"/>
      <c r="BN596" s="92"/>
      <c r="BO596" s="92"/>
      <c r="BP596" s="92"/>
      <c r="BQ596" s="818"/>
      <c r="BR596" s="54"/>
      <c r="BS596" s="54"/>
      <c r="BT596" s="818"/>
      <c r="BU596" s="818"/>
      <c r="BV596" s="818"/>
      <c r="BW596" s="92"/>
      <c r="BX596" s="92"/>
      <c r="BY596" s="17"/>
      <c r="BZ596" s="17"/>
      <c r="CA596" s="17"/>
      <c r="CB596" s="17"/>
      <c r="CC596" s="17"/>
      <c r="CD596" s="17"/>
    </row>
    <row r="597">
      <c r="A597" s="92"/>
      <c r="B597" s="820"/>
      <c r="O597" s="17"/>
      <c r="P597" s="17"/>
      <c r="Q597" s="17"/>
      <c r="R597" s="17"/>
      <c r="S597" s="813"/>
      <c r="T597" s="17"/>
      <c r="AX597" s="17"/>
      <c r="BB597" s="17"/>
      <c r="BE597" s="17"/>
      <c r="BF597" s="17"/>
      <c r="BG597" s="17"/>
      <c r="BH597" s="17"/>
      <c r="BI597" s="17"/>
      <c r="BJ597" s="17"/>
      <c r="BK597" s="17"/>
      <c r="BL597" s="92"/>
      <c r="BM597" s="92"/>
      <c r="BN597" s="92"/>
      <c r="BO597" s="92"/>
      <c r="BP597" s="92"/>
      <c r="BQ597" s="818"/>
      <c r="BR597" s="54"/>
      <c r="BS597" s="54"/>
      <c r="BT597" s="818"/>
      <c r="BU597" s="818"/>
      <c r="BV597" s="818"/>
      <c r="BW597" s="92"/>
      <c r="BX597" s="92"/>
      <c r="BY597" s="17"/>
      <c r="BZ597" s="17"/>
      <c r="CA597" s="17"/>
      <c r="CB597" s="17"/>
      <c r="CC597" s="17"/>
      <c r="CD597" s="17"/>
    </row>
    <row r="598">
      <c r="A598" s="92"/>
      <c r="B598" s="820"/>
      <c r="O598" s="17"/>
      <c r="P598" s="17"/>
      <c r="Q598" s="17"/>
      <c r="R598" s="17"/>
      <c r="S598" s="813"/>
      <c r="T598" s="17"/>
      <c r="AX598" s="17"/>
      <c r="BB598" s="17"/>
      <c r="BE598" s="17"/>
      <c r="BF598" s="17"/>
      <c r="BG598" s="17"/>
      <c r="BH598" s="17"/>
      <c r="BI598" s="17"/>
      <c r="BJ598" s="17"/>
      <c r="BK598" s="17"/>
      <c r="BL598" s="92"/>
      <c r="BM598" s="92"/>
      <c r="BN598" s="92"/>
      <c r="BO598" s="92"/>
      <c r="BP598" s="92"/>
      <c r="BQ598" s="818"/>
      <c r="BR598" s="54"/>
      <c r="BS598" s="54"/>
      <c r="BT598" s="818"/>
      <c r="BU598" s="818"/>
      <c r="BV598" s="818"/>
      <c r="BW598" s="92"/>
      <c r="BX598" s="92"/>
      <c r="BY598" s="17"/>
      <c r="BZ598" s="17"/>
      <c r="CA598" s="17"/>
      <c r="CB598" s="17"/>
      <c r="CC598" s="17"/>
      <c r="CD598" s="17"/>
    </row>
    <row r="599">
      <c r="A599" s="92"/>
      <c r="B599" s="820"/>
      <c r="O599" s="17"/>
      <c r="P599" s="17"/>
      <c r="Q599" s="17"/>
      <c r="R599" s="17"/>
      <c r="S599" s="813"/>
      <c r="T599" s="17"/>
      <c r="AX599" s="17"/>
      <c r="BB599" s="17"/>
      <c r="BE599" s="17"/>
      <c r="BF599" s="17"/>
      <c r="BG599" s="17"/>
      <c r="BH599" s="17"/>
      <c r="BI599" s="17"/>
      <c r="BJ599" s="17"/>
      <c r="BK599" s="17"/>
      <c r="BL599" s="92"/>
      <c r="BM599" s="92"/>
      <c r="BN599" s="92"/>
      <c r="BO599" s="92"/>
      <c r="BP599" s="92"/>
      <c r="BQ599" s="818"/>
      <c r="BR599" s="54"/>
      <c r="BS599" s="54"/>
      <c r="BT599" s="818"/>
      <c r="BU599" s="818"/>
      <c r="BV599" s="818"/>
      <c r="BW599" s="92"/>
      <c r="BX599" s="92"/>
      <c r="BY599" s="17"/>
      <c r="BZ599" s="17"/>
      <c r="CA599" s="17"/>
      <c r="CB599" s="17"/>
      <c r="CC599" s="17"/>
      <c r="CD599" s="17"/>
    </row>
    <row r="600">
      <c r="A600" s="92"/>
      <c r="B600" s="820"/>
      <c r="O600" s="17"/>
      <c r="P600" s="17"/>
      <c r="Q600" s="17"/>
      <c r="R600" s="17"/>
      <c r="S600" s="813"/>
      <c r="T600" s="17"/>
      <c r="AX600" s="17"/>
      <c r="BB600" s="17"/>
      <c r="BE600" s="17"/>
      <c r="BF600" s="17"/>
      <c r="BG600" s="17"/>
      <c r="BH600" s="17"/>
      <c r="BI600" s="17"/>
      <c r="BJ600" s="17"/>
      <c r="BK600" s="17"/>
      <c r="BL600" s="92"/>
      <c r="BM600" s="92"/>
      <c r="BN600" s="92"/>
      <c r="BO600" s="92"/>
      <c r="BP600" s="92"/>
      <c r="BQ600" s="818"/>
      <c r="BR600" s="54"/>
      <c r="BS600" s="54"/>
      <c r="BT600" s="818"/>
      <c r="BU600" s="818"/>
      <c r="BV600" s="818"/>
      <c r="BW600" s="92"/>
      <c r="BX600" s="92"/>
      <c r="BY600" s="17"/>
      <c r="BZ600" s="17"/>
      <c r="CA600" s="17"/>
      <c r="CB600" s="17"/>
      <c r="CC600" s="17"/>
      <c r="CD600" s="17"/>
    </row>
    <row r="601">
      <c r="A601" s="92"/>
      <c r="B601" s="820"/>
      <c r="O601" s="17"/>
      <c r="P601" s="17"/>
      <c r="Q601" s="17"/>
      <c r="R601" s="17"/>
      <c r="S601" s="813"/>
      <c r="T601" s="17"/>
      <c r="AX601" s="17"/>
      <c r="BB601" s="17"/>
      <c r="BE601" s="17"/>
      <c r="BF601" s="17"/>
      <c r="BG601" s="17"/>
      <c r="BH601" s="17"/>
      <c r="BI601" s="17"/>
      <c r="BJ601" s="17"/>
      <c r="BK601" s="17"/>
      <c r="BL601" s="92"/>
      <c r="BM601" s="92"/>
      <c r="BN601" s="92"/>
      <c r="BO601" s="92"/>
      <c r="BP601" s="92"/>
      <c r="BQ601" s="818"/>
      <c r="BR601" s="54"/>
      <c r="BS601" s="54"/>
      <c r="BT601" s="818"/>
      <c r="BU601" s="818"/>
      <c r="BV601" s="818"/>
      <c r="BW601" s="92"/>
      <c r="BX601" s="92"/>
      <c r="BY601" s="17"/>
      <c r="BZ601" s="17"/>
      <c r="CA601" s="17"/>
      <c r="CB601" s="17"/>
      <c r="CC601" s="17"/>
      <c r="CD601" s="17"/>
    </row>
    <row r="602">
      <c r="A602" s="92"/>
      <c r="B602" s="820"/>
      <c r="O602" s="17"/>
      <c r="P602" s="17"/>
      <c r="Q602" s="17"/>
      <c r="R602" s="17"/>
      <c r="S602" s="813"/>
      <c r="T602" s="17"/>
      <c r="AX602" s="17"/>
      <c r="BB602" s="17"/>
      <c r="BE602" s="17"/>
      <c r="BF602" s="17"/>
      <c r="BG602" s="17"/>
      <c r="BH602" s="17"/>
      <c r="BI602" s="17"/>
      <c r="BJ602" s="17"/>
      <c r="BK602" s="17"/>
      <c r="BL602" s="92"/>
      <c r="BM602" s="92"/>
      <c r="BN602" s="92"/>
      <c r="BO602" s="92"/>
      <c r="BP602" s="92"/>
      <c r="BQ602" s="818"/>
      <c r="BR602" s="54"/>
      <c r="BS602" s="54"/>
      <c r="BT602" s="818"/>
      <c r="BU602" s="818"/>
      <c r="BV602" s="818"/>
      <c r="BW602" s="92"/>
      <c r="BX602" s="92"/>
      <c r="BY602" s="17"/>
      <c r="BZ602" s="17"/>
      <c r="CA602" s="17"/>
      <c r="CB602" s="17"/>
      <c r="CC602" s="17"/>
      <c r="CD602" s="17"/>
    </row>
    <row r="603">
      <c r="A603" s="92"/>
      <c r="B603" s="820"/>
      <c r="O603" s="17"/>
      <c r="P603" s="17"/>
      <c r="Q603" s="17"/>
      <c r="R603" s="17"/>
      <c r="S603" s="813"/>
      <c r="T603" s="17"/>
      <c r="AX603" s="17"/>
      <c r="BB603" s="17"/>
      <c r="BE603" s="17"/>
      <c r="BF603" s="17"/>
      <c r="BG603" s="17"/>
      <c r="BH603" s="17"/>
      <c r="BI603" s="17"/>
      <c r="BJ603" s="17"/>
      <c r="BK603" s="17"/>
      <c r="BL603" s="92"/>
      <c r="BM603" s="92"/>
      <c r="BN603" s="92"/>
      <c r="BO603" s="92"/>
      <c r="BP603" s="92"/>
      <c r="BQ603" s="818"/>
      <c r="BR603" s="54"/>
      <c r="BS603" s="54"/>
      <c r="BT603" s="818"/>
      <c r="BU603" s="818"/>
      <c r="BV603" s="818"/>
      <c r="BW603" s="92"/>
      <c r="BX603" s="92"/>
      <c r="BY603" s="17"/>
      <c r="BZ603" s="17"/>
      <c r="CA603" s="17"/>
      <c r="CB603" s="17"/>
      <c r="CC603" s="17"/>
      <c r="CD603" s="17"/>
    </row>
    <row r="604">
      <c r="A604" s="92"/>
      <c r="B604" s="820"/>
      <c r="O604" s="17"/>
      <c r="P604" s="17"/>
      <c r="Q604" s="17"/>
      <c r="R604" s="17"/>
      <c r="S604" s="813"/>
      <c r="T604" s="17"/>
      <c r="AX604" s="17"/>
      <c r="BB604" s="17"/>
      <c r="BE604" s="17"/>
      <c r="BF604" s="17"/>
      <c r="BG604" s="17"/>
      <c r="BH604" s="17"/>
      <c r="BI604" s="17"/>
      <c r="BJ604" s="17"/>
      <c r="BK604" s="17"/>
      <c r="BL604" s="92"/>
      <c r="BM604" s="92"/>
      <c r="BN604" s="92"/>
      <c r="BO604" s="92"/>
      <c r="BP604" s="92"/>
      <c r="BQ604" s="818"/>
      <c r="BR604" s="54"/>
      <c r="BS604" s="54"/>
      <c r="BT604" s="818"/>
      <c r="BU604" s="818"/>
      <c r="BV604" s="818"/>
      <c r="BW604" s="92"/>
      <c r="BX604" s="92"/>
      <c r="BY604" s="17"/>
      <c r="BZ604" s="17"/>
      <c r="CA604" s="17"/>
      <c r="CB604" s="17"/>
      <c r="CC604" s="17"/>
      <c r="CD604" s="17"/>
    </row>
    <row r="605">
      <c r="A605" s="92"/>
      <c r="B605" s="820"/>
      <c r="O605" s="17"/>
      <c r="P605" s="17"/>
      <c r="Q605" s="17"/>
      <c r="R605" s="17"/>
      <c r="S605" s="813"/>
      <c r="T605" s="17"/>
      <c r="AX605" s="17"/>
      <c r="BB605" s="17"/>
      <c r="BE605" s="17"/>
      <c r="BF605" s="17"/>
      <c r="BG605" s="17"/>
      <c r="BH605" s="17"/>
      <c r="BI605" s="17"/>
      <c r="BJ605" s="17"/>
      <c r="BK605" s="17"/>
      <c r="BL605" s="92"/>
      <c r="BM605" s="92"/>
      <c r="BN605" s="92"/>
      <c r="BO605" s="92"/>
      <c r="BP605" s="92"/>
      <c r="BQ605" s="818"/>
      <c r="BR605" s="54"/>
      <c r="BS605" s="54"/>
      <c r="BT605" s="818"/>
      <c r="BU605" s="818"/>
      <c r="BV605" s="818"/>
      <c r="BW605" s="92"/>
      <c r="BX605" s="92"/>
      <c r="BY605" s="17"/>
      <c r="BZ605" s="17"/>
      <c r="CA605" s="17"/>
      <c r="CB605" s="17"/>
      <c r="CC605" s="17"/>
      <c r="CD605" s="17"/>
    </row>
    <row r="606">
      <c r="A606" s="92"/>
      <c r="B606" s="820"/>
      <c r="O606" s="17"/>
      <c r="P606" s="17"/>
      <c r="Q606" s="17"/>
      <c r="R606" s="17"/>
      <c r="S606" s="813"/>
      <c r="T606" s="17"/>
      <c r="AX606" s="17"/>
      <c r="BB606" s="17"/>
      <c r="BE606" s="17"/>
      <c r="BF606" s="17"/>
      <c r="BG606" s="17"/>
      <c r="BH606" s="17"/>
      <c r="BI606" s="17"/>
      <c r="BJ606" s="17"/>
      <c r="BK606" s="17"/>
      <c r="BL606" s="92"/>
      <c r="BM606" s="92"/>
      <c r="BN606" s="92"/>
      <c r="BO606" s="92"/>
      <c r="BP606" s="92"/>
      <c r="BQ606" s="818"/>
      <c r="BR606" s="54"/>
      <c r="BS606" s="54"/>
      <c r="BT606" s="818"/>
      <c r="BU606" s="818"/>
      <c r="BV606" s="818"/>
      <c r="BW606" s="92"/>
      <c r="BX606" s="92"/>
      <c r="BY606" s="17"/>
      <c r="BZ606" s="17"/>
      <c r="CA606" s="17"/>
      <c r="CB606" s="17"/>
      <c r="CC606" s="17"/>
      <c r="CD606" s="17"/>
    </row>
    <row r="607">
      <c r="A607" s="92"/>
      <c r="B607" s="820"/>
      <c r="O607" s="17"/>
      <c r="P607" s="17"/>
      <c r="Q607" s="17"/>
      <c r="R607" s="17"/>
      <c r="S607" s="813"/>
      <c r="T607" s="17"/>
      <c r="AX607" s="17"/>
      <c r="BB607" s="17"/>
      <c r="BE607" s="17"/>
      <c r="BF607" s="17"/>
      <c r="BG607" s="17"/>
      <c r="BH607" s="17"/>
      <c r="BI607" s="17"/>
      <c r="BJ607" s="17"/>
      <c r="BK607" s="17"/>
      <c r="BL607" s="92"/>
      <c r="BM607" s="92"/>
      <c r="BN607" s="92"/>
      <c r="BO607" s="92"/>
      <c r="BP607" s="92"/>
      <c r="BQ607" s="818"/>
      <c r="BR607" s="54"/>
      <c r="BS607" s="54"/>
      <c r="BT607" s="818"/>
      <c r="BU607" s="818"/>
      <c r="BV607" s="818"/>
      <c r="BW607" s="92"/>
      <c r="BX607" s="92"/>
      <c r="BY607" s="17"/>
      <c r="BZ607" s="17"/>
      <c r="CA607" s="17"/>
      <c r="CB607" s="17"/>
      <c r="CC607" s="17"/>
      <c r="CD607" s="17"/>
    </row>
    <row r="608">
      <c r="A608" s="92"/>
      <c r="B608" s="820"/>
      <c r="O608" s="17"/>
      <c r="P608" s="17"/>
      <c r="Q608" s="17"/>
      <c r="R608" s="17"/>
      <c r="S608" s="813"/>
      <c r="T608" s="17"/>
      <c r="AX608" s="17"/>
      <c r="BB608" s="17"/>
      <c r="BE608" s="17"/>
      <c r="BF608" s="17"/>
      <c r="BG608" s="17"/>
      <c r="BH608" s="17"/>
      <c r="BI608" s="17"/>
      <c r="BJ608" s="17"/>
      <c r="BK608" s="17"/>
      <c r="BL608" s="92"/>
      <c r="BM608" s="92"/>
      <c r="BN608" s="92"/>
      <c r="BO608" s="92"/>
      <c r="BP608" s="92"/>
      <c r="BQ608" s="818"/>
      <c r="BR608" s="54"/>
      <c r="BS608" s="54"/>
      <c r="BT608" s="818"/>
      <c r="BU608" s="818"/>
      <c r="BV608" s="818"/>
      <c r="BW608" s="92"/>
      <c r="BX608" s="92"/>
      <c r="BY608" s="17"/>
      <c r="BZ608" s="17"/>
      <c r="CA608" s="17"/>
      <c r="CB608" s="17"/>
      <c r="CC608" s="17"/>
      <c r="CD608" s="17"/>
    </row>
    <row r="609">
      <c r="A609" s="92"/>
      <c r="B609" s="820"/>
      <c r="O609" s="17"/>
      <c r="P609" s="17"/>
      <c r="Q609" s="17"/>
      <c r="R609" s="17"/>
      <c r="S609" s="813"/>
      <c r="T609" s="17"/>
      <c r="AX609" s="17"/>
      <c r="BB609" s="17"/>
      <c r="BE609" s="17"/>
      <c r="BF609" s="17"/>
      <c r="BG609" s="17"/>
      <c r="BH609" s="17"/>
      <c r="BI609" s="17"/>
      <c r="BJ609" s="17"/>
      <c r="BK609" s="17"/>
      <c r="BL609" s="92"/>
      <c r="BM609" s="92"/>
      <c r="BN609" s="92"/>
      <c r="BO609" s="92"/>
      <c r="BP609" s="92"/>
      <c r="BQ609" s="818"/>
      <c r="BR609" s="54"/>
      <c r="BS609" s="54"/>
      <c r="BT609" s="818"/>
      <c r="BU609" s="818"/>
      <c r="BV609" s="818"/>
      <c r="BW609" s="92"/>
      <c r="BX609" s="92"/>
      <c r="BY609" s="17"/>
      <c r="BZ609" s="17"/>
      <c r="CA609" s="17"/>
      <c r="CB609" s="17"/>
      <c r="CC609" s="17"/>
      <c r="CD609" s="17"/>
    </row>
    <row r="610">
      <c r="A610" s="92"/>
      <c r="B610" s="820"/>
      <c r="O610" s="17"/>
      <c r="P610" s="17"/>
      <c r="Q610" s="17"/>
      <c r="R610" s="17"/>
      <c r="S610" s="813"/>
      <c r="T610" s="17"/>
      <c r="AX610" s="17"/>
      <c r="BB610" s="17"/>
      <c r="BE610" s="17"/>
      <c r="BF610" s="17"/>
      <c r="BG610" s="17"/>
      <c r="BH610" s="17"/>
      <c r="BI610" s="17"/>
      <c r="BJ610" s="17"/>
      <c r="BK610" s="17"/>
      <c r="BL610" s="92"/>
      <c r="BM610" s="92"/>
      <c r="BN610" s="92"/>
      <c r="BO610" s="92"/>
      <c r="BP610" s="92"/>
      <c r="BQ610" s="818"/>
      <c r="BR610" s="54"/>
      <c r="BS610" s="54"/>
      <c r="BT610" s="818"/>
      <c r="BU610" s="818"/>
      <c r="BV610" s="818"/>
      <c r="BW610" s="92"/>
      <c r="BX610" s="92"/>
      <c r="BY610" s="17"/>
      <c r="BZ610" s="17"/>
      <c r="CA610" s="17"/>
      <c r="CB610" s="17"/>
      <c r="CC610" s="17"/>
      <c r="CD610" s="17"/>
    </row>
    <row r="611">
      <c r="A611" s="92"/>
      <c r="B611" s="820"/>
      <c r="O611" s="17"/>
      <c r="P611" s="17"/>
      <c r="Q611" s="17"/>
      <c r="R611" s="17"/>
      <c r="S611" s="813"/>
      <c r="T611" s="17"/>
      <c r="AX611" s="17"/>
      <c r="BB611" s="17"/>
      <c r="BE611" s="17"/>
      <c r="BF611" s="17"/>
      <c r="BG611" s="17"/>
      <c r="BH611" s="17"/>
      <c r="BI611" s="17"/>
      <c r="BJ611" s="17"/>
      <c r="BK611" s="17"/>
      <c r="BL611" s="92"/>
      <c r="BM611" s="92"/>
      <c r="BN611" s="92"/>
      <c r="BO611" s="92"/>
      <c r="BP611" s="92"/>
      <c r="BQ611" s="818"/>
      <c r="BR611" s="54"/>
      <c r="BS611" s="54"/>
      <c r="BT611" s="818"/>
      <c r="BU611" s="818"/>
      <c r="BV611" s="818"/>
      <c r="BW611" s="92"/>
      <c r="BX611" s="92"/>
      <c r="BY611" s="17"/>
      <c r="BZ611" s="17"/>
      <c r="CA611" s="17"/>
      <c r="CB611" s="17"/>
      <c r="CC611" s="17"/>
      <c r="CD611" s="17"/>
    </row>
    <row r="612">
      <c r="A612" s="92"/>
      <c r="B612" s="820"/>
      <c r="O612" s="17"/>
      <c r="P612" s="17"/>
      <c r="Q612" s="17"/>
      <c r="R612" s="17"/>
      <c r="S612" s="813"/>
      <c r="T612" s="17"/>
      <c r="AX612" s="17"/>
      <c r="BB612" s="17"/>
      <c r="BE612" s="17"/>
      <c r="BF612" s="17"/>
      <c r="BG612" s="17"/>
      <c r="BH612" s="17"/>
      <c r="BI612" s="17"/>
      <c r="BJ612" s="17"/>
      <c r="BK612" s="17"/>
      <c r="BL612" s="92"/>
      <c r="BM612" s="92"/>
      <c r="BN612" s="92"/>
      <c r="BO612" s="92"/>
      <c r="BP612" s="92"/>
      <c r="BQ612" s="818"/>
      <c r="BR612" s="54"/>
      <c r="BS612" s="54"/>
      <c r="BT612" s="818"/>
      <c r="BU612" s="818"/>
      <c r="BV612" s="818"/>
      <c r="BW612" s="92"/>
      <c r="BX612" s="92"/>
      <c r="BY612" s="17"/>
      <c r="BZ612" s="17"/>
      <c r="CA612" s="17"/>
      <c r="CB612" s="17"/>
      <c r="CC612" s="17"/>
      <c r="CD612" s="17"/>
    </row>
    <row r="613">
      <c r="A613" s="92"/>
      <c r="B613" s="820"/>
      <c r="O613" s="17"/>
      <c r="P613" s="17"/>
      <c r="Q613" s="17"/>
      <c r="R613" s="17"/>
      <c r="S613" s="813"/>
      <c r="T613" s="17"/>
      <c r="AX613" s="17"/>
      <c r="BB613" s="17"/>
      <c r="BE613" s="17"/>
      <c r="BF613" s="17"/>
      <c r="BG613" s="17"/>
      <c r="BH613" s="17"/>
      <c r="BI613" s="17"/>
      <c r="BJ613" s="17"/>
      <c r="BK613" s="17"/>
      <c r="BL613" s="92"/>
      <c r="BM613" s="92"/>
      <c r="BN613" s="92"/>
      <c r="BO613" s="92"/>
      <c r="BP613" s="92"/>
      <c r="BQ613" s="818"/>
      <c r="BR613" s="54"/>
      <c r="BS613" s="54"/>
      <c r="BT613" s="818"/>
      <c r="BU613" s="818"/>
      <c r="BV613" s="818"/>
      <c r="BW613" s="92"/>
      <c r="BX613" s="92"/>
      <c r="BY613" s="17"/>
      <c r="BZ613" s="17"/>
      <c r="CA613" s="17"/>
      <c r="CB613" s="17"/>
      <c r="CC613" s="17"/>
      <c r="CD613" s="17"/>
    </row>
    <row r="614">
      <c r="A614" s="92"/>
      <c r="B614" s="820"/>
      <c r="O614" s="17"/>
      <c r="P614" s="17"/>
      <c r="Q614" s="17"/>
      <c r="R614" s="17"/>
      <c r="S614" s="813"/>
      <c r="T614" s="17"/>
      <c r="AX614" s="17"/>
      <c r="BB614" s="17"/>
      <c r="BE614" s="17"/>
      <c r="BF614" s="17"/>
      <c r="BG614" s="17"/>
      <c r="BH614" s="17"/>
      <c r="BI614" s="17"/>
      <c r="BJ614" s="17"/>
      <c r="BK614" s="17"/>
      <c r="BL614" s="92"/>
      <c r="BM614" s="92"/>
      <c r="BN614" s="92"/>
      <c r="BO614" s="92"/>
      <c r="BP614" s="92"/>
      <c r="BQ614" s="818"/>
      <c r="BR614" s="54"/>
      <c r="BS614" s="54"/>
      <c r="BT614" s="818"/>
      <c r="BU614" s="818"/>
      <c r="BV614" s="818"/>
      <c r="BW614" s="92"/>
      <c r="BX614" s="92"/>
      <c r="BY614" s="17"/>
      <c r="BZ614" s="17"/>
      <c r="CA614" s="17"/>
      <c r="CB614" s="17"/>
      <c r="CC614" s="17"/>
      <c r="CD614" s="17"/>
    </row>
    <row r="615">
      <c r="A615" s="92"/>
      <c r="B615" s="820"/>
      <c r="O615" s="17"/>
      <c r="P615" s="17"/>
      <c r="Q615" s="17"/>
      <c r="R615" s="17"/>
      <c r="S615" s="813"/>
      <c r="T615" s="17"/>
      <c r="AX615" s="17"/>
      <c r="BB615" s="17"/>
      <c r="BE615" s="17"/>
      <c r="BF615" s="17"/>
      <c r="BG615" s="17"/>
      <c r="BH615" s="17"/>
      <c r="BI615" s="17"/>
      <c r="BJ615" s="17"/>
      <c r="BK615" s="17"/>
      <c r="BL615" s="92"/>
      <c r="BM615" s="92"/>
      <c r="BN615" s="92"/>
      <c r="BO615" s="92"/>
      <c r="BP615" s="92"/>
      <c r="BQ615" s="818"/>
      <c r="BR615" s="54"/>
      <c r="BS615" s="54"/>
      <c r="BT615" s="818"/>
      <c r="BU615" s="818"/>
      <c r="BV615" s="818"/>
      <c r="BW615" s="92"/>
      <c r="BX615" s="92"/>
      <c r="BY615" s="17"/>
      <c r="BZ615" s="17"/>
      <c r="CA615" s="17"/>
      <c r="CB615" s="17"/>
      <c r="CC615" s="17"/>
      <c r="CD615" s="17"/>
    </row>
    <row r="616">
      <c r="A616" s="92"/>
      <c r="B616" s="820"/>
      <c r="O616" s="17"/>
      <c r="P616" s="17"/>
      <c r="Q616" s="17"/>
      <c r="R616" s="17"/>
      <c r="S616" s="813"/>
      <c r="T616" s="17"/>
      <c r="AX616" s="17"/>
      <c r="BB616" s="17"/>
      <c r="BE616" s="17"/>
      <c r="BF616" s="17"/>
      <c r="BG616" s="17"/>
      <c r="BH616" s="17"/>
      <c r="BI616" s="17"/>
      <c r="BJ616" s="17"/>
      <c r="BK616" s="17"/>
      <c r="BL616" s="92"/>
      <c r="BM616" s="92"/>
      <c r="BN616" s="92"/>
      <c r="BO616" s="92"/>
      <c r="BP616" s="92"/>
      <c r="BQ616" s="818"/>
      <c r="BR616" s="54"/>
      <c r="BS616" s="54"/>
      <c r="BT616" s="818"/>
      <c r="BU616" s="818"/>
      <c r="BV616" s="818"/>
      <c r="BW616" s="92"/>
      <c r="BX616" s="92"/>
      <c r="BY616" s="17"/>
      <c r="BZ616" s="17"/>
      <c r="CA616" s="17"/>
      <c r="CB616" s="17"/>
      <c r="CC616" s="17"/>
      <c r="CD616" s="17"/>
    </row>
    <row r="617">
      <c r="A617" s="92"/>
      <c r="B617" s="820"/>
      <c r="O617" s="17"/>
      <c r="P617" s="17"/>
      <c r="Q617" s="17"/>
      <c r="R617" s="17"/>
      <c r="S617" s="813"/>
      <c r="T617" s="17"/>
      <c r="AX617" s="17"/>
      <c r="BB617" s="17"/>
      <c r="BE617" s="17"/>
      <c r="BF617" s="17"/>
      <c r="BG617" s="17"/>
      <c r="BH617" s="17"/>
      <c r="BI617" s="17"/>
      <c r="BJ617" s="17"/>
      <c r="BK617" s="17"/>
      <c r="BL617" s="92"/>
      <c r="BM617" s="92"/>
      <c r="BN617" s="92"/>
      <c r="BO617" s="92"/>
      <c r="BP617" s="92"/>
      <c r="BQ617" s="818"/>
      <c r="BR617" s="54"/>
      <c r="BS617" s="54"/>
      <c r="BT617" s="818"/>
      <c r="BU617" s="818"/>
      <c r="BV617" s="818"/>
      <c r="BW617" s="92"/>
      <c r="BX617" s="92"/>
      <c r="BY617" s="17"/>
      <c r="BZ617" s="17"/>
      <c r="CA617" s="17"/>
      <c r="CB617" s="17"/>
      <c r="CC617" s="17"/>
      <c r="CD617" s="17"/>
    </row>
    <row r="618">
      <c r="A618" s="92"/>
      <c r="B618" s="820"/>
      <c r="O618" s="17"/>
      <c r="P618" s="17"/>
      <c r="Q618" s="17"/>
      <c r="R618" s="17"/>
      <c r="S618" s="813"/>
      <c r="T618" s="17"/>
      <c r="AX618" s="17"/>
      <c r="BB618" s="17"/>
      <c r="BE618" s="17"/>
      <c r="BF618" s="17"/>
      <c r="BG618" s="17"/>
      <c r="BH618" s="17"/>
      <c r="BI618" s="17"/>
      <c r="BJ618" s="17"/>
      <c r="BK618" s="17"/>
      <c r="BL618" s="92"/>
      <c r="BM618" s="92"/>
      <c r="BN618" s="92"/>
      <c r="BO618" s="92"/>
      <c r="BP618" s="92"/>
      <c r="BQ618" s="818"/>
      <c r="BR618" s="54"/>
      <c r="BS618" s="54"/>
      <c r="BT618" s="818"/>
      <c r="BU618" s="818"/>
      <c r="BV618" s="818"/>
      <c r="BW618" s="92"/>
      <c r="BX618" s="92"/>
      <c r="BY618" s="17"/>
      <c r="BZ618" s="17"/>
      <c r="CA618" s="17"/>
      <c r="CB618" s="17"/>
      <c r="CC618" s="17"/>
      <c r="CD618" s="17"/>
    </row>
    <row r="619">
      <c r="A619" s="92"/>
      <c r="B619" s="820"/>
      <c r="O619" s="17"/>
      <c r="P619" s="17"/>
      <c r="Q619" s="17"/>
      <c r="R619" s="17"/>
      <c r="S619" s="813"/>
      <c r="T619" s="17"/>
      <c r="AX619" s="17"/>
      <c r="BB619" s="17"/>
      <c r="BE619" s="17"/>
      <c r="BF619" s="17"/>
      <c r="BG619" s="17"/>
      <c r="BH619" s="17"/>
      <c r="BI619" s="17"/>
      <c r="BJ619" s="17"/>
      <c r="BK619" s="17"/>
      <c r="BL619" s="92"/>
      <c r="BM619" s="92"/>
      <c r="BN619" s="92"/>
      <c r="BO619" s="92"/>
      <c r="BP619" s="92"/>
      <c r="BQ619" s="818"/>
      <c r="BR619" s="54"/>
      <c r="BS619" s="54"/>
      <c r="BT619" s="818"/>
      <c r="BU619" s="818"/>
      <c r="BV619" s="818"/>
      <c r="BW619" s="92"/>
      <c r="BX619" s="92"/>
      <c r="BY619" s="17"/>
      <c r="BZ619" s="17"/>
      <c r="CA619" s="17"/>
      <c r="CB619" s="17"/>
      <c r="CC619" s="17"/>
      <c r="CD619" s="17"/>
    </row>
    <row r="620">
      <c r="A620" s="92"/>
      <c r="B620" s="820"/>
      <c r="O620" s="17"/>
      <c r="P620" s="17"/>
      <c r="Q620" s="17"/>
      <c r="R620" s="17"/>
      <c r="S620" s="813"/>
      <c r="T620" s="17"/>
      <c r="AX620" s="17"/>
      <c r="BB620" s="17"/>
      <c r="BE620" s="17"/>
      <c r="BF620" s="17"/>
      <c r="BG620" s="17"/>
      <c r="BH620" s="17"/>
      <c r="BI620" s="17"/>
      <c r="BJ620" s="17"/>
      <c r="BK620" s="17"/>
      <c r="BL620" s="92"/>
      <c r="BM620" s="92"/>
      <c r="BN620" s="92"/>
      <c r="BO620" s="92"/>
      <c r="BP620" s="92"/>
      <c r="BQ620" s="818"/>
      <c r="BR620" s="54"/>
      <c r="BS620" s="54"/>
      <c r="BT620" s="818"/>
      <c r="BU620" s="818"/>
      <c r="BV620" s="818"/>
      <c r="BW620" s="92"/>
      <c r="BX620" s="92"/>
      <c r="BY620" s="17"/>
      <c r="BZ620" s="17"/>
      <c r="CA620" s="17"/>
      <c r="CB620" s="17"/>
      <c r="CC620" s="17"/>
      <c r="CD620" s="17"/>
    </row>
    <row r="621">
      <c r="A621" s="92"/>
      <c r="B621" s="820"/>
      <c r="O621" s="17"/>
      <c r="P621" s="17"/>
      <c r="Q621" s="17"/>
      <c r="R621" s="17"/>
      <c r="S621" s="813"/>
      <c r="T621" s="17"/>
      <c r="AX621" s="17"/>
      <c r="BB621" s="17"/>
      <c r="BE621" s="17"/>
      <c r="BF621" s="17"/>
      <c r="BG621" s="17"/>
      <c r="BH621" s="17"/>
      <c r="BI621" s="17"/>
      <c r="BJ621" s="17"/>
      <c r="BK621" s="17"/>
      <c r="BL621" s="92"/>
      <c r="BM621" s="92"/>
      <c r="BN621" s="92"/>
      <c r="BO621" s="92"/>
      <c r="BP621" s="92"/>
      <c r="BQ621" s="818"/>
      <c r="BR621" s="54"/>
      <c r="BS621" s="54"/>
      <c r="BT621" s="818"/>
      <c r="BU621" s="818"/>
      <c r="BV621" s="818"/>
      <c r="BW621" s="92"/>
      <c r="BX621" s="92"/>
      <c r="BY621" s="17"/>
      <c r="BZ621" s="17"/>
      <c r="CA621" s="17"/>
      <c r="CB621" s="17"/>
      <c r="CC621" s="17"/>
      <c r="CD621" s="17"/>
    </row>
    <row r="622">
      <c r="A622" s="92"/>
      <c r="B622" s="820"/>
      <c r="O622" s="17"/>
      <c r="P622" s="17"/>
      <c r="Q622" s="17"/>
      <c r="R622" s="17"/>
      <c r="S622" s="813"/>
      <c r="T622" s="17"/>
      <c r="AX622" s="17"/>
      <c r="BB622" s="17"/>
      <c r="BE622" s="17"/>
      <c r="BF622" s="17"/>
      <c r="BG622" s="17"/>
      <c r="BH622" s="17"/>
      <c r="BI622" s="17"/>
      <c r="BJ622" s="17"/>
      <c r="BK622" s="17"/>
      <c r="BL622" s="92"/>
      <c r="BM622" s="92"/>
      <c r="BN622" s="92"/>
      <c r="BO622" s="92"/>
      <c r="BP622" s="92"/>
      <c r="BQ622" s="818"/>
      <c r="BR622" s="54"/>
      <c r="BS622" s="54"/>
      <c r="BT622" s="818"/>
      <c r="BU622" s="818"/>
      <c r="BV622" s="818"/>
      <c r="BW622" s="92"/>
      <c r="BX622" s="92"/>
      <c r="BY622" s="17"/>
      <c r="BZ622" s="17"/>
      <c r="CA622" s="17"/>
      <c r="CB622" s="17"/>
      <c r="CC622" s="17"/>
      <c r="CD622" s="17"/>
    </row>
    <row r="623">
      <c r="A623" s="92"/>
      <c r="B623" s="820"/>
      <c r="O623" s="17"/>
      <c r="P623" s="17"/>
      <c r="Q623" s="17"/>
      <c r="R623" s="17"/>
      <c r="S623" s="813"/>
      <c r="T623" s="17"/>
      <c r="AX623" s="17"/>
      <c r="BB623" s="17"/>
      <c r="BE623" s="17"/>
      <c r="BF623" s="17"/>
      <c r="BG623" s="17"/>
      <c r="BH623" s="17"/>
      <c r="BI623" s="17"/>
      <c r="BJ623" s="17"/>
      <c r="BK623" s="17"/>
      <c r="BL623" s="92"/>
      <c r="BM623" s="92"/>
      <c r="BN623" s="92"/>
      <c r="BO623" s="92"/>
      <c r="BP623" s="92"/>
      <c r="BQ623" s="818"/>
      <c r="BR623" s="54"/>
      <c r="BS623" s="54"/>
      <c r="BT623" s="818"/>
      <c r="BU623" s="818"/>
      <c r="BV623" s="818"/>
      <c r="BW623" s="92"/>
      <c r="BX623" s="92"/>
      <c r="BY623" s="17"/>
      <c r="BZ623" s="17"/>
      <c r="CA623" s="17"/>
      <c r="CB623" s="17"/>
      <c r="CC623" s="17"/>
      <c r="CD623" s="17"/>
    </row>
    <row r="624">
      <c r="A624" s="92"/>
      <c r="B624" s="820"/>
      <c r="O624" s="17"/>
      <c r="P624" s="17"/>
      <c r="Q624" s="17"/>
      <c r="R624" s="17"/>
      <c r="S624" s="813"/>
      <c r="T624" s="17"/>
      <c r="AX624" s="17"/>
      <c r="BB624" s="17"/>
      <c r="BE624" s="17"/>
      <c r="BF624" s="17"/>
      <c r="BG624" s="17"/>
      <c r="BH624" s="17"/>
      <c r="BI624" s="17"/>
      <c r="BJ624" s="17"/>
      <c r="BK624" s="17"/>
      <c r="BL624" s="92"/>
      <c r="BM624" s="92"/>
      <c r="BN624" s="92"/>
      <c r="BO624" s="92"/>
      <c r="BP624" s="92"/>
      <c r="BQ624" s="818"/>
      <c r="BR624" s="54"/>
      <c r="BS624" s="54"/>
      <c r="BT624" s="818"/>
      <c r="BU624" s="818"/>
      <c r="BV624" s="818"/>
      <c r="BW624" s="92"/>
      <c r="BX624" s="92"/>
      <c r="BY624" s="17"/>
      <c r="BZ624" s="17"/>
      <c r="CA624" s="17"/>
      <c r="CB624" s="17"/>
      <c r="CC624" s="17"/>
      <c r="CD624" s="17"/>
    </row>
    <row r="625">
      <c r="A625" s="92"/>
      <c r="B625" s="820"/>
      <c r="O625" s="17"/>
      <c r="P625" s="17"/>
      <c r="Q625" s="17"/>
      <c r="R625" s="17"/>
      <c r="S625" s="813"/>
      <c r="T625" s="17"/>
      <c r="AX625" s="17"/>
      <c r="BB625" s="17"/>
      <c r="BE625" s="17"/>
      <c r="BF625" s="17"/>
      <c r="BG625" s="17"/>
      <c r="BH625" s="17"/>
      <c r="BI625" s="17"/>
      <c r="BJ625" s="17"/>
      <c r="BK625" s="17"/>
      <c r="BL625" s="92"/>
      <c r="BM625" s="92"/>
      <c r="BN625" s="92"/>
      <c r="BO625" s="92"/>
      <c r="BP625" s="92"/>
      <c r="BQ625" s="818"/>
      <c r="BR625" s="54"/>
      <c r="BS625" s="54"/>
      <c r="BT625" s="818"/>
      <c r="BU625" s="818"/>
      <c r="BV625" s="818"/>
      <c r="BW625" s="92"/>
      <c r="BX625" s="92"/>
      <c r="BY625" s="17"/>
      <c r="BZ625" s="17"/>
      <c r="CA625" s="17"/>
      <c r="CB625" s="17"/>
      <c r="CC625" s="17"/>
      <c r="CD625" s="17"/>
    </row>
    <row r="626">
      <c r="A626" s="92"/>
      <c r="B626" s="820"/>
      <c r="O626" s="17"/>
      <c r="P626" s="17"/>
      <c r="Q626" s="17"/>
      <c r="R626" s="17"/>
      <c r="S626" s="813"/>
      <c r="T626" s="17"/>
      <c r="AX626" s="17"/>
      <c r="BB626" s="17"/>
      <c r="BE626" s="17"/>
      <c r="BF626" s="17"/>
      <c r="BG626" s="17"/>
      <c r="BH626" s="17"/>
      <c r="BI626" s="17"/>
      <c r="BJ626" s="17"/>
      <c r="BK626" s="17"/>
      <c r="BL626" s="92"/>
      <c r="BM626" s="92"/>
      <c r="BN626" s="92"/>
      <c r="BO626" s="92"/>
      <c r="BP626" s="92"/>
      <c r="BQ626" s="818"/>
      <c r="BR626" s="54"/>
      <c r="BS626" s="54"/>
      <c r="BT626" s="818"/>
      <c r="BU626" s="818"/>
      <c r="BV626" s="818"/>
      <c r="BW626" s="92"/>
      <c r="BX626" s="92"/>
      <c r="BY626" s="17"/>
      <c r="BZ626" s="17"/>
      <c r="CA626" s="17"/>
      <c r="CB626" s="17"/>
      <c r="CC626" s="17"/>
      <c r="CD626" s="17"/>
    </row>
    <row r="627">
      <c r="A627" s="92"/>
      <c r="B627" s="820"/>
      <c r="O627" s="17"/>
      <c r="P627" s="17"/>
      <c r="Q627" s="17"/>
      <c r="R627" s="17"/>
      <c r="S627" s="813"/>
      <c r="T627" s="17"/>
      <c r="AX627" s="17"/>
      <c r="BB627" s="17"/>
      <c r="BE627" s="17"/>
      <c r="BF627" s="17"/>
      <c r="BG627" s="17"/>
      <c r="BH627" s="17"/>
      <c r="BI627" s="17"/>
      <c r="BJ627" s="17"/>
      <c r="BK627" s="17"/>
      <c r="BL627" s="92"/>
      <c r="BM627" s="92"/>
      <c r="BN627" s="92"/>
      <c r="BO627" s="92"/>
      <c r="BP627" s="92"/>
      <c r="BQ627" s="818"/>
      <c r="BR627" s="54"/>
      <c r="BS627" s="54"/>
      <c r="BT627" s="818"/>
      <c r="BU627" s="818"/>
      <c r="BV627" s="818"/>
      <c r="BW627" s="92"/>
      <c r="BX627" s="92"/>
      <c r="BY627" s="17"/>
      <c r="BZ627" s="17"/>
      <c r="CA627" s="17"/>
      <c r="CB627" s="17"/>
      <c r="CC627" s="17"/>
      <c r="CD627" s="17"/>
    </row>
    <row r="628">
      <c r="A628" s="92"/>
      <c r="B628" s="820"/>
      <c r="O628" s="17"/>
      <c r="P628" s="17"/>
      <c r="Q628" s="17"/>
      <c r="R628" s="17"/>
      <c r="S628" s="813"/>
      <c r="T628" s="17"/>
      <c r="AX628" s="17"/>
      <c r="BB628" s="17"/>
      <c r="BE628" s="17"/>
      <c r="BF628" s="17"/>
      <c r="BG628" s="17"/>
      <c r="BH628" s="17"/>
      <c r="BI628" s="17"/>
      <c r="BJ628" s="17"/>
      <c r="BK628" s="17"/>
      <c r="BL628" s="92"/>
      <c r="BM628" s="92"/>
      <c r="BN628" s="92"/>
      <c r="BO628" s="92"/>
      <c r="BP628" s="92"/>
      <c r="BQ628" s="818"/>
      <c r="BR628" s="54"/>
      <c r="BS628" s="54"/>
      <c r="BT628" s="818"/>
      <c r="BU628" s="818"/>
      <c r="BV628" s="818"/>
      <c r="BW628" s="92"/>
      <c r="BX628" s="92"/>
      <c r="BY628" s="17"/>
      <c r="BZ628" s="17"/>
      <c r="CA628" s="17"/>
      <c r="CB628" s="17"/>
      <c r="CC628" s="17"/>
      <c r="CD628" s="17"/>
    </row>
    <row r="629">
      <c r="A629" s="92"/>
      <c r="B629" s="820"/>
      <c r="O629" s="17"/>
      <c r="P629" s="17"/>
      <c r="Q629" s="17"/>
      <c r="R629" s="17"/>
      <c r="S629" s="813"/>
      <c r="T629" s="17"/>
      <c r="AX629" s="17"/>
      <c r="BB629" s="17"/>
      <c r="BE629" s="17"/>
      <c r="BF629" s="17"/>
      <c r="BG629" s="17"/>
      <c r="BH629" s="17"/>
      <c r="BI629" s="17"/>
      <c r="BJ629" s="17"/>
      <c r="BK629" s="17"/>
      <c r="BL629" s="92"/>
      <c r="BM629" s="92"/>
      <c r="BN629" s="92"/>
      <c r="BO629" s="92"/>
      <c r="BP629" s="92"/>
      <c r="BQ629" s="818"/>
      <c r="BR629" s="54"/>
      <c r="BS629" s="54"/>
      <c r="BT629" s="818"/>
      <c r="BU629" s="818"/>
      <c r="BV629" s="818"/>
      <c r="BW629" s="92"/>
      <c r="BX629" s="92"/>
      <c r="BY629" s="17"/>
      <c r="BZ629" s="17"/>
      <c r="CA629" s="17"/>
      <c r="CB629" s="17"/>
      <c r="CC629" s="17"/>
      <c r="CD629" s="17"/>
    </row>
    <row r="630">
      <c r="A630" s="92"/>
      <c r="B630" s="820"/>
      <c r="O630" s="17"/>
      <c r="P630" s="17"/>
      <c r="Q630" s="17"/>
      <c r="R630" s="17"/>
      <c r="S630" s="813"/>
      <c r="T630" s="17"/>
      <c r="AX630" s="17"/>
      <c r="BB630" s="17"/>
      <c r="BE630" s="17"/>
      <c r="BF630" s="17"/>
      <c r="BG630" s="17"/>
      <c r="BH630" s="17"/>
      <c r="BI630" s="17"/>
      <c r="BJ630" s="17"/>
      <c r="BK630" s="17"/>
      <c r="BL630" s="92"/>
      <c r="BM630" s="92"/>
      <c r="BN630" s="92"/>
      <c r="BO630" s="92"/>
      <c r="BP630" s="92"/>
      <c r="BQ630" s="818"/>
      <c r="BR630" s="54"/>
      <c r="BS630" s="54"/>
      <c r="BT630" s="818"/>
      <c r="BU630" s="818"/>
      <c r="BV630" s="818"/>
      <c r="BW630" s="92"/>
      <c r="BX630" s="92"/>
      <c r="BY630" s="17"/>
      <c r="BZ630" s="17"/>
      <c r="CA630" s="17"/>
      <c r="CB630" s="17"/>
      <c r="CC630" s="17"/>
      <c r="CD630" s="17"/>
    </row>
    <row r="631">
      <c r="A631" s="92"/>
      <c r="B631" s="820"/>
      <c r="O631" s="17"/>
      <c r="P631" s="17"/>
      <c r="Q631" s="17"/>
      <c r="R631" s="17"/>
      <c r="S631" s="813"/>
      <c r="T631" s="17"/>
      <c r="AX631" s="17"/>
      <c r="BB631" s="17"/>
      <c r="BE631" s="17"/>
      <c r="BF631" s="17"/>
      <c r="BG631" s="17"/>
      <c r="BH631" s="17"/>
      <c r="BI631" s="17"/>
      <c r="BJ631" s="17"/>
      <c r="BK631" s="17"/>
      <c r="BL631" s="92"/>
      <c r="BM631" s="92"/>
      <c r="BN631" s="92"/>
      <c r="BO631" s="92"/>
      <c r="BP631" s="92"/>
      <c r="BQ631" s="818"/>
      <c r="BR631" s="54"/>
      <c r="BS631" s="54"/>
      <c r="BT631" s="818"/>
      <c r="BU631" s="818"/>
      <c r="BV631" s="818"/>
      <c r="BW631" s="92"/>
      <c r="BX631" s="92"/>
      <c r="BY631" s="17"/>
      <c r="BZ631" s="17"/>
      <c r="CA631" s="17"/>
      <c r="CB631" s="17"/>
      <c r="CC631" s="17"/>
      <c r="CD631" s="17"/>
    </row>
    <row r="632">
      <c r="A632" s="92"/>
      <c r="B632" s="820"/>
      <c r="O632" s="17"/>
      <c r="P632" s="17"/>
      <c r="Q632" s="17"/>
      <c r="R632" s="17"/>
      <c r="S632" s="813"/>
      <c r="T632" s="17"/>
      <c r="AX632" s="17"/>
      <c r="BB632" s="17"/>
      <c r="BE632" s="17"/>
      <c r="BF632" s="17"/>
      <c r="BG632" s="17"/>
      <c r="BH632" s="17"/>
      <c r="BI632" s="17"/>
      <c r="BJ632" s="17"/>
      <c r="BK632" s="17"/>
      <c r="BL632" s="92"/>
      <c r="BM632" s="92"/>
      <c r="BN632" s="92"/>
      <c r="BO632" s="92"/>
      <c r="BP632" s="92"/>
      <c r="BQ632" s="818"/>
      <c r="BR632" s="54"/>
      <c r="BS632" s="54"/>
      <c r="BT632" s="818"/>
      <c r="BU632" s="818"/>
      <c r="BV632" s="818"/>
      <c r="BW632" s="92"/>
      <c r="BX632" s="92"/>
      <c r="BY632" s="17"/>
      <c r="BZ632" s="17"/>
      <c r="CA632" s="17"/>
      <c r="CB632" s="17"/>
      <c r="CC632" s="17"/>
      <c r="CD632" s="17"/>
    </row>
    <row r="633">
      <c r="A633" s="92"/>
      <c r="B633" s="820"/>
      <c r="O633" s="17"/>
      <c r="P633" s="17"/>
      <c r="Q633" s="17"/>
      <c r="R633" s="17"/>
      <c r="S633" s="813"/>
      <c r="T633" s="17"/>
      <c r="AX633" s="17"/>
      <c r="BB633" s="17"/>
      <c r="BE633" s="17"/>
      <c r="BF633" s="17"/>
      <c r="BG633" s="17"/>
      <c r="BH633" s="17"/>
      <c r="BI633" s="17"/>
      <c r="BJ633" s="17"/>
      <c r="BK633" s="17"/>
      <c r="BL633" s="92"/>
      <c r="BM633" s="92"/>
      <c r="BN633" s="92"/>
      <c r="BO633" s="92"/>
      <c r="BP633" s="92"/>
      <c r="BQ633" s="818"/>
      <c r="BR633" s="54"/>
      <c r="BS633" s="54"/>
      <c r="BT633" s="818"/>
      <c r="BU633" s="818"/>
      <c r="BV633" s="818"/>
      <c r="BW633" s="92"/>
      <c r="BX633" s="92"/>
      <c r="BY633" s="17"/>
      <c r="BZ633" s="17"/>
      <c r="CA633" s="17"/>
      <c r="CB633" s="17"/>
      <c r="CC633" s="17"/>
      <c r="CD633" s="17"/>
    </row>
    <row r="634">
      <c r="A634" s="92"/>
      <c r="B634" s="820"/>
      <c r="O634" s="17"/>
      <c r="P634" s="17"/>
      <c r="Q634" s="17"/>
      <c r="R634" s="17"/>
      <c r="S634" s="813"/>
      <c r="T634" s="17"/>
      <c r="AX634" s="17"/>
      <c r="BB634" s="17"/>
      <c r="BE634" s="17"/>
      <c r="BF634" s="17"/>
      <c r="BG634" s="17"/>
      <c r="BH634" s="17"/>
      <c r="BI634" s="17"/>
      <c r="BJ634" s="17"/>
      <c r="BK634" s="17"/>
      <c r="BL634" s="92"/>
      <c r="BM634" s="92"/>
      <c r="BN634" s="92"/>
      <c r="BO634" s="92"/>
      <c r="BP634" s="92"/>
      <c r="BQ634" s="818"/>
      <c r="BR634" s="54"/>
      <c r="BS634" s="54"/>
      <c r="BT634" s="818"/>
      <c r="BU634" s="818"/>
      <c r="BV634" s="818"/>
      <c r="BW634" s="92"/>
      <c r="BX634" s="92"/>
      <c r="BY634" s="17"/>
      <c r="BZ634" s="17"/>
      <c r="CA634" s="17"/>
      <c r="CB634" s="17"/>
      <c r="CC634" s="17"/>
      <c r="CD634" s="17"/>
    </row>
    <row r="635">
      <c r="A635" s="92"/>
      <c r="B635" s="820"/>
      <c r="O635" s="17"/>
      <c r="P635" s="17"/>
      <c r="Q635" s="17"/>
      <c r="R635" s="17"/>
      <c r="S635" s="813"/>
      <c r="T635" s="17"/>
      <c r="AX635" s="17"/>
      <c r="BB635" s="17"/>
      <c r="BE635" s="17"/>
      <c r="BF635" s="17"/>
      <c r="BG635" s="17"/>
      <c r="BH635" s="17"/>
      <c r="BI635" s="17"/>
      <c r="BJ635" s="17"/>
      <c r="BK635" s="17"/>
      <c r="BL635" s="92"/>
      <c r="BM635" s="92"/>
      <c r="BN635" s="92"/>
      <c r="BO635" s="92"/>
      <c r="BP635" s="92"/>
      <c r="BQ635" s="818"/>
      <c r="BR635" s="54"/>
      <c r="BS635" s="54"/>
      <c r="BT635" s="818"/>
      <c r="BU635" s="818"/>
      <c r="BV635" s="818"/>
      <c r="BW635" s="92"/>
      <c r="BX635" s="92"/>
      <c r="BY635" s="17"/>
      <c r="BZ635" s="17"/>
      <c r="CA635" s="17"/>
      <c r="CB635" s="17"/>
      <c r="CC635" s="17"/>
      <c r="CD635" s="17"/>
    </row>
    <row r="636">
      <c r="A636" s="92"/>
      <c r="B636" s="820"/>
      <c r="O636" s="17"/>
      <c r="P636" s="17"/>
      <c r="Q636" s="17"/>
      <c r="R636" s="17"/>
      <c r="S636" s="813"/>
      <c r="T636" s="17"/>
      <c r="AX636" s="17"/>
      <c r="BB636" s="17"/>
      <c r="BE636" s="17"/>
      <c r="BF636" s="17"/>
      <c r="BG636" s="17"/>
      <c r="BH636" s="17"/>
      <c r="BI636" s="17"/>
      <c r="BJ636" s="17"/>
      <c r="BK636" s="17"/>
      <c r="BL636" s="92"/>
      <c r="BM636" s="92"/>
      <c r="BN636" s="92"/>
      <c r="BO636" s="92"/>
      <c r="BP636" s="92"/>
      <c r="BQ636" s="818"/>
      <c r="BR636" s="54"/>
      <c r="BS636" s="54"/>
      <c r="BT636" s="818"/>
      <c r="BU636" s="818"/>
      <c r="BV636" s="818"/>
      <c r="BW636" s="92"/>
      <c r="BX636" s="92"/>
      <c r="BY636" s="17"/>
      <c r="BZ636" s="17"/>
      <c r="CA636" s="17"/>
      <c r="CB636" s="17"/>
      <c r="CC636" s="17"/>
      <c r="CD636" s="17"/>
    </row>
    <row r="637">
      <c r="A637" s="92"/>
      <c r="B637" s="820"/>
      <c r="O637" s="17"/>
      <c r="P637" s="17"/>
      <c r="Q637" s="17"/>
      <c r="R637" s="17"/>
      <c r="S637" s="813"/>
      <c r="T637" s="17"/>
      <c r="AX637" s="17"/>
      <c r="BB637" s="17"/>
      <c r="BE637" s="17"/>
      <c r="BF637" s="17"/>
      <c r="BG637" s="17"/>
      <c r="BH637" s="17"/>
      <c r="BI637" s="17"/>
      <c r="BJ637" s="17"/>
      <c r="BK637" s="17"/>
      <c r="BL637" s="92"/>
      <c r="BM637" s="92"/>
      <c r="BN637" s="92"/>
      <c r="BO637" s="92"/>
      <c r="BP637" s="92"/>
      <c r="BQ637" s="818"/>
      <c r="BR637" s="54"/>
      <c r="BS637" s="54"/>
      <c r="BT637" s="818"/>
      <c r="BU637" s="818"/>
      <c r="BV637" s="818"/>
      <c r="BW637" s="92"/>
      <c r="BX637" s="92"/>
      <c r="BY637" s="17"/>
      <c r="BZ637" s="17"/>
      <c r="CA637" s="17"/>
      <c r="CB637" s="17"/>
      <c r="CC637" s="17"/>
      <c r="CD637" s="17"/>
    </row>
    <row r="638">
      <c r="A638" s="92"/>
      <c r="B638" s="820"/>
      <c r="O638" s="17"/>
      <c r="P638" s="17"/>
      <c r="Q638" s="17"/>
      <c r="R638" s="17"/>
      <c r="S638" s="813"/>
      <c r="T638" s="17"/>
      <c r="AX638" s="17"/>
      <c r="BB638" s="17"/>
      <c r="BE638" s="17"/>
      <c r="BF638" s="17"/>
      <c r="BG638" s="17"/>
      <c r="BH638" s="17"/>
      <c r="BI638" s="17"/>
      <c r="BJ638" s="17"/>
      <c r="BK638" s="17"/>
      <c r="BL638" s="92"/>
      <c r="BM638" s="92"/>
      <c r="BN638" s="92"/>
      <c r="BO638" s="92"/>
      <c r="BP638" s="92"/>
      <c r="BQ638" s="818"/>
      <c r="BR638" s="54"/>
      <c r="BS638" s="54"/>
      <c r="BT638" s="818"/>
      <c r="BU638" s="818"/>
      <c r="BV638" s="818"/>
      <c r="BW638" s="92"/>
      <c r="BX638" s="92"/>
      <c r="BY638" s="17"/>
      <c r="BZ638" s="17"/>
      <c r="CA638" s="17"/>
      <c r="CB638" s="17"/>
      <c r="CC638" s="17"/>
      <c r="CD638" s="17"/>
    </row>
    <row r="639">
      <c r="A639" s="92"/>
      <c r="B639" s="820"/>
      <c r="O639" s="17"/>
      <c r="P639" s="17"/>
      <c r="Q639" s="17"/>
      <c r="R639" s="17"/>
      <c r="S639" s="813"/>
      <c r="T639" s="17"/>
      <c r="AX639" s="17"/>
      <c r="BB639" s="17"/>
      <c r="BE639" s="17"/>
      <c r="BF639" s="17"/>
      <c r="BG639" s="17"/>
      <c r="BH639" s="17"/>
      <c r="BI639" s="17"/>
      <c r="BJ639" s="17"/>
      <c r="BK639" s="17"/>
      <c r="BL639" s="92"/>
      <c r="BM639" s="92"/>
      <c r="BN639" s="92"/>
      <c r="BO639" s="92"/>
      <c r="BP639" s="92"/>
      <c r="BQ639" s="818"/>
      <c r="BR639" s="54"/>
      <c r="BS639" s="54"/>
      <c r="BT639" s="818"/>
      <c r="BU639" s="818"/>
      <c r="BV639" s="818"/>
      <c r="BW639" s="92"/>
      <c r="BX639" s="92"/>
      <c r="BY639" s="17"/>
      <c r="BZ639" s="17"/>
      <c r="CA639" s="17"/>
      <c r="CB639" s="17"/>
      <c r="CC639" s="17"/>
      <c r="CD639" s="17"/>
    </row>
    <row r="640">
      <c r="A640" s="92"/>
      <c r="B640" s="820"/>
      <c r="O640" s="17"/>
      <c r="P640" s="17"/>
      <c r="Q640" s="17"/>
      <c r="R640" s="17"/>
      <c r="S640" s="813"/>
      <c r="T640" s="17"/>
      <c r="AX640" s="17"/>
      <c r="BB640" s="17"/>
      <c r="BE640" s="17"/>
      <c r="BF640" s="17"/>
      <c r="BG640" s="17"/>
      <c r="BH640" s="17"/>
      <c r="BI640" s="17"/>
      <c r="BJ640" s="17"/>
      <c r="BK640" s="17"/>
      <c r="BL640" s="92"/>
      <c r="BM640" s="92"/>
      <c r="BN640" s="92"/>
      <c r="BO640" s="92"/>
      <c r="BP640" s="92"/>
      <c r="BQ640" s="818"/>
      <c r="BR640" s="54"/>
      <c r="BS640" s="54"/>
      <c r="BT640" s="818"/>
      <c r="BU640" s="818"/>
      <c r="BV640" s="818"/>
      <c r="BW640" s="92"/>
      <c r="BX640" s="92"/>
      <c r="BY640" s="17"/>
      <c r="BZ640" s="17"/>
      <c r="CA640" s="17"/>
      <c r="CB640" s="17"/>
      <c r="CC640" s="17"/>
      <c r="CD640" s="17"/>
    </row>
    <row r="641">
      <c r="A641" s="92"/>
      <c r="B641" s="820"/>
      <c r="O641" s="17"/>
      <c r="P641" s="17"/>
      <c r="Q641" s="17"/>
      <c r="R641" s="17"/>
      <c r="S641" s="813"/>
      <c r="T641" s="17"/>
      <c r="AX641" s="17"/>
      <c r="BB641" s="17"/>
      <c r="BE641" s="17"/>
      <c r="BF641" s="17"/>
      <c r="BG641" s="17"/>
      <c r="BH641" s="17"/>
      <c r="BI641" s="17"/>
      <c r="BJ641" s="17"/>
      <c r="BK641" s="17"/>
      <c r="BL641" s="92"/>
      <c r="BM641" s="92"/>
      <c r="BN641" s="92"/>
      <c r="BO641" s="92"/>
      <c r="BP641" s="92"/>
      <c r="BQ641" s="818"/>
      <c r="BR641" s="54"/>
      <c r="BS641" s="54"/>
      <c r="BT641" s="818"/>
      <c r="BU641" s="818"/>
      <c r="BV641" s="818"/>
      <c r="BW641" s="92"/>
      <c r="BX641" s="92"/>
      <c r="BY641" s="17"/>
      <c r="BZ641" s="17"/>
      <c r="CA641" s="17"/>
      <c r="CB641" s="17"/>
      <c r="CC641" s="17"/>
      <c r="CD641" s="17"/>
    </row>
    <row r="642">
      <c r="A642" s="92"/>
      <c r="B642" s="820"/>
      <c r="O642" s="17"/>
      <c r="P642" s="17"/>
      <c r="Q642" s="17"/>
      <c r="R642" s="17"/>
      <c r="S642" s="813"/>
      <c r="T642" s="17"/>
      <c r="AX642" s="17"/>
      <c r="BB642" s="17"/>
      <c r="BE642" s="17"/>
      <c r="BF642" s="17"/>
      <c r="BG642" s="17"/>
      <c r="BH642" s="17"/>
      <c r="BI642" s="17"/>
      <c r="BJ642" s="17"/>
      <c r="BK642" s="17"/>
      <c r="BL642" s="92"/>
      <c r="BM642" s="92"/>
      <c r="BN642" s="92"/>
      <c r="BO642" s="92"/>
      <c r="BP642" s="92"/>
      <c r="BQ642" s="818"/>
      <c r="BR642" s="54"/>
      <c r="BS642" s="54"/>
      <c r="BT642" s="818"/>
      <c r="BU642" s="818"/>
      <c r="BV642" s="818"/>
      <c r="BW642" s="92"/>
      <c r="BX642" s="92"/>
      <c r="BY642" s="17"/>
      <c r="BZ642" s="17"/>
      <c r="CA642" s="17"/>
      <c r="CB642" s="17"/>
      <c r="CC642" s="17"/>
      <c r="CD642" s="17"/>
    </row>
    <row r="643">
      <c r="A643" s="92"/>
      <c r="B643" s="820"/>
      <c r="O643" s="17"/>
      <c r="P643" s="17"/>
      <c r="Q643" s="17"/>
      <c r="R643" s="17"/>
      <c r="S643" s="813"/>
      <c r="T643" s="17"/>
      <c r="AX643" s="17"/>
      <c r="BB643" s="17"/>
      <c r="BE643" s="17"/>
      <c r="BF643" s="17"/>
      <c r="BG643" s="17"/>
      <c r="BH643" s="17"/>
      <c r="BI643" s="17"/>
      <c r="BJ643" s="17"/>
      <c r="BK643" s="17"/>
      <c r="BL643" s="92"/>
      <c r="BM643" s="92"/>
      <c r="BN643" s="92"/>
      <c r="BO643" s="92"/>
      <c r="BP643" s="92"/>
      <c r="BQ643" s="818"/>
      <c r="BR643" s="54"/>
      <c r="BS643" s="54"/>
      <c r="BT643" s="818"/>
      <c r="BU643" s="818"/>
      <c r="BV643" s="818"/>
      <c r="BW643" s="92"/>
      <c r="BX643" s="92"/>
      <c r="BY643" s="17"/>
      <c r="BZ643" s="17"/>
      <c r="CA643" s="17"/>
      <c r="CB643" s="17"/>
      <c r="CC643" s="17"/>
      <c r="CD643" s="17"/>
    </row>
    <row r="644">
      <c r="A644" s="92"/>
      <c r="B644" s="820"/>
      <c r="O644" s="17"/>
      <c r="P644" s="17"/>
      <c r="Q644" s="17"/>
      <c r="R644" s="17"/>
      <c r="S644" s="813"/>
      <c r="T644" s="17"/>
      <c r="AX644" s="17"/>
      <c r="BB644" s="17"/>
      <c r="BE644" s="17"/>
      <c r="BF644" s="17"/>
      <c r="BG644" s="17"/>
      <c r="BH644" s="17"/>
      <c r="BI644" s="17"/>
      <c r="BJ644" s="17"/>
      <c r="BK644" s="17"/>
      <c r="BL644" s="92"/>
      <c r="BM644" s="92"/>
      <c r="BN644" s="92"/>
      <c r="BO644" s="92"/>
      <c r="BP644" s="92"/>
      <c r="BQ644" s="818"/>
      <c r="BR644" s="54"/>
      <c r="BS644" s="54"/>
      <c r="BT644" s="818"/>
      <c r="BU644" s="818"/>
      <c r="BV644" s="818"/>
      <c r="BW644" s="92"/>
      <c r="BX644" s="92"/>
      <c r="BY644" s="17"/>
      <c r="BZ644" s="17"/>
      <c r="CA644" s="17"/>
      <c r="CB644" s="17"/>
      <c r="CC644" s="17"/>
      <c r="CD644" s="17"/>
    </row>
    <row r="645">
      <c r="A645" s="92"/>
      <c r="B645" s="820"/>
      <c r="O645" s="17"/>
      <c r="P645" s="17"/>
      <c r="Q645" s="17"/>
      <c r="R645" s="17"/>
      <c r="S645" s="813"/>
      <c r="T645" s="17"/>
      <c r="AX645" s="17"/>
      <c r="BB645" s="17"/>
      <c r="BE645" s="17"/>
      <c r="BF645" s="17"/>
      <c r="BG645" s="17"/>
      <c r="BH645" s="17"/>
      <c r="BI645" s="17"/>
      <c r="BJ645" s="17"/>
      <c r="BK645" s="17"/>
      <c r="BL645" s="92"/>
      <c r="BM645" s="92"/>
      <c r="BN645" s="92"/>
      <c r="BO645" s="92"/>
      <c r="BP645" s="92"/>
      <c r="BQ645" s="818"/>
      <c r="BR645" s="54"/>
      <c r="BS645" s="54"/>
      <c r="BT645" s="818"/>
      <c r="BU645" s="818"/>
      <c r="BV645" s="818"/>
      <c r="BW645" s="92"/>
      <c r="BX645" s="92"/>
      <c r="BY645" s="17"/>
      <c r="BZ645" s="17"/>
      <c r="CA645" s="17"/>
      <c r="CB645" s="17"/>
      <c r="CC645" s="17"/>
      <c r="CD645" s="17"/>
    </row>
    <row r="646">
      <c r="A646" s="92"/>
      <c r="B646" s="820"/>
      <c r="O646" s="17"/>
      <c r="P646" s="17"/>
      <c r="Q646" s="17"/>
      <c r="R646" s="17"/>
      <c r="S646" s="813"/>
      <c r="T646" s="17"/>
      <c r="AX646" s="17"/>
      <c r="BB646" s="17"/>
      <c r="BE646" s="17"/>
      <c r="BF646" s="17"/>
      <c r="BG646" s="17"/>
      <c r="BH646" s="17"/>
      <c r="BI646" s="17"/>
      <c r="BJ646" s="17"/>
      <c r="BK646" s="17"/>
      <c r="BL646" s="92"/>
      <c r="BM646" s="92"/>
      <c r="BN646" s="92"/>
      <c r="BO646" s="92"/>
      <c r="BP646" s="92"/>
      <c r="BQ646" s="818"/>
      <c r="BR646" s="54"/>
      <c r="BS646" s="54"/>
      <c r="BT646" s="818"/>
      <c r="BU646" s="818"/>
      <c r="BV646" s="818"/>
      <c r="BW646" s="92"/>
      <c r="BX646" s="92"/>
      <c r="BY646" s="17"/>
      <c r="BZ646" s="17"/>
      <c r="CA646" s="17"/>
      <c r="CB646" s="17"/>
      <c r="CC646" s="17"/>
      <c r="CD646" s="17"/>
    </row>
    <row r="647">
      <c r="A647" s="92"/>
      <c r="B647" s="820"/>
      <c r="O647" s="17"/>
      <c r="P647" s="17"/>
      <c r="Q647" s="17"/>
      <c r="R647" s="17"/>
      <c r="S647" s="813"/>
      <c r="T647" s="17"/>
      <c r="AX647" s="17"/>
      <c r="BB647" s="17"/>
      <c r="BE647" s="17"/>
      <c r="BF647" s="17"/>
      <c r="BG647" s="17"/>
      <c r="BH647" s="17"/>
      <c r="BI647" s="17"/>
      <c r="BJ647" s="17"/>
      <c r="BK647" s="17"/>
      <c r="BL647" s="92"/>
      <c r="BM647" s="92"/>
      <c r="BN647" s="92"/>
      <c r="BO647" s="92"/>
      <c r="BP647" s="92"/>
      <c r="BQ647" s="818"/>
      <c r="BR647" s="54"/>
      <c r="BS647" s="54"/>
      <c r="BT647" s="818"/>
      <c r="BU647" s="818"/>
      <c r="BV647" s="818"/>
      <c r="BW647" s="92"/>
      <c r="BX647" s="92"/>
      <c r="BY647" s="17"/>
      <c r="BZ647" s="17"/>
      <c r="CA647" s="17"/>
      <c r="CB647" s="17"/>
      <c r="CC647" s="17"/>
      <c r="CD647" s="17"/>
    </row>
    <row r="648">
      <c r="A648" s="92"/>
      <c r="B648" s="820"/>
      <c r="O648" s="17"/>
      <c r="P648" s="17"/>
      <c r="Q648" s="17"/>
      <c r="R648" s="17"/>
      <c r="S648" s="813"/>
      <c r="T648" s="17"/>
      <c r="AX648" s="17"/>
      <c r="BB648" s="17"/>
      <c r="BE648" s="17"/>
      <c r="BF648" s="17"/>
      <c r="BG648" s="17"/>
      <c r="BH648" s="17"/>
      <c r="BI648" s="17"/>
      <c r="BJ648" s="17"/>
      <c r="BK648" s="17"/>
      <c r="BL648" s="92"/>
      <c r="BM648" s="92"/>
      <c r="BN648" s="92"/>
      <c r="BO648" s="92"/>
      <c r="BP648" s="92"/>
      <c r="BQ648" s="818"/>
      <c r="BR648" s="54"/>
      <c r="BS648" s="54"/>
      <c r="BT648" s="818"/>
      <c r="BU648" s="818"/>
      <c r="BV648" s="818"/>
      <c r="BW648" s="92"/>
      <c r="BX648" s="92"/>
      <c r="BY648" s="17"/>
      <c r="BZ648" s="17"/>
      <c r="CA648" s="17"/>
      <c r="CB648" s="17"/>
      <c r="CC648" s="17"/>
      <c r="CD648" s="17"/>
    </row>
    <row r="649">
      <c r="A649" s="92"/>
      <c r="B649" s="820"/>
      <c r="O649" s="17"/>
      <c r="P649" s="17"/>
      <c r="Q649" s="17"/>
      <c r="R649" s="17"/>
      <c r="S649" s="813"/>
      <c r="T649" s="17"/>
      <c r="AX649" s="17"/>
      <c r="BB649" s="17"/>
      <c r="BE649" s="17"/>
      <c r="BF649" s="17"/>
      <c r="BG649" s="17"/>
      <c r="BH649" s="17"/>
      <c r="BI649" s="17"/>
      <c r="BJ649" s="17"/>
      <c r="BK649" s="17"/>
      <c r="BL649" s="92"/>
      <c r="BM649" s="92"/>
      <c r="BN649" s="92"/>
      <c r="BO649" s="92"/>
      <c r="BP649" s="92"/>
      <c r="BQ649" s="818"/>
      <c r="BR649" s="54"/>
      <c r="BS649" s="54"/>
      <c r="BT649" s="818"/>
      <c r="BU649" s="818"/>
      <c r="BV649" s="818"/>
      <c r="BW649" s="92"/>
      <c r="BX649" s="92"/>
      <c r="BY649" s="17"/>
      <c r="BZ649" s="17"/>
      <c r="CA649" s="17"/>
      <c r="CB649" s="17"/>
      <c r="CC649" s="17"/>
      <c r="CD649" s="17"/>
    </row>
    <row r="650">
      <c r="A650" s="92"/>
      <c r="B650" s="820"/>
      <c r="O650" s="17"/>
      <c r="P650" s="17"/>
      <c r="Q650" s="17"/>
      <c r="R650" s="17"/>
      <c r="S650" s="813"/>
      <c r="T650" s="17"/>
      <c r="AX650" s="17"/>
      <c r="BB650" s="17"/>
      <c r="BE650" s="17"/>
      <c r="BF650" s="17"/>
      <c r="BG650" s="17"/>
      <c r="BH650" s="17"/>
      <c r="BI650" s="17"/>
      <c r="BJ650" s="17"/>
      <c r="BK650" s="17"/>
      <c r="BL650" s="92"/>
      <c r="BM650" s="92"/>
      <c r="BN650" s="92"/>
      <c r="BO650" s="92"/>
      <c r="BP650" s="92"/>
      <c r="BQ650" s="818"/>
      <c r="BR650" s="54"/>
      <c r="BS650" s="54"/>
      <c r="BT650" s="818"/>
      <c r="BU650" s="818"/>
      <c r="BV650" s="818"/>
      <c r="BW650" s="92"/>
      <c r="BX650" s="92"/>
      <c r="BY650" s="17"/>
      <c r="BZ650" s="17"/>
      <c r="CA650" s="17"/>
      <c r="CB650" s="17"/>
      <c r="CC650" s="17"/>
      <c r="CD650" s="17"/>
    </row>
    <row r="651">
      <c r="A651" s="92"/>
      <c r="B651" s="820"/>
      <c r="O651" s="17"/>
      <c r="P651" s="17"/>
      <c r="Q651" s="17"/>
      <c r="R651" s="17"/>
      <c r="S651" s="813"/>
      <c r="T651" s="17"/>
      <c r="AX651" s="17"/>
      <c r="BB651" s="17"/>
      <c r="BE651" s="17"/>
      <c r="BF651" s="17"/>
      <c r="BG651" s="17"/>
      <c r="BH651" s="17"/>
      <c r="BI651" s="17"/>
      <c r="BJ651" s="17"/>
      <c r="BK651" s="17"/>
      <c r="BL651" s="92"/>
      <c r="BM651" s="92"/>
      <c r="BN651" s="92"/>
      <c r="BO651" s="92"/>
      <c r="BP651" s="92"/>
      <c r="BQ651" s="818"/>
      <c r="BR651" s="54"/>
      <c r="BS651" s="54"/>
      <c r="BT651" s="818"/>
      <c r="BU651" s="818"/>
      <c r="BV651" s="818"/>
      <c r="BW651" s="92"/>
      <c r="BX651" s="92"/>
      <c r="BY651" s="17"/>
      <c r="BZ651" s="17"/>
      <c r="CA651" s="17"/>
      <c r="CB651" s="17"/>
      <c r="CC651" s="17"/>
      <c r="CD651" s="17"/>
    </row>
    <row r="652">
      <c r="A652" s="92"/>
      <c r="B652" s="820"/>
      <c r="O652" s="17"/>
      <c r="P652" s="17"/>
      <c r="Q652" s="17"/>
      <c r="R652" s="17"/>
      <c r="S652" s="813"/>
      <c r="T652" s="17"/>
      <c r="AX652" s="17"/>
      <c r="BB652" s="17"/>
      <c r="BE652" s="17"/>
      <c r="BF652" s="17"/>
      <c r="BG652" s="17"/>
      <c r="BH652" s="17"/>
      <c r="BI652" s="17"/>
      <c r="BJ652" s="17"/>
      <c r="BK652" s="17"/>
      <c r="BL652" s="92"/>
      <c r="BM652" s="92"/>
      <c r="BN652" s="92"/>
      <c r="BO652" s="92"/>
      <c r="BP652" s="92"/>
      <c r="BQ652" s="818"/>
      <c r="BR652" s="54"/>
      <c r="BS652" s="54"/>
      <c r="BT652" s="818"/>
      <c r="BU652" s="818"/>
      <c r="BV652" s="818"/>
      <c r="BW652" s="92"/>
      <c r="BX652" s="92"/>
      <c r="BY652" s="17"/>
      <c r="BZ652" s="17"/>
      <c r="CA652" s="17"/>
      <c r="CB652" s="17"/>
      <c r="CC652" s="17"/>
      <c r="CD652" s="17"/>
    </row>
    <row r="653">
      <c r="A653" s="92"/>
      <c r="B653" s="820"/>
      <c r="O653" s="17"/>
      <c r="P653" s="17"/>
      <c r="Q653" s="17"/>
      <c r="R653" s="17"/>
      <c r="S653" s="813"/>
      <c r="T653" s="17"/>
      <c r="AX653" s="17"/>
      <c r="BB653" s="17"/>
      <c r="BE653" s="17"/>
      <c r="BF653" s="17"/>
      <c r="BG653" s="17"/>
      <c r="BH653" s="17"/>
      <c r="BI653" s="17"/>
      <c r="BJ653" s="17"/>
      <c r="BK653" s="17"/>
      <c r="BL653" s="92"/>
      <c r="BM653" s="92"/>
      <c r="BN653" s="92"/>
      <c r="BO653" s="92"/>
      <c r="BP653" s="92"/>
      <c r="BQ653" s="818"/>
      <c r="BR653" s="54"/>
      <c r="BS653" s="54"/>
      <c r="BT653" s="818"/>
      <c r="BU653" s="818"/>
      <c r="BV653" s="818"/>
      <c r="BW653" s="92"/>
      <c r="BX653" s="92"/>
      <c r="BY653" s="17"/>
      <c r="BZ653" s="17"/>
      <c r="CA653" s="17"/>
      <c r="CB653" s="17"/>
      <c r="CC653" s="17"/>
      <c r="CD653" s="17"/>
    </row>
    <row r="654">
      <c r="A654" s="92"/>
      <c r="B654" s="820"/>
      <c r="O654" s="17"/>
      <c r="P654" s="17"/>
      <c r="Q654" s="17"/>
      <c r="R654" s="17"/>
      <c r="S654" s="813"/>
      <c r="T654" s="17"/>
      <c r="AX654" s="17"/>
      <c r="BB654" s="17"/>
      <c r="BE654" s="17"/>
      <c r="BF654" s="17"/>
      <c r="BG654" s="17"/>
      <c r="BH654" s="17"/>
      <c r="BI654" s="17"/>
      <c r="BJ654" s="17"/>
      <c r="BK654" s="17"/>
      <c r="BL654" s="92"/>
      <c r="BM654" s="92"/>
      <c r="BN654" s="92"/>
      <c r="BO654" s="92"/>
      <c r="BP654" s="92"/>
      <c r="BQ654" s="818"/>
      <c r="BR654" s="54"/>
      <c r="BS654" s="54"/>
      <c r="BT654" s="818"/>
      <c r="BU654" s="818"/>
      <c r="BV654" s="818"/>
      <c r="BW654" s="92"/>
      <c r="BX654" s="92"/>
      <c r="BY654" s="17"/>
      <c r="BZ654" s="17"/>
      <c r="CA654" s="17"/>
      <c r="CB654" s="17"/>
      <c r="CC654" s="17"/>
      <c r="CD654" s="17"/>
    </row>
    <row r="655">
      <c r="A655" s="92"/>
      <c r="B655" s="820"/>
      <c r="O655" s="17"/>
      <c r="P655" s="17"/>
      <c r="Q655" s="17"/>
      <c r="R655" s="17"/>
      <c r="S655" s="813"/>
      <c r="T655" s="17"/>
      <c r="AX655" s="17"/>
      <c r="BB655" s="17"/>
      <c r="BE655" s="17"/>
      <c r="BF655" s="17"/>
      <c r="BG655" s="17"/>
      <c r="BH655" s="17"/>
      <c r="BI655" s="17"/>
      <c r="BJ655" s="17"/>
      <c r="BK655" s="17"/>
      <c r="BL655" s="92"/>
      <c r="BM655" s="92"/>
      <c r="BN655" s="92"/>
      <c r="BO655" s="92"/>
      <c r="BP655" s="92"/>
      <c r="BQ655" s="818"/>
      <c r="BR655" s="54"/>
      <c r="BS655" s="54"/>
      <c r="BT655" s="818"/>
      <c r="BU655" s="818"/>
      <c r="BV655" s="818"/>
      <c r="BW655" s="92"/>
      <c r="BX655" s="92"/>
      <c r="BY655" s="17"/>
      <c r="BZ655" s="17"/>
      <c r="CA655" s="17"/>
      <c r="CB655" s="17"/>
      <c r="CC655" s="17"/>
      <c r="CD655" s="17"/>
    </row>
    <row r="656">
      <c r="A656" s="92"/>
      <c r="B656" s="820"/>
      <c r="O656" s="17"/>
      <c r="P656" s="17"/>
      <c r="Q656" s="17"/>
      <c r="R656" s="17"/>
      <c r="S656" s="813"/>
      <c r="T656" s="17"/>
      <c r="AX656" s="17"/>
      <c r="BB656" s="17"/>
      <c r="BE656" s="17"/>
      <c r="BF656" s="17"/>
      <c r="BG656" s="17"/>
      <c r="BH656" s="17"/>
      <c r="BI656" s="17"/>
      <c r="BJ656" s="17"/>
      <c r="BK656" s="17"/>
      <c r="BL656" s="92"/>
      <c r="BM656" s="92"/>
      <c r="BN656" s="92"/>
      <c r="BO656" s="92"/>
      <c r="BP656" s="92"/>
      <c r="BQ656" s="818"/>
      <c r="BR656" s="54"/>
      <c r="BS656" s="54"/>
      <c r="BT656" s="818"/>
      <c r="BU656" s="818"/>
      <c r="BV656" s="818"/>
      <c r="BW656" s="92"/>
      <c r="BX656" s="92"/>
      <c r="BY656" s="17"/>
      <c r="BZ656" s="17"/>
      <c r="CA656" s="17"/>
      <c r="CB656" s="17"/>
      <c r="CC656" s="17"/>
      <c r="CD656" s="17"/>
    </row>
    <row r="657">
      <c r="A657" s="92"/>
      <c r="B657" s="820"/>
      <c r="O657" s="17"/>
      <c r="P657" s="17"/>
      <c r="Q657" s="17"/>
      <c r="R657" s="17"/>
      <c r="S657" s="813"/>
      <c r="T657" s="17"/>
      <c r="AX657" s="17"/>
      <c r="BB657" s="17"/>
      <c r="BE657" s="17"/>
      <c r="BF657" s="17"/>
      <c r="BG657" s="17"/>
      <c r="BH657" s="17"/>
      <c r="BI657" s="17"/>
      <c r="BJ657" s="17"/>
      <c r="BK657" s="17"/>
      <c r="BL657" s="92"/>
      <c r="BM657" s="92"/>
      <c r="BN657" s="92"/>
      <c r="BO657" s="92"/>
      <c r="BP657" s="92"/>
      <c r="BQ657" s="818"/>
      <c r="BR657" s="54"/>
      <c r="BS657" s="54"/>
      <c r="BT657" s="818"/>
      <c r="BU657" s="818"/>
      <c r="BV657" s="818"/>
      <c r="BW657" s="92"/>
      <c r="BX657" s="92"/>
      <c r="BY657" s="17"/>
      <c r="BZ657" s="17"/>
      <c r="CA657" s="17"/>
      <c r="CB657" s="17"/>
      <c r="CC657" s="17"/>
      <c r="CD657" s="17"/>
    </row>
    <row r="658">
      <c r="A658" s="92"/>
      <c r="B658" s="820"/>
      <c r="O658" s="17"/>
      <c r="P658" s="17"/>
      <c r="Q658" s="17"/>
      <c r="R658" s="17"/>
      <c r="S658" s="813"/>
      <c r="T658" s="17"/>
      <c r="AX658" s="17"/>
      <c r="BB658" s="17"/>
      <c r="BE658" s="17"/>
      <c r="BF658" s="17"/>
      <c r="BG658" s="17"/>
      <c r="BH658" s="17"/>
      <c r="BI658" s="17"/>
      <c r="BJ658" s="17"/>
      <c r="BK658" s="17"/>
      <c r="BL658" s="92"/>
      <c r="BM658" s="92"/>
      <c r="BN658" s="92"/>
      <c r="BO658" s="92"/>
      <c r="BP658" s="92"/>
      <c r="BQ658" s="818"/>
      <c r="BR658" s="54"/>
      <c r="BS658" s="54"/>
      <c r="BT658" s="818"/>
      <c r="BU658" s="818"/>
      <c r="BV658" s="818"/>
      <c r="BW658" s="92"/>
      <c r="BX658" s="92"/>
      <c r="BY658" s="17"/>
      <c r="BZ658" s="17"/>
      <c r="CA658" s="17"/>
      <c r="CB658" s="17"/>
      <c r="CC658" s="17"/>
      <c r="CD658" s="17"/>
    </row>
    <row r="659">
      <c r="A659" s="92"/>
      <c r="B659" s="820"/>
      <c r="O659" s="17"/>
      <c r="P659" s="17"/>
      <c r="Q659" s="17"/>
      <c r="R659" s="17"/>
      <c r="S659" s="813"/>
      <c r="T659" s="17"/>
      <c r="AX659" s="17"/>
      <c r="BB659" s="17"/>
      <c r="BE659" s="17"/>
      <c r="BF659" s="17"/>
      <c r="BG659" s="17"/>
      <c r="BH659" s="17"/>
      <c r="BI659" s="17"/>
      <c r="BJ659" s="17"/>
      <c r="BK659" s="17"/>
      <c r="BL659" s="92"/>
      <c r="BM659" s="92"/>
      <c r="BN659" s="92"/>
      <c r="BO659" s="92"/>
      <c r="BP659" s="92"/>
      <c r="BQ659" s="818"/>
      <c r="BR659" s="54"/>
      <c r="BS659" s="54"/>
      <c r="BT659" s="818"/>
      <c r="BU659" s="818"/>
      <c r="BV659" s="818"/>
      <c r="BW659" s="92"/>
      <c r="BX659" s="92"/>
      <c r="BY659" s="17"/>
      <c r="BZ659" s="17"/>
      <c r="CA659" s="17"/>
      <c r="CB659" s="17"/>
      <c r="CC659" s="17"/>
      <c r="CD659" s="17"/>
    </row>
    <row r="660">
      <c r="A660" s="92"/>
      <c r="B660" s="820"/>
      <c r="O660" s="17"/>
      <c r="P660" s="17"/>
      <c r="Q660" s="17"/>
      <c r="R660" s="17"/>
      <c r="S660" s="813"/>
      <c r="T660" s="17"/>
      <c r="AX660" s="17"/>
      <c r="BB660" s="17"/>
      <c r="BE660" s="17"/>
      <c r="BF660" s="17"/>
      <c r="BG660" s="17"/>
      <c r="BH660" s="17"/>
      <c r="BI660" s="17"/>
      <c r="BJ660" s="17"/>
      <c r="BK660" s="17"/>
      <c r="BL660" s="92"/>
      <c r="BM660" s="92"/>
      <c r="BN660" s="92"/>
      <c r="BO660" s="92"/>
      <c r="BP660" s="92"/>
      <c r="BQ660" s="818"/>
      <c r="BR660" s="54"/>
      <c r="BS660" s="54"/>
      <c r="BT660" s="818"/>
      <c r="BU660" s="818"/>
      <c r="BV660" s="818"/>
      <c r="BW660" s="92"/>
      <c r="BX660" s="92"/>
      <c r="BY660" s="17"/>
      <c r="BZ660" s="17"/>
      <c r="CA660" s="17"/>
      <c r="CB660" s="17"/>
      <c r="CC660" s="17"/>
      <c r="CD660" s="17"/>
    </row>
    <row r="661">
      <c r="A661" s="92"/>
      <c r="B661" s="820"/>
      <c r="O661" s="17"/>
      <c r="P661" s="17"/>
      <c r="Q661" s="17"/>
      <c r="R661" s="17"/>
      <c r="S661" s="813"/>
      <c r="T661" s="17"/>
      <c r="AX661" s="17"/>
      <c r="BB661" s="17"/>
      <c r="BE661" s="17"/>
      <c r="BF661" s="17"/>
      <c r="BG661" s="17"/>
      <c r="BH661" s="17"/>
      <c r="BI661" s="17"/>
      <c r="BJ661" s="17"/>
      <c r="BK661" s="17"/>
      <c r="BL661" s="92"/>
      <c r="BM661" s="92"/>
      <c r="BN661" s="92"/>
      <c r="BO661" s="92"/>
      <c r="BP661" s="92"/>
      <c r="BQ661" s="818"/>
      <c r="BR661" s="54"/>
      <c r="BS661" s="54"/>
      <c r="BT661" s="818"/>
      <c r="BU661" s="818"/>
      <c r="BV661" s="818"/>
      <c r="BW661" s="92"/>
      <c r="BX661" s="92"/>
      <c r="BY661" s="17"/>
      <c r="BZ661" s="17"/>
      <c r="CA661" s="17"/>
      <c r="CB661" s="17"/>
      <c r="CC661" s="17"/>
      <c r="CD661" s="17"/>
    </row>
    <row r="662">
      <c r="A662" s="92"/>
      <c r="B662" s="820"/>
      <c r="O662" s="17"/>
      <c r="P662" s="17"/>
      <c r="Q662" s="17"/>
      <c r="R662" s="17"/>
      <c r="S662" s="813"/>
      <c r="T662" s="17"/>
      <c r="AX662" s="17"/>
      <c r="BB662" s="17"/>
      <c r="BE662" s="17"/>
      <c r="BF662" s="17"/>
      <c r="BG662" s="17"/>
      <c r="BH662" s="17"/>
      <c r="BI662" s="17"/>
      <c r="BJ662" s="17"/>
      <c r="BK662" s="17"/>
      <c r="BL662" s="92"/>
      <c r="BM662" s="92"/>
      <c r="BN662" s="92"/>
      <c r="BO662" s="92"/>
      <c r="BP662" s="92"/>
      <c r="BQ662" s="818"/>
      <c r="BR662" s="54"/>
      <c r="BS662" s="54"/>
      <c r="BT662" s="818"/>
      <c r="BU662" s="818"/>
      <c r="BV662" s="818"/>
      <c r="BW662" s="92"/>
      <c r="BX662" s="92"/>
      <c r="BY662" s="17"/>
      <c r="BZ662" s="17"/>
      <c r="CA662" s="17"/>
      <c r="CB662" s="17"/>
      <c r="CC662" s="17"/>
      <c r="CD662" s="17"/>
    </row>
    <row r="663">
      <c r="A663" s="92"/>
      <c r="B663" s="820"/>
      <c r="O663" s="17"/>
      <c r="P663" s="17"/>
      <c r="Q663" s="17"/>
      <c r="R663" s="17"/>
      <c r="S663" s="813"/>
      <c r="T663" s="17"/>
      <c r="AX663" s="17"/>
      <c r="BB663" s="17"/>
      <c r="BE663" s="17"/>
      <c r="BF663" s="17"/>
      <c r="BG663" s="17"/>
      <c r="BH663" s="17"/>
      <c r="BI663" s="17"/>
      <c r="BJ663" s="17"/>
      <c r="BK663" s="17"/>
      <c r="BL663" s="92"/>
      <c r="BM663" s="92"/>
      <c r="BN663" s="92"/>
      <c r="BO663" s="92"/>
      <c r="BP663" s="92"/>
      <c r="BQ663" s="818"/>
      <c r="BR663" s="54"/>
      <c r="BS663" s="54"/>
      <c r="BT663" s="818"/>
      <c r="BU663" s="818"/>
      <c r="BV663" s="818"/>
      <c r="BW663" s="92"/>
      <c r="BX663" s="92"/>
      <c r="BY663" s="17"/>
      <c r="BZ663" s="17"/>
      <c r="CA663" s="17"/>
      <c r="CB663" s="17"/>
      <c r="CC663" s="17"/>
      <c r="CD663" s="17"/>
    </row>
    <row r="664">
      <c r="A664" s="92"/>
      <c r="B664" s="820"/>
      <c r="O664" s="17"/>
      <c r="P664" s="17"/>
      <c r="Q664" s="17"/>
      <c r="R664" s="17"/>
      <c r="S664" s="813"/>
      <c r="T664" s="17"/>
      <c r="AX664" s="17"/>
      <c r="BB664" s="17"/>
      <c r="BE664" s="17"/>
      <c r="BF664" s="17"/>
      <c r="BG664" s="17"/>
      <c r="BH664" s="17"/>
      <c r="BI664" s="17"/>
      <c r="BJ664" s="17"/>
      <c r="BK664" s="17"/>
      <c r="BL664" s="92"/>
      <c r="BM664" s="92"/>
      <c r="BN664" s="92"/>
      <c r="BO664" s="92"/>
      <c r="BP664" s="92"/>
      <c r="BQ664" s="818"/>
      <c r="BR664" s="54"/>
      <c r="BS664" s="54"/>
      <c r="BT664" s="818"/>
      <c r="BU664" s="818"/>
      <c r="BV664" s="818"/>
      <c r="BW664" s="92"/>
      <c r="BX664" s="92"/>
      <c r="BY664" s="17"/>
      <c r="BZ664" s="17"/>
      <c r="CA664" s="17"/>
      <c r="CB664" s="17"/>
      <c r="CC664" s="17"/>
      <c r="CD664" s="17"/>
    </row>
    <row r="665">
      <c r="A665" s="92"/>
      <c r="B665" s="820"/>
      <c r="O665" s="17"/>
      <c r="P665" s="17"/>
      <c r="Q665" s="17"/>
      <c r="R665" s="17"/>
      <c r="S665" s="813"/>
      <c r="T665" s="17"/>
      <c r="AX665" s="17"/>
      <c r="BB665" s="17"/>
      <c r="BE665" s="17"/>
      <c r="BF665" s="17"/>
      <c r="BG665" s="17"/>
      <c r="BH665" s="17"/>
      <c r="BI665" s="17"/>
      <c r="BJ665" s="17"/>
      <c r="BK665" s="17"/>
      <c r="BL665" s="92"/>
      <c r="BM665" s="92"/>
      <c r="BN665" s="92"/>
      <c r="BO665" s="92"/>
      <c r="BP665" s="92"/>
      <c r="BQ665" s="818"/>
      <c r="BR665" s="54"/>
      <c r="BS665" s="54"/>
      <c r="BT665" s="818"/>
      <c r="BU665" s="818"/>
      <c r="BV665" s="818"/>
      <c r="BW665" s="92"/>
      <c r="BX665" s="92"/>
      <c r="BY665" s="17"/>
      <c r="BZ665" s="17"/>
      <c r="CA665" s="17"/>
      <c r="CB665" s="17"/>
      <c r="CC665" s="17"/>
      <c r="CD665" s="17"/>
    </row>
    <row r="666">
      <c r="A666" s="92"/>
      <c r="B666" s="820"/>
      <c r="O666" s="17"/>
      <c r="P666" s="17"/>
      <c r="Q666" s="17"/>
      <c r="R666" s="17"/>
      <c r="S666" s="813"/>
      <c r="T666" s="17"/>
      <c r="AX666" s="17"/>
      <c r="BB666" s="17"/>
      <c r="BE666" s="17"/>
      <c r="BF666" s="17"/>
      <c r="BG666" s="17"/>
      <c r="BH666" s="17"/>
      <c r="BI666" s="17"/>
      <c r="BJ666" s="17"/>
      <c r="BK666" s="17"/>
      <c r="BL666" s="92"/>
      <c r="BM666" s="92"/>
      <c r="BN666" s="92"/>
      <c r="BO666" s="92"/>
      <c r="BP666" s="92"/>
      <c r="BQ666" s="818"/>
      <c r="BR666" s="54"/>
      <c r="BS666" s="54"/>
      <c r="BT666" s="818"/>
      <c r="BU666" s="818"/>
      <c r="BV666" s="818"/>
      <c r="BW666" s="92"/>
      <c r="BX666" s="92"/>
      <c r="BY666" s="17"/>
      <c r="BZ666" s="17"/>
      <c r="CA666" s="17"/>
      <c r="CB666" s="17"/>
      <c r="CC666" s="17"/>
      <c r="CD666" s="17"/>
    </row>
    <row r="667">
      <c r="A667" s="92"/>
      <c r="B667" s="820"/>
      <c r="O667" s="17"/>
      <c r="P667" s="17"/>
      <c r="Q667" s="17"/>
      <c r="R667" s="17"/>
      <c r="S667" s="813"/>
      <c r="T667" s="17"/>
      <c r="AX667" s="17"/>
      <c r="BB667" s="17"/>
      <c r="BE667" s="17"/>
      <c r="BF667" s="17"/>
      <c r="BG667" s="17"/>
      <c r="BH667" s="17"/>
      <c r="BI667" s="17"/>
      <c r="BJ667" s="17"/>
      <c r="BK667" s="17"/>
      <c r="BL667" s="92"/>
      <c r="BM667" s="92"/>
      <c r="BN667" s="92"/>
      <c r="BO667" s="92"/>
      <c r="BP667" s="92"/>
      <c r="BQ667" s="818"/>
      <c r="BR667" s="54"/>
      <c r="BS667" s="54"/>
      <c r="BT667" s="818"/>
      <c r="BU667" s="818"/>
      <c r="BV667" s="818"/>
      <c r="BW667" s="92"/>
      <c r="BX667" s="92"/>
      <c r="BY667" s="17"/>
      <c r="BZ667" s="17"/>
      <c r="CA667" s="17"/>
      <c r="CB667" s="17"/>
      <c r="CC667" s="17"/>
      <c r="CD667" s="17"/>
    </row>
    <row r="668">
      <c r="A668" s="92"/>
      <c r="B668" s="820"/>
      <c r="O668" s="17"/>
      <c r="P668" s="17"/>
      <c r="Q668" s="17"/>
      <c r="R668" s="17"/>
      <c r="S668" s="813"/>
      <c r="T668" s="17"/>
      <c r="AX668" s="17"/>
      <c r="BB668" s="17"/>
      <c r="BE668" s="17"/>
      <c r="BF668" s="17"/>
      <c r="BG668" s="17"/>
      <c r="BH668" s="17"/>
      <c r="BI668" s="17"/>
      <c r="BJ668" s="17"/>
      <c r="BK668" s="17"/>
      <c r="BL668" s="92"/>
      <c r="BM668" s="92"/>
      <c r="BN668" s="92"/>
      <c r="BO668" s="92"/>
      <c r="BP668" s="92"/>
      <c r="BQ668" s="818"/>
      <c r="BR668" s="54"/>
      <c r="BS668" s="54"/>
      <c r="BT668" s="818"/>
      <c r="BU668" s="818"/>
      <c r="BV668" s="818"/>
      <c r="BW668" s="92"/>
      <c r="BX668" s="92"/>
      <c r="BY668" s="17"/>
      <c r="BZ668" s="17"/>
      <c r="CA668" s="17"/>
      <c r="CB668" s="17"/>
      <c r="CC668" s="17"/>
      <c r="CD668" s="17"/>
    </row>
    <row r="669">
      <c r="A669" s="92"/>
      <c r="B669" s="820"/>
      <c r="O669" s="17"/>
      <c r="P669" s="17"/>
      <c r="Q669" s="17"/>
      <c r="R669" s="17"/>
      <c r="S669" s="813"/>
      <c r="T669" s="17"/>
      <c r="AX669" s="17"/>
      <c r="BB669" s="17"/>
      <c r="BE669" s="17"/>
      <c r="BF669" s="17"/>
      <c r="BG669" s="17"/>
      <c r="BH669" s="17"/>
      <c r="BI669" s="17"/>
      <c r="BJ669" s="17"/>
      <c r="BK669" s="17"/>
      <c r="BL669" s="92"/>
      <c r="BM669" s="92"/>
      <c r="BN669" s="92"/>
      <c r="BO669" s="92"/>
      <c r="BP669" s="92"/>
      <c r="BQ669" s="818"/>
      <c r="BR669" s="54"/>
      <c r="BS669" s="54"/>
      <c r="BT669" s="818"/>
      <c r="BU669" s="818"/>
      <c r="BV669" s="818"/>
      <c r="BW669" s="92"/>
      <c r="BX669" s="92"/>
      <c r="BY669" s="17"/>
      <c r="BZ669" s="17"/>
      <c r="CA669" s="17"/>
      <c r="CB669" s="17"/>
      <c r="CC669" s="17"/>
      <c r="CD669" s="17"/>
    </row>
    <row r="670">
      <c r="A670" s="92"/>
      <c r="B670" s="820"/>
      <c r="O670" s="17"/>
      <c r="P670" s="17"/>
      <c r="Q670" s="17"/>
      <c r="R670" s="17"/>
      <c r="S670" s="813"/>
      <c r="T670" s="17"/>
      <c r="AX670" s="17"/>
      <c r="BB670" s="17"/>
      <c r="BE670" s="17"/>
      <c r="BF670" s="17"/>
      <c r="BG670" s="17"/>
      <c r="BH670" s="17"/>
      <c r="BI670" s="17"/>
      <c r="BJ670" s="17"/>
      <c r="BK670" s="17"/>
      <c r="BL670" s="92"/>
      <c r="BM670" s="92"/>
      <c r="BN670" s="92"/>
      <c r="BO670" s="92"/>
      <c r="BP670" s="92"/>
      <c r="BQ670" s="818"/>
      <c r="BR670" s="54"/>
      <c r="BS670" s="54"/>
      <c r="BT670" s="818"/>
      <c r="BU670" s="818"/>
      <c r="BV670" s="818"/>
      <c r="BW670" s="92"/>
      <c r="BX670" s="92"/>
      <c r="BY670" s="17"/>
      <c r="BZ670" s="17"/>
      <c r="CA670" s="17"/>
      <c r="CB670" s="17"/>
      <c r="CC670" s="17"/>
      <c r="CD670" s="17"/>
    </row>
    <row r="671">
      <c r="A671" s="92"/>
      <c r="B671" s="820"/>
      <c r="O671" s="17"/>
      <c r="P671" s="17"/>
      <c r="Q671" s="17"/>
      <c r="R671" s="17"/>
      <c r="S671" s="813"/>
      <c r="T671" s="17"/>
      <c r="AX671" s="17"/>
      <c r="BB671" s="17"/>
      <c r="BE671" s="17"/>
      <c r="BF671" s="17"/>
      <c r="BG671" s="17"/>
      <c r="BH671" s="17"/>
      <c r="BI671" s="17"/>
      <c r="BJ671" s="17"/>
      <c r="BK671" s="17"/>
      <c r="BL671" s="92"/>
      <c r="BM671" s="92"/>
      <c r="BN671" s="92"/>
      <c r="BO671" s="92"/>
      <c r="BP671" s="92"/>
      <c r="BQ671" s="818"/>
      <c r="BR671" s="54"/>
      <c r="BS671" s="54"/>
      <c r="BT671" s="818"/>
      <c r="BU671" s="818"/>
      <c r="BV671" s="818"/>
      <c r="BW671" s="92"/>
      <c r="BX671" s="92"/>
      <c r="BY671" s="17"/>
      <c r="BZ671" s="17"/>
      <c r="CA671" s="17"/>
      <c r="CB671" s="17"/>
      <c r="CC671" s="17"/>
      <c r="CD671" s="17"/>
    </row>
    <row r="672">
      <c r="A672" s="92"/>
      <c r="B672" s="820"/>
      <c r="O672" s="17"/>
      <c r="P672" s="17"/>
      <c r="Q672" s="17"/>
      <c r="R672" s="17"/>
      <c r="S672" s="813"/>
      <c r="T672" s="17"/>
      <c r="AX672" s="17"/>
      <c r="BB672" s="17"/>
      <c r="BE672" s="17"/>
      <c r="BF672" s="17"/>
      <c r="BG672" s="17"/>
      <c r="BH672" s="17"/>
      <c r="BI672" s="17"/>
      <c r="BJ672" s="17"/>
      <c r="BK672" s="17"/>
      <c r="BL672" s="92"/>
      <c r="BM672" s="92"/>
      <c r="BN672" s="92"/>
      <c r="BO672" s="92"/>
      <c r="BP672" s="92"/>
      <c r="BQ672" s="818"/>
      <c r="BR672" s="54"/>
      <c r="BS672" s="54"/>
      <c r="BT672" s="818"/>
      <c r="BU672" s="818"/>
      <c r="BV672" s="818"/>
      <c r="BW672" s="92"/>
      <c r="BX672" s="92"/>
      <c r="BY672" s="17"/>
      <c r="BZ672" s="17"/>
      <c r="CA672" s="17"/>
      <c r="CB672" s="17"/>
      <c r="CC672" s="17"/>
      <c r="CD672" s="17"/>
    </row>
    <row r="673">
      <c r="A673" s="92"/>
      <c r="B673" s="820"/>
      <c r="O673" s="17"/>
      <c r="P673" s="17"/>
      <c r="Q673" s="17"/>
      <c r="R673" s="17"/>
      <c r="S673" s="813"/>
      <c r="T673" s="17"/>
      <c r="AX673" s="17"/>
      <c r="BB673" s="17"/>
      <c r="BE673" s="17"/>
      <c r="BF673" s="17"/>
      <c r="BG673" s="17"/>
      <c r="BH673" s="17"/>
      <c r="BI673" s="17"/>
      <c r="BJ673" s="17"/>
      <c r="BK673" s="17"/>
      <c r="BL673" s="92"/>
      <c r="BM673" s="92"/>
      <c r="BN673" s="92"/>
      <c r="BO673" s="92"/>
      <c r="BP673" s="92"/>
      <c r="BQ673" s="818"/>
      <c r="BR673" s="54"/>
      <c r="BS673" s="54"/>
      <c r="BT673" s="818"/>
      <c r="BU673" s="818"/>
      <c r="BV673" s="818"/>
      <c r="BW673" s="92"/>
      <c r="BX673" s="92"/>
      <c r="BY673" s="17"/>
      <c r="BZ673" s="17"/>
      <c r="CA673" s="17"/>
      <c r="CB673" s="17"/>
      <c r="CC673" s="17"/>
      <c r="CD673" s="17"/>
    </row>
    <row r="674">
      <c r="A674" s="92"/>
      <c r="B674" s="820"/>
      <c r="O674" s="17"/>
      <c r="P674" s="17"/>
      <c r="Q674" s="17"/>
      <c r="R674" s="17"/>
      <c r="S674" s="813"/>
      <c r="T674" s="17"/>
      <c r="AX674" s="17"/>
      <c r="BB674" s="17"/>
      <c r="BE674" s="17"/>
      <c r="BF674" s="17"/>
      <c r="BG674" s="17"/>
      <c r="BH674" s="17"/>
      <c r="BI674" s="17"/>
      <c r="BJ674" s="17"/>
      <c r="BK674" s="17"/>
      <c r="BL674" s="92"/>
      <c r="BM674" s="92"/>
      <c r="BN674" s="92"/>
      <c r="BO674" s="92"/>
      <c r="BP674" s="92"/>
      <c r="BQ674" s="818"/>
      <c r="BR674" s="54"/>
      <c r="BS674" s="54"/>
      <c r="BT674" s="818"/>
      <c r="BU674" s="818"/>
      <c r="BV674" s="818"/>
      <c r="BW674" s="92"/>
      <c r="BX674" s="92"/>
      <c r="BY674" s="17"/>
      <c r="BZ674" s="17"/>
      <c r="CA674" s="17"/>
      <c r="CB674" s="17"/>
      <c r="CC674" s="17"/>
      <c r="CD674" s="17"/>
    </row>
    <row r="675">
      <c r="A675" s="92"/>
      <c r="B675" s="820"/>
      <c r="O675" s="17"/>
      <c r="P675" s="17"/>
      <c r="Q675" s="17"/>
      <c r="R675" s="17"/>
      <c r="S675" s="813"/>
      <c r="T675" s="17"/>
      <c r="AX675" s="17"/>
      <c r="BB675" s="17"/>
      <c r="BE675" s="17"/>
      <c r="BF675" s="17"/>
      <c r="BG675" s="17"/>
      <c r="BH675" s="17"/>
      <c r="BI675" s="17"/>
      <c r="BJ675" s="17"/>
      <c r="BK675" s="17"/>
      <c r="BL675" s="92"/>
      <c r="BM675" s="92"/>
      <c r="BN675" s="92"/>
      <c r="BO675" s="92"/>
      <c r="BP675" s="92"/>
      <c r="BQ675" s="818"/>
      <c r="BR675" s="54"/>
      <c r="BS675" s="54"/>
      <c r="BT675" s="818"/>
      <c r="BU675" s="818"/>
      <c r="BV675" s="818"/>
      <c r="BW675" s="92"/>
      <c r="BX675" s="92"/>
      <c r="BY675" s="17"/>
      <c r="BZ675" s="17"/>
      <c r="CA675" s="17"/>
      <c r="CB675" s="17"/>
      <c r="CC675" s="17"/>
      <c r="CD675" s="17"/>
    </row>
    <row r="676">
      <c r="A676" s="92"/>
      <c r="B676" s="820"/>
      <c r="O676" s="17"/>
      <c r="P676" s="17"/>
      <c r="Q676" s="17"/>
      <c r="R676" s="17"/>
      <c r="S676" s="813"/>
      <c r="T676" s="17"/>
      <c r="AX676" s="17"/>
      <c r="BB676" s="17"/>
      <c r="BE676" s="17"/>
      <c r="BF676" s="17"/>
      <c r="BG676" s="17"/>
      <c r="BH676" s="17"/>
      <c r="BI676" s="17"/>
      <c r="BJ676" s="17"/>
      <c r="BK676" s="17"/>
      <c r="BL676" s="92"/>
      <c r="BM676" s="92"/>
      <c r="BN676" s="92"/>
      <c r="BO676" s="92"/>
      <c r="BP676" s="92"/>
      <c r="BQ676" s="818"/>
      <c r="BR676" s="54"/>
      <c r="BS676" s="54"/>
      <c r="BT676" s="818"/>
      <c r="BU676" s="818"/>
      <c r="BV676" s="818"/>
      <c r="BW676" s="92"/>
      <c r="BX676" s="92"/>
      <c r="BY676" s="17"/>
      <c r="BZ676" s="17"/>
      <c r="CA676" s="17"/>
      <c r="CB676" s="17"/>
      <c r="CC676" s="17"/>
      <c r="CD676" s="17"/>
    </row>
    <row r="677">
      <c r="A677" s="92"/>
      <c r="B677" s="820"/>
      <c r="O677" s="17"/>
      <c r="P677" s="17"/>
      <c r="Q677" s="17"/>
      <c r="R677" s="17"/>
      <c r="S677" s="813"/>
      <c r="T677" s="17"/>
      <c r="AX677" s="17"/>
      <c r="BB677" s="17"/>
      <c r="BE677" s="17"/>
      <c r="BF677" s="17"/>
      <c r="BG677" s="17"/>
      <c r="BH677" s="17"/>
      <c r="BI677" s="17"/>
      <c r="BJ677" s="17"/>
      <c r="BK677" s="17"/>
      <c r="BL677" s="92"/>
      <c r="BM677" s="92"/>
      <c r="BN677" s="92"/>
      <c r="BO677" s="92"/>
      <c r="BP677" s="92"/>
      <c r="BQ677" s="818"/>
      <c r="BR677" s="54"/>
      <c r="BS677" s="54"/>
      <c r="BT677" s="818"/>
      <c r="BU677" s="818"/>
      <c r="BV677" s="818"/>
      <c r="BW677" s="92"/>
      <c r="BX677" s="92"/>
      <c r="BY677" s="17"/>
      <c r="BZ677" s="17"/>
      <c r="CA677" s="17"/>
      <c r="CB677" s="17"/>
      <c r="CC677" s="17"/>
      <c r="CD677" s="17"/>
    </row>
    <row r="678">
      <c r="A678" s="92"/>
      <c r="B678" s="820"/>
      <c r="O678" s="17"/>
      <c r="P678" s="17"/>
      <c r="Q678" s="17"/>
      <c r="R678" s="17"/>
      <c r="S678" s="813"/>
      <c r="T678" s="17"/>
      <c r="AX678" s="17"/>
      <c r="BB678" s="17"/>
      <c r="BE678" s="17"/>
      <c r="BF678" s="17"/>
      <c r="BG678" s="17"/>
      <c r="BH678" s="17"/>
      <c r="BI678" s="17"/>
      <c r="BJ678" s="17"/>
      <c r="BK678" s="17"/>
      <c r="BL678" s="92"/>
      <c r="BM678" s="92"/>
      <c r="BN678" s="92"/>
      <c r="BO678" s="92"/>
      <c r="BP678" s="92"/>
      <c r="BQ678" s="818"/>
      <c r="BR678" s="54"/>
      <c r="BS678" s="54"/>
      <c r="BT678" s="818"/>
      <c r="BU678" s="818"/>
      <c r="BV678" s="818"/>
      <c r="BW678" s="92"/>
      <c r="BX678" s="92"/>
      <c r="BY678" s="17"/>
      <c r="BZ678" s="17"/>
      <c r="CA678" s="17"/>
      <c r="CB678" s="17"/>
      <c r="CC678" s="17"/>
      <c r="CD678" s="17"/>
    </row>
    <row r="679">
      <c r="A679" s="92"/>
      <c r="B679" s="820"/>
      <c r="O679" s="17"/>
      <c r="P679" s="17"/>
      <c r="Q679" s="17"/>
      <c r="R679" s="17"/>
      <c r="S679" s="813"/>
      <c r="T679" s="17"/>
      <c r="AX679" s="17"/>
      <c r="BB679" s="17"/>
      <c r="BE679" s="17"/>
      <c r="BF679" s="17"/>
      <c r="BG679" s="17"/>
      <c r="BH679" s="17"/>
      <c r="BI679" s="17"/>
      <c r="BJ679" s="17"/>
      <c r="BK679" s="17"/>
      <c r="BL679" s="92"/>
      <c r="BM679" s="92"/>
      <c r="BN679" s="92"/>
      <c r="BO679" s="92"/>
      <c r="BP679" s="92"/>
      <c r="BQ679" s="818"/>
      <c r="BR679" s="54"/>
      <c r="BS679" s="54"/>
      <c r="BT679" s="818"/>
      <c r="BU679" s="818"/>
      <c r="BV679" s="818"/>
      <c r="BW679" s="92"/>
      <c r="BX679" s="92"/>
      <c r="BY679" s="17"/>
      <c r="BZ679" s="17"/>
      <c r="CA679" s="17"/>
      <c r="CB679" s="17"/>
      <c r="CC679" s="17"/>
      <c r="CD679" s="17"/>
    </row>
    <row r="680">
      <c r="A680" s="92"/>
      <c r="B680" s="820"/>
      <c r="O680" s="17"/>
      <c r="P680" s="17"/>
      <c r="Q680" s="17"/>
      <c r="R680" s="17"/>
      <c r="S680" s="813"/>
      <c r="T680" s="17"/>
      <c r="AX680" s="17"/>
      <c r="BB680" s="17"/>
      <c r="BE680" s="17"/>
      <c r="BF680" s="17"/>
      <c r="BG680" s="17"/>
      <c r="BH680" s="17"/>
      <c r="BI680" s="17"/>
      <c r="BJ680" s="17"/>
      <c r="BK680" s="17"/>
      <c r="BL680" s="92"/>
      <c r="BM680" s="92"/>
      <c r="BN680" s="92"/>
      <c r="BO680" s="92"/>
      <c r="BP680" s="92"/>
      <c r="BQ680" s="818"/>
      <c r="BR680" s="54"/>
      <c r="BS680" s="54"/>
      <c r="BT680" s="818"/>
      <c r="BU680" s="818"/>
      <c r="BV680" s="818"/>
      <c r="BW680" s="92"/>
      <c r="BX680" s="92"/>
      <c r="BY680" s="17"/>
      <c r="BZ680" s="17"/>
      <c r="CA680" s="17"/>
      <c r="CB680" s="17"/>
      <c r="CC680" s="17"/>
      <c r="CD680" s="17"/>
    </row>
    <row r="681">
      <c r="A681" s="92"/>
      <c r="B681" s="820"/>
      <c r="O681" s="17"/>
      <c r="P681" s="17"/>
      <c r="Q681" s="17"/>
      <c r="R681" s="17"/>
      <c r="S681" s="813"/>
      <c r="T681" s="17"/>
      <c r="AX681" s="17"/>
      <c r="BB681" s="17"/>
      <c r="BE681" s="17"/>
      <c r="BF681" s="17"/>
      <c r="BG681" s="17"/>
      <c r="BH681" s="17"/>
      <c r="BI681" s="17"/>
      <c r="BJ681" s="17"/>
      <c r="BK681" s="17"/>
      <c r="BL681" s="92"/>
      <c r="BM681" s="92"/>
      <c r="BN681" s="92"/>
      <c r="BO681" s="92"/>
      <c r="BP681" s="92"/>
      <c r="BQ681" s="818"/>
      <c r="BR681" s="54"/>
      <c r="BS681" s="54"/>
      <c r="BT681" s="818"/>
      <c r="BU681" s="818"/>
      <c r="BV681" s="818"/>
      <c r="BW681" s="92"/>
      <c r="BX681" s="92"/>
      <c r="BY681" s="17"/>
      <c r="BZ681" s="17"/>
      <c r="CA681" s="17"/>
      <c r="CB681" s="17"/>
      <c r="CC681" s="17"/>
      <c r="CD681" s="17"/>
    </row>
    <row r="682">
      <c r="A682" s="92"/>
      <c r="B682" s="820"/>
      <c r="O682" s="17"/>
      <c r="P682" s="17"/>
      <c r="Q682" s="17"/>
      <c r="R682" s="17"/>
      <c r="S682" s="813"/>
      <c r="T682" s="17"/>
      <c r="AX682" s="17"/>
      <c r="BB682" s="17"/>
      <c r="BE682" s="17"/>
      <c r="BF682" s="17"/>
      <c r="BG682" s="17"/>
      <c r="BH682" s="17"/>
      <c r="BI682" s="17"/>
      <c r="BJ682" s="17"/>
      <c r="BK682" s="17"/>
      <c r="BL682" s="92"/>
      <c r="BM682" s="92"/>
      <c r="BN682" s="92"/>
      <c r="BO682" s="92"/>
      <c r="BP682" s="92"/>
      <c r="BQ682" s="818"/>
      <c r="BR682" s="54"/>
      <c r="BS682" s="54"/>
      <c r="BT682" s="818"/>
      <c r="BU682" s="818"/>
      <c r="BV682" s="818"/>
      <c r="BW682" s="92"/>
      <c r="BX682" s="92"/>
      <c r="BY682" s="17"/>
      <c r="BZ682" s="17"/>
      <c r="CA682" s="17"/>
      <c r="CB682" s="17"/>
      <c r="CC682" s="17"/>
      <c r="CD682" s="17"/>
    </row>
    <row r="683">
      <c r="A683" s="92"/>
      <c r="B683" s="820"/>
      <c r="O683" s="17"/>
      <c r="P683" s="17"/>
      <c r="Q683" s="17"/>
      <c r="R683" s="17"/>
      <c r="S683" s="813"/>
      <c r="T683" s="17"/>
      <c r="AX683" s="17"/>
      <c r="BB683" s="17"/>
      <c r="BE683" s="17"/>
      <c r="BF683" s="17"/>
      <c r="BG683" s="17"/>
      <c r="BH683" s="17"/>
      <c r="BI683" s="17"/>
      <c r="BJ683" s="17"/>
      <c r="BK683" s="17"/>
      <c r="BL683" s="92"/>
      <c r="BM683" s="92"/>
      <c r="BN683" s="92"/>
      <c r="BO683" s="92"/>
      <c r="BP683" s="92"/>
      <c r="BQ683" s="818"/>
      <c r="BR683" s="54"/>
      <c r="BS683" s="54"/>
      <c r="BT683" s="818"/>
      <c r="BU683" s="818"/>
      <c r="BV683" s="818"/>
      <c r="BW683" s="92"/>
      <c r="BX683" s="92"/>
      <c r="BY683" s="17"/>
      <c r="BZ683" s="17"/>
      <c r="CA683" s="17"/>
      <c r="CB683" s="17"/>
      <c r="CC683" s="17"/>
      <c r="CD683" s="17"/>
    </row>
    <row r="684">
      <c r="A684" s="92"/>
      <c r="B684" s="820"/>
      <c r="O684" s="17"/>
      <c r="P684" s="17"/>
      <c r="Q684" s="17"/>
      <c r="R684" s="17"/>
      <c r="S684" s="813"/>
      <c r="T684" s="17"/>
      <c r="AX684" s="17"/>
      <c r="BB684" s="17"/>
      <c r="BE684" s="17"/>
      <c r="BF684" s="17"/>
      <c r="BG684" s="17"/>
      <c r="BH684" s="17"/>
      <c r="BI684" s="17"/>
      <c r="BJ684" s="17"/>
      <c r="BK684" s="17"/>
      <c r="BL684" s="92"/>
      <c r="BM684" s="92"/>
      <c r="BN684" s="92"/>
      <c r="BO684" s="92"/>
      <c r="BP684" s="92"/>
      <c r="BQ684" s="818"/>
      <c r="BR684" s="54"/>
      <c r="BS684" s="54"/>
      <c r="BT684" s="818"/>
      <c r="BU684" s="818"/>
      <c r="BV684" s="818"/>
      <c r="BW684" s="92"/>
      <c r="BX684" s="92"/>
      <c r="BY684" s="17"/>
      <c r="BZ684" s="17"/>
      <c r="CA684" s="17"/>
      <c r="CB684" s="17"/>
      <c r="CC684" s="17"/>
      <c r="CD684" s="17"/>
    </row>
    <row r="685">
      <c r="A685" s="92"/>
      <c r="B685" s="820"/>
      <c r="O685" s="17"/>
      <c r="P685" s="17"/>
      <c r="Q685" s="17"/>
      <c r="R685" s="17"/>
      <c r="S685" s="813"/>
      <c r="T685" s="17"/>
      <c r="AX685" s="17"/>
      <c r="BB685" s="17"/>
      <c r="BE685" s="17"/>
      <c r="BF685" s="17"/>
      <c r="BG685" s="17"/>
      <c r="BH685" s="17"/>
      <c r="BI685" s="17"/>
      <c r="BJ685" s="17"/>
      <c r="BK685" s="17"/>
      <c r="BL685" s="92"/>
      <c r="BM685" s="92"/>
      <c r="BN685" s="92"/>
      <c r="BO685" s="92"/>
      <c r="BP685" s="92"/>
      <c r="BQ685" s="818"/>
      <c r="BR685" s="54"/>
      <c r="BS685" s="54"/>
      <c r="BT685" s="818"/>
      <c r="BU685" s="818"/>
      <c r="BV685" s="818"/>
      <c r="BW685" s="92"/>
      <c r="BX685" s="92"/>
      <c r="BY685" s="17"/>
      <c r="BZ685" s="17"/>
      <c r="CA685" s="17"/>
      <c r="CB685" s="17"/>
      <c r="CC685" s="17"/>
      <c r="CD685" s="17"/>
    </row>
    <row r="686">
      <c r="A686" s="92"/>
      <c r="B686" s="820"/>
      <c r="O686" s="17"/>
      <c r="P686" s="17"/>
      <c r="Q686" s="17"/>
      <c r="R686" s="17"/>
      <c r="S686" s="813"/>
      <c r="T686" s="17"/>
      <c r="AX686" s="17"/>
      <c r="BB686" s="17"/>
      <c r="BE686" s="17"/>
      <c r="BF686" s="17"/>
      <c r="BG686" s="17"/>
      <c r="BH686" s="17"/>
      <c r="BI686" s="17"/>
      <c r="BJ686" s="17"/>
      <c r="BK686" s="17"/>
      <c r="BL686" s="92"/>
      <c r="BM686" s="92"/>
      <c r="BN686" s="92"/>
      <c r="BO686" s="92"/>
      <c r="BP686" s="92"/>
      <c r="BQ686" s="818"/>
      <c r="BR686" s="54"/>
      <c r="BS686" s="54"/>
      <c r="BT686" s="818"/>
      <c r="BU686" s="818"/>
      <c r="BV686" s="818"/>
      <c r="BW686" s="92"/>
      <c r="BX686" s="92"/>
      <c r="BY686" s="17"/>
      <c r="BZ686" s="17"/>
      <c r="CA686" s="17"/>
      <c r="CB686" s="17"/>
      <c r="CC686" s="17"/>
      <c r="CD686" s="17"/>
    </row>
    <row r="687">
      <c r="A687" s="92"/>
      <c r="B687" s="820"/>
      <c r="O687" s="17"/>
      <c r="P687" s="17"/>
      <c r="Q687" s="17"/>
      <c r="R687" s="17"/>
      <c r="S687" s="813"/>
      <c r="T687" s="17"/>
      <c r="AX687" s="17"/>
      <c r="BB687" s="17"/>
      <c r="BE687" s="17"/>
      <c r="BF687" s="17"/>
      <c r="BG687" s="17"/>
      <c r="BH687" s="17"/>
      <c r="BI687" s="17"/>
      <c r="BJ687" s="17"/>
      <c r="BK687" s="17"/>
      <c r="BL687" s="92"/>
      <c r="BM687" s="92"/>
      <c r="BN687" s="92"/>
      <c r="BO687" s="92"/>
      <c r="BP687" s="92"/>
      <c r="BQ687" s="818"/>
      <c r="BR687" s="54"/>
      <c r="BS687" s="54"/>
      <c r="BT687" s="818"/>
      <c r="BU687" s="818"/>
      <c r="BV687" s="818"/>
      <c r="BW687" s="92"/>
      <c r="BX687" s="92"/>
      <c r="BY687" s="17"/>
      <c r="BZ687" s="17"/>
      <c r="CA687" s="17"/>
      <c r="CB687" s="17"/>
      <c r="CC687" s="17"/>
      <c r="CD687" s="17"/>
    </row>
    <row r="688">
      <c r="A688" s="92"/>
      <c r="B688" s="820"/>
      <c r="O688" s="17"/>
      <c r="P688" s="17"/>
      <c r="Q688" s="17"/>
      <c r="R688" s="17"/>
      <c r="S688" s="813"/>
      <c r="T688" s="17"/>
      <c r="AX688" s="17"/>
      <c r="BB688" s="17"/>
      <c r="BE688" s="17"/>
      <c r="BF688" s="17"/>
      <c r="BG688" s="17"/>
      <c r="BH688" s="17"/>
      <c r="BI688" s="17"/>
      <c r="BJ688" s="17"/>
      <c r="BK688" s="17"/>
      <c r="BL688" s="92"/>
      <c r="BM688" s="92"/>
      <c r="BN688" s="92"/>
      <c r="BO688" s="92"/>
      <c r="BP688" s="92"/>
      <c r="BQ688" s="818"/>
      <c r="BR688" s="54"/>
      <c r="BS688" s="54"/>
      <c r="BT688" s="818"/>
      <c r="BU688" s="818"/>
      <c r="BV688" s="818"/>
      <c r="BW688" s="92"/>
      <c r="BX688" s="92"/>
      <c r="BY688" s="17"/>
      <c r="BZ688" s="17"/>
      <c r="CA688" s="17"/>
      <c r="CB688" s="17"/>
      <c r="CC688" s="17"/>
      <c r="CD688" s="17"/>
    </row>
    <row r="689">
      <c r="A689" s="92"/>
      <c r="B689" s="820"/>
      <c r="O689" s="17"/>
      <c r="P689" s="17"/>
      <c r="Q689" s="17"/>
      <c r="R689" s="17"/>
      <c r="S689" s="813"/>
      <c r="T689" s="17"/>
      <c r="AX689" s="17"/>
      <c r="BB689" s="17"/>
      <c r="BE689" s="17"/>
      <c r="BF689" s="17"/>
      <c r="BG689" s="17"/>
      <c r="BH689" s="17"/>
      <c r="BI689" s="17"/>
      <c r="BJ689" s="17"/>
      <c r="BK689" s="17"/>
      <c r="BL689" s="92"/>
      <c r="BM689" s="92"/>
      <c r="BN689" s="92"/>
      <c r="BO689" s="92"/>
      <c r="BP689" s="92"/>
      <c r="BQ689" s="818"/>
      <c r="BR689" s="54"/>
      <c r="BS689" s="54"/>
      <c r="BT689" s="818"/>
      <c r="BU689" s="818"/>
      <c r="BV689" s="818"/>
      <c r="BW689" s="92"/>
      <c r="BX689" s="92"/>
      <c r="BY689" s="17"/>
      <c r="BZ689" s="17"/>
      <c r="CA689" s="17"/>
      <c r="CB689" s="17"/>
      <c r="CC689" s="17"/>
      <c r="CD689" s="17"/>
    </row>
    <row r="690">
      <c r="A690" s="92"/>
      <c r="B690" s="820"/>
      <c r="O690" s="17"/>
      <c r="P690" s="17"/>
      <c r="Q690" s="17"/>
      <c r="R690" s="17"/>
      <c r="S690" s="813"/>
      <c r="T690" s="17"/>
      <c r="AX690" s="17"/>
      <c r="BB690" s="17"/>
      <c r="BE690" s="17"/>
      <c r="BF690" s="17"/>
      <c r="BG690" s="17"/>
      <c r="BH690" s="17"/>
      <c r="BI690" s="17"/>
      <c r="BJ690" s="17"/>
      <c r="BK690" s="17"/>
      <c r="BL690" s="92"/>
      <c r="BM690" s="92"/>
      <c r="BN690" s="92"/>
      <c r="BO690" s="92"/>
      <c r="BP690" s="92"/>
      <c r="BQ690" s="818"/>
      <c r="BR690" s="54"/>
      <c r="BS690" s="54"/>
      <c r="BT690" s="818"/>
      <c r="BU690" s="818"/>
      <c r="BV690" s="818"/>
      <c r="BW690" s="92"/>
      <c r="BX690" s="92"/>
      <c r="BY690" s="17"/>
      <c r="BZ690" s="17"/>
      <c r="CA690" s="17"/>
      <c r="CB690" s="17"/>
      <c r="CC690" s="17"/>
      <c r="CD690" s="17"/>
    </row>
    <row r="691">
      <c r="A691" s="92"/>
      <c r="B691" s="820"/>
      <c r="O691" s="17"/>
      <c r="P691" s="17"/>
      <c r="Q691" s="17"/>
      <c r="R691" s="17"/>
      <c r="S691" s="813"/>
      <c r="T691" s="17"/>
      <c r="AX691" s="17"/>
      <c r="BB691" s="17"/>
      <c r="BE691" s="17"/>
      <c r="BF691" s="17"/>
      <c r="BG691" s="17"/>
      <c r="BH691" s="17"/>
      <c r="BI691" s="17"/>
      <c r="BJ691" s="17"/>
      <c r="BK691" s="17"/>
      <c r="BL691" s="92"/>
      <c r="BM691" s="92"/>
      <c r="BN691" s="92"/>
      <c r="BO691" s="92"/>
      <c r="BP691" s="92"/>
      <c r="BQ691" s="818"/>
      <c r="BR691" s="54"/>
      <c r="BS691" s="54"/>
      <c r="BT691" s="818"/>
      <c r="BU691" s="818"/>
      <c r="BV691" s="818"/>
      <c r="BW691" s="92"/>
      <c r="BX691" s="92"/>
      <c r="BY691" s="17"/>
      <c r="BZ691" s="17"/>
      <c r="CA691" s="17"/>
      <c r="CB691" s="17"/>
      <c r="CC691" s="17"/>
      <c r="CD691" s="17"/>
    </row>
    <row r="692">
      <c r="A692" s="92"/>
      <c r="B692" s="820"/>
      <c r="O692" s="17"/>
      <c r="P692" s="17"/>
      <c r="Q692" s="17"/>
      <c r="R692" s="17"/>
      <c r="S692" s="813"/>
      <c r="T692" s="17"/>
      <c r="AX692" s="17"/>
      <c r="BB692" s="17"/>
      <c r="BE692" s="17"/>
      <c r="BF692" s="17"/>
      <c r="BG692" s="17"/>
      <c r="BH692" s="17"/>
      <c r="BI692" s="17"/>
      <c r="BJ692" s="17"/>
      <c r="BK692" s="17"/>
      <c r="BL692" s="92"/>
      <c r="BM692" s="92"/>
      <c r="BN692" s="92"/>
      <c r="BO692" s="92"/>
      <c r="BP692" s="92"/>
      <c r="BQ692" s="818"/>
      <c r="BR692" s="54"/>
      <c r="BS692" s="54"/>
      <c r="BT692" s="818"/>
      <c r="BU692" s="818"/>
      <c r="BV692" s="818"/>
      <c r="BW692" s="92"/>
      <c r="BX692" s="92"/>
      <c r="BY692" s="17"/>
      <c r="BZ692" s="17"/>
      <c r="CA692" s="17"/>
      <c r="CB692" s="17"/>
      <c r="CC692" s="17"/>
      <c r="CD692" s="17"/>
    </row>
    <row r="693">
      <c r="A693" s="92"/>
      <c r="B693" s="820"/>
      <c r="O693" s="17"/>
      <c r="P693" s="17"/>
      <c r="Q693" s="17"/>
      <c r="R693" s="17"/>
      <c r="S693" s="813"/>
      <c r="T693" s="17"/>
      <c r="AX693" s="17"/>
      <c r="BB693" s="17"/>
      <c r="BE693" s="17"/>
      <c r="BF693" s="17"/>
      <c r="BG693" s="17"/>
      <c r="BH693" s="17"/>
      <c r="BI693" s="17"/>
      <c r="BJ693" s="17"/>
      <c r="BK693" s="17"/>
      <c r="BL693" s="92"/>
      <c r="BM693" s="92"/>
      <c r="BN693" s="92"/>
      <c r="BO693" s="92"/>
      <c r="BP693" s="92"/>
      <c r="BQ693" s="818"/>
      <c r="BR693" s="54"/>
      <c r="BS693" s="54"/>
      <c r="BT693" s="818"/>
      <c r="BU693" s="818"/>
      <c r="BV693" s="818"/>
      <c r="BW693" s="92"/>
      <c r="BX693" s="92"/>
      <c r="BY693" s="17"/>
      <c r="BZ693" s="17"/>
      <c r="CA693" s="17"/>
      <c r="CB693" s="17"/>
      <c r="CC693" s="17"/>
      <c r="CD693" s="17"/>
    </row>
    <row r="694">
      <c r="A694" s="92"/>
      <c r="B694" s="820"/>
      <c r="O694" s="17"/>
      <c r="P694" s="17"/>
      <c r="Q694" s="17"/>
      <c r="R694" s="17"/>
      <c r="S694" s="813"/>
      <c r="T694" s="17"/>
      <c r="AX694" s="17"/>
      <c r="BB694" s="17"/>
      <c r="BE694" s="17"/>
      <c r="BF694" s="17"/>
      <c r="BG694" s="17"/>
      <c r="BH694" s="17"/>
      <c r="BI694" s="17"/>
      <c r="BJ694" s="17"/>
      <c r="BK694" s="17"/>
      <c r="BL694" s="92"/>
      <c r="BM694" s="92"/>
      <c r="BN694" s="92"/>
      <c r="BO694" s="92"/>
      <c r="BP694" s="92"/>
      <c r="BQ694" s="818"/>
      <c r="BR694" s="54"/>
      <c r="BS694" s="54"/>
      <c r="BT694" s="818"/>
      <c r="BU694" s="818"/>
      <c r="BV694" s="818"/>
      <c r="BW694" s="92"/>
      <c r="BX694" s="92"/>
      <c r="BY694" s="17"/>
      <c r="BZ694" s="17"/>
      <c r="CA694" s="17"/>
      <c r="CB694" s="17"/>
      <c r="CC694" s="17"/>
      <c r="CD694" s="17"/>
    </row>
    <row r="695">
      <c r="A695" s="92"/>
      <c r="B695" s="820"/>
      <c r="O695" s="17"/>
      <c r="P695" s="17"/>
      <c r="Q695" s="17"/>
      <c r="R695" s="17"/>
      <c r="S695" s="813"/>
      <c r="T695" s="17"/>
      <c r="AX695" s="17"/>
      <c r="BB695" s="17"/>
      <c r="BE695" s="17"/>
      <c r="BF695" s="17"/>
      <c r="BG695" s="17"/>
      <c r="BH695" s="17"/>
      <c r="BI695" s="17"/>
      <c r="BJ695" s="17"/>
      <c r="BK695" s="17"/>
      <c r="BL695" s="92"/>
      <c r="BM695" s="92"/>
      <c r="BN695" s="92"/>
      <c r="BO695" s="92"/>
      <c r="BP695" s="92"/>
      <c r="BQ695" s="818"/>
      <c r="BR695" s="54"/>
      <c r="BS695" s="54"/>
      <c r="BT695" s="818"/>
      <c r="BU695" s="818"/>
      <c r="BV695" s="818"/>
      <c r="BW695" s="92"/>
      <c r="BX695" s="92"/>
      <c r="BY695" s="17"/>
      <c r="BZ695" s="17"/>
      <c r="CA695" s="17"/>
      <c r="CB695" s="17"/>
      <c r="CC695" s="17"/>
      <c r="CD695" s="17"/>
    </row>
    <row r="696">
      <c r="A696" s="92"/>
      <c r="B696" s="820"/>
      <c r="O696" s="17"/>
      <c r="P696" s="17"/>
      <c r="Q696" s="17"/>
      <c r="R696" s="17"/>
      <c r="S696" s="813"/>
      <c r="T696" s="17"/>
      <c r="AX696" s="17"/>
      <c r="BB696" s="17"/>
      <c r="BE696" s="17"/>
      <c r="BF696" s="17"/>
      <c r="BG696" s="17"/>
      <c r="BH696" s="17"/>
      <c r="BI696" s="17"/>
      <c r="BJ696" s="17"/>
      <c r="BK696" s="17"/>
      <c r="BL696" s="92"/>
      <c r="BM696" s="92"/>
      <c r="BN696" s="92"/>
      <c r="BO696" s="92"/>
      <c r="BP696" s="92"/>
      <c r="BQ696" s="818"/>
      <c r="BR696" s="54"/>
      <c r="BS696" s="54"/>
      <c r="BT696" s="818"/>
      <c r="BU696" s="818"/>
      <c r="BV696" s="818"/>
      <c r="BW696" s="92"/>
      <c r="BX696" s="92"/>
      <c r="BY696" s="17"/>
      <c r="BZ696" s="17"/>
      <c r="CA696" s="17"/>
      <c r="CB696" s="17"/>
      <c r="CC696" s="17"/>
      <c r="CD696" s="17"/>
    </row>
    <row r="697">
      <c r="A697" s="92"/>
      <c r="B697" s="820"/>
      <c r="O697" s="17"/>
      <c r="P697" s="17"/>
      <c r="Q697" s="17"/>
      <c r="R697" s="17"/>
      <c r="S697" s="813"/>
      <c r="T697" s="17"/>
      <c r="AX697" s="17"/>
      <c r="BB697" s="17"/>
      <c r="BE697" s="17"/>
      <c r="BF697" s="17"/>
      <c r="BG697" s="17"/>
      <c r="BH697" s="17"/>
      <c r="BI697" s="17"/>
      <c r="BJ697" s="17"/>
      <c r="BK697" s="17"/>
      <c r="BL697" s="92"/>
      <c r="BM697" s="92"/>
      <c r="BN697" s="92"/>
      <c r="BO697" s="92"/>
      <c r="BP697" s="92"/>
      <c r="BQ697" s="818"/>
      <c r="BR697" s="54"/>
      <c r="BS697" s="54"/>
      <c r="BT697" s="818"/>
      <c r="BU697" s="818"/>
      <c r="BV697" s="818"/>
      <c r="BW697" s="92"/>
      <c r="BX697" s="92"/>
      <c r="BY697" s="17"/>
      <c r="BZ697" s="17"/>
      <c r="CA697" s="17"/>
      <c r="CB697" s="17"/>
      <c r="CC697" s="17"/>
      <c r="CD697" s="17"/>
    </row>
    <row r="698">
      <c r="A698" s="92"/>
      <c r="B698" s="820"/>
      <c r="O698" s="17"/>
      <c r="P698" s="17"/>
      <c r="Q698" s="17"/>
      <c r="R698" s="17"/>
      <c r="S698" s="813"/>
      <c r="T698" s="17"/>
      <c r="AX698" s="17"/>
      <c r="BB698" s="17"/>
      <c r="BE698" s="17"/>
      <c r="BF698" s="17"/>
      <c r="BG698" s="17"/>
      <c r="BH698" s="17"/>
      <c r="BI698" s="17"/>
      <c r="BJ698" s="17"/>
      <c r="BK698" s="17"/>
      <c r="BL698" s="92"/>
      <c r="BM698" s="92"/>
      <c r="BN698" s="92"/>
      <c r="BO698" s="92"/>
      <c r="BP698" s="92"/>
      <c r="BQ698" s="818"/>
      <c r="BR698" s="54"/>
      <c r="BS698" s="54"/>
      <c r="BT698" s="818"/>
      <c r="BU698" s="818"/>
      <c r="BV698" s="818"/>
      <c r="BW698" s="92"/>
      <c r="BX698" s="92"/>
      <c r="BY698" s="17"/>
      <c r="BZ698" s="17"/>
      <c r="CA698" s="17"/>
      <c r="CB698" s="17"/>
      <c r="CC698" s="17"/>
      <c r="CD698" s="17"/>
    </row>
    <row r="699">
      <c r="A699" s="92"/>
      <c r="B699" s="820"/>
      <c r="O699" s="17"/>
      <c r="P699" s="17"/>
      <c r="Q699" s="17"/>
      <c r="R699" s="17"/>
      <c r="S699" s="813"/>
      <c r="T699" s="17"/>
      <c r="AX699" s="17"/>
      <c r="BB699" s="17"/>
      <c r="BE699" s="17"/>
      <c r="BF699" s="17"/>
      <c r="BG699" s="17"/>
      <c r="BH699" s="17"/>
      <c r="BI699" s="17"/>
      <c r="BJ699" s="17"/>
      <c r="BK699" s="17"/>
      <c r="BL699" s="92"/>
      <c r="BM699" s="92"/>
      <c r="BN699" s="92"/>
      <c r="BO699" s="92"/>
      <c r="BP699" s="92"/>
      <c r="BQ699" s="818"/>
      <c r="BR699" s="54"/>
      <c r="BS699" s="54"/>
      <c r="BT699" s="818"/>
      <c r="BU699" s="818"/>
      <c r="BV699" s="818"/>
      <c r="BW699" s="92"/>
      <c r="BX699" s="92"/>
      <c r="BY699" s="17"/>
      <c r="BZ699" s="17"/>
      <c r="CA699" s="17"/>
      <c r="CB699" s="17"/>
      <c r="CC699" s="17"/>
      <c r="CD699" s="17"/>
    </row>
    <row r="700">
      <c r="A700" s="92"/>
      <c r="B700" s="820"/>
      <c r="O700" s="17"/>
      <c r="P700" s="17"/>
      <c r="Q700" s="17"/>
      <c r="R700" s="17"/>
      <c r="S700" s="813"/>
      <c r="T700" s="17"/>
      <c r="AX700" s="17"/>
      <c r="BB700" s="17"/>
      <c r="BE700" s="17"/>
      <c r="BF700" s="17"/>
      <c r="BG700" s="17"/>
      <c r="BH700" s="17"/>
      <c r="BI700" s="17"/>
      <c r="BJ700" s="17"/>
      <c r="BK700" s="17"/>
      <c r="BL700" s="92"/>
      <c r="BM700" s="92"/>
      <c r="BN700" s="92"/>
      <c r="BO700" s="92"/>
      <c r="BP700" s="92"/>
      <c r="BQ700" s="818"/>
      <c r="BR700" s="54"/>
      <c r="BS700" s="54"/>
      <c r="BT700" s="818"/>
      <c r="BU700" s="818"/>
      <c r="BV700" s="818"/>
      <c r="BW700" s="92"/>
      <c r="BX700" s="92"/>
      <c r="BY700" s="17"/>
      <c r="BZ700" s="17"/>
      <c r="CA700" s="17"/>
      <c r="CB700" s="17"/>
      <c r="CC700" s="17"/>
      <c r="CD700" s="17"/>
    </row>
    <row r="701">
      <c r="A701" s="92"/>
      <c r="B701" s="820"/>
      <c r="O701" s="17"/>
      <c r="P701" s="17"/>
      <c r="Q701" s="17"/>
      <c r="R701" s="17"/>
      <c r="S701" s="813"/>
      <c r="T701" s="17"/>
      <c r="AX701" s="17"/>
      <c r="BB701" s="17"/>
      <c r="BE701" s="17"/>
      <c r="BF701" s="17"/>
      <c r="BG701" s="17"/>
      <c r="BH701" s="17"/>
      <c r="BI701" s="17"/>
      <c r="BJ701" s="17"/>
      <c r="BK701" s="17"/>
      <c r="BL701" s="92"/>
      <c r="BM701" s="92"/>
      <c r="BN701" s="92"/>
      <c r="BO701" s="92"/>
      <c r="BP701" s="92"/>
      <c r="BQ701" s="818"/>
      <c r="BR701" s="54"/>
      <c r="BS701" s="54"/>
      <c r="BT701" s="818"/>
      <c r="BU701" s="818"/>
      <c r="BV701" s="818"/>
      <c r="BW701" s="92"/>
      <c r="BX701" s="92"/>
      <c r="BY701" s="17"/>
      <c r="BZ701" s="17"/>
      <c r="CA701" s="17"/>
      <c r="CB701" s="17"/>
      <c r="CC701" s="17"/>
      <c r="CD701" s="17"/>
    </row>
    <row r="702">
      <c r="A702" s="92"/>
      <c r="B702" s="820"/>
      <c r="O702" s="17"/>
      <c r="P702" s="17"/>
      <c r="Q702" s="17"/>
      <c r="R702" s="17"/>
      <c r="S702" s="813"/>
      <c r="T702" s="17"/>
      <c r="AX702" s="17"/>
      <c r="BB702" s="17"/>
      <c r="BE702" s="17"/>
      <c r="BF702" s="17"/>
      <c r="BG702" s="17"/>
      <c r="BH702" s="17"/>
      <c r="BI702" s="17"/>
      <c r="BJ702" s="17"/>
      <c r="BK702" s="17"/>
      <c r="BL702" s="92"/>
      <c r="BM702" s="92"/>
      <c r="BN702" s="92"/>
      <c r="BO702" s="92"/>
      <c r="BP702" s="92"/>
      <c r="BQ702" s="818"/>
      <c r="BR702" s="54"/>
      <c r="BS702" s="54"/>
      <c r="BT702" s="818"/>
      <c r="BU702" s="818"/>
      <c r="BV702" s="818"/>
      <c r="BW702" s="92"/>
      <c r="BX702" s="92"/>
      <c r="BY702" s="17"/>
      <c r="BZ702" s="17"/>
      <c r="CA702" s="17"/>
      <c r="CB702" s="17"/>
      <c r="CC702" s="17"/>
      <c r="CD702" s="17"/>
    </row>
    <row r="703">
      <c r="A703" s="92"/>
      <c r="B703" s="820"/>
      <c r="O703" s="17"/>
      <c r="P703" s="17"/>
      <c r="Q703" s="17"/>
      <c r="R703" s="17"/>
      <c r="S703" s="813"/>
      <c r="T703" s="17"/>
      <c r="AX703" s="17"/>
      <c r="BB703" s="17"/>
      <c r="BE703" s="17"/>
      <c r="BF703" s="17"/>
      <c r="BG703" s="17"/>
      <c r="BH703" s="17"/>
      <c r="BI703" s="17"/>
      <c r="BJ703" s="17"/>
      <c r="BK703" s="17"/>
      <c r="BL703" s="92"/>
      <c r="BM703" s="92"/>
      <c r="BN703" s="92"/>
      <c r="BO703" s="92"/>
      <c r="BP703" s="92"/>
      <c r="BQ703" s="818"/>
      <c r="BR703" s="54"/>
      <c r="BS703" s="54"/>
      <c r="BT703" s="818"/>
      <c r="BU703" s="818"/>
      <c r="BV703" s="818"/>
      <c r="BW703" s="92"/>
      <c r="BX703" s="92"/>
      <c r="BY703" s="17"/>
      <c r="BZ703" s="17"/>
      <c r="CA703" s="17"/>
      <c r="CB703" s="17"/>
      <c r="CC703" s="17"/>
      <c r="CD703" s="17"/>
    </row>
    <row r="704">
      <c r="A704" s="92"/>
      <c r="B704" s="820"/>
      <c r="O704" s="17"/>
      <c r="P704" s="17"/>
      <c r="Q704" s="17"/>
      <c r="R704" s="17"/>
      <c r="S704" s="813"/>
      <c r="T704" s="17"/>
      <c r="AX704" s="17"/>
      <c r="BB704" s="17"/>
      <c r="BE704" s="17"/>
      <c r="BF704" s="17"/>
      <c r="BG704" s="17"/>
      <c r="BH704" s="17"/>
      <c r="BI704" s="17"/>
      <c r="BJ704" s="17"/>
      <c r="BK704" s="17"/>
      <c r="BL704" s="92"/>
      <c r="BM704" s="92"/>
      <c r="BN704" s="92"/>
      <c r="BO704" s="92"/>
      <c r="BP704" s="92"/>
      <c r="BQ704" s="818"/>
      <c r="BR704" s="54"/>
      <c r="BS704" s="54"/>
      <c r="BT704" s="818"/>
      <c r="BU704" s="818"/>
      <c r="BV704" s="818"/>
      <c r="BW704" s="92"/>
      <c r="BX704" s="92"/>
      <c r="BY704" s="17"/>
      <c r="BZ704" s="17"/>
      <c r="CA704" s="17"/>
      <c r="CB704" s="17"/>
      <c r="CC704" s="17"/>
      <c r="CD704" s="17"/>
    </row>
    <row r="705">
      <c r="A705" s="92"/>
      <c r="B705" s="820"/>
      <c r="O705" s="17"/>
      <c r="P705" s="17"/>
      <c r="Q705" s="17"/>
      <c r="R705" s="17"/>
      <c r="S705" s="813"/>
      <c r="T705" s="17"/>
      <c r="AX705" s="17"/>
      <c r="BB705" s="17"/>
      <c r="BE705" s="17"/>
      <c r="BF705" s="17"/>
      <c r="BG705" s="17"/>
      <c r="BH705" s="17"/>
      <c r="BI705" s="17"/>
      <c r="BJ705" s="17"/>
      <c r="BK705" s="17"/>
      <c r="BL705" s="92"/>
      <c r="BM705" s="92"/>
      <c r="BN705" s="92"/>
      <c r="BO705" s="92"/>
      <c r="BP705" s="92"/>
      <c r="BQ705" s="818"/>
      <c r="BR705" s="54"/>
      <c r="BS705" s="54"/>
      <c r="BT705" s="818"/>
      <c r="BU705" s="818"/>
      <c r="BV705" s="818"/>
      <c r="BW705" s="92"/>
      <c r="BX705" s="92"/>
      <c r="BY705" s="17"/>
      <c r="BZ705" s="17"/>
      <c r="CA705" s="17"/>
      <c r="CB705" s="17"/>
      <c r="CC705" s="17"/>
      <c r="CD705" s="17"/>
    </row>
    <row r="706">
      <c r="A706" s="92"/>
      <c r="B706" s="820"/>
      <c r="O706" s="17"/>
      <c r="P706" s="17"/>
      <c r="Q706" s="17"/>
      <c r="R706" s="17"/>
      <c r="S706" s="813"/>
      <c r="T706" s="17"/>
      <c r="AX706" s="17"/>
      <c r="BB706" s="17"/>
      <c r="BE706" s="17"/>
      <c r="BF706" s="17"/>
      <c r="BG706" s="17"/>
      <c r="BH706" s="17"/>
      <c r="BI706" s="17"/>
      <c r="BJ706" s="17"/>
      <c r="BK706" s="17"/>
      <c r="BL706" s="92"/>
      <c r="BM706" s="92"/>
      <c r="BN706" s="92"/>
      <c r="BO706" s="92"/>
      <c r="BP706" s="92"/>
      <c r="BQ706" s="818"/>
      <c r="BR706" s="54"/>
      <c r="BS706" s="54"/>
      <c r="BT706" s="818"/>
      <c r="BU706" s="818"/>
      <c r="BV706" s="818"/>
      <c r="BW706" s="92"/>
      <c r="BX706" s="92"/>
      <c r="BY706" s="17"/>
      <c r="BZ706" s="17"/>
      <c r="CA706" s="17"/>
      <c r="CB706" s="17"/>
      <c r="CC706" s="17"/>
      <c r="CD706" s="17"/>
    </row>
    <row r="707">
      <c r="A707" s="92"/>
      <c r="B707" s="820"/>
      <c r="O707" s="17"/>
      <c r="P707" s="17"/>
      <c r="Q707" s="17"/>
      <c r="R707" s="17"/>
      <c r="S707" s="813"/>
      <c r="T707" s="17"/>
      <c r="AX707" s="17"/>
      <c r="BB707" s="17"/>
      <c r="BE707" s="17"/>
      <c r="BF707" s="17"/>
      <c r="BG707" s="17"/>
      <c r="BH707" s="17"/>
      <c r="BI707" s="17"/>
      <c r="BJ707" s="17"/>
      <c r="BK707" s="17"/>
      <c r="BL707" s="92"/>
      <c r="BM707" s="92"/>
      <c r="BN707" s="92"/>
      <c r="BO707" s="92"/>
      <c r="BP707" s="92"/>
      <c r="BQ707" s="818"/>
      <c r="BR707" s="54"/>
      <c r="BS707" s="54"/>
      <c r="BT707" s="818"/>
      <c r="BU707" s="818"/>
      <c r="BV707" s="818"/>
      <c r="BW707" s="92"/>
      <c r="BX707" s="92"/>
      <c r="BY707" s="17"/>
      <c r="BZ707" s="17"/>
      <c r="CA707" s="17"/>
      <c r="CB707" s="17"/>
      <c r="CC707" s="17"/>
      <c r="CD707" s="17"/>
    </row>
    <row r="708">
      <c r="A708" s="92"/>
      <c r="B708" s="820"/>
      <c r="O708" s="17"/>
      <c r="P708" s="17"/>
      <c r="Q708" s="17"/>
      <c r="R708" s="17"/>
      <c r="S708" s="813"/>
      <c r="T708" s="17"/>
      <c r="AX708" s="17"/>
      <c r="BB708" s="17"/>
      <c r="BE708" s="17"/>
      <c r="BF708" s="17"/>
      <c r="BG708" s="17"/>
      <c r="BH708" s="17"/>
      <c r="BI708" s="17"/>
      <c r="BJ708" s="17"/>
      <c r="BK708" s="17"/>
      <c r="BL708" s="92"/>
      <c r="BM708" s="92"/>
      <c r="BN708" s="92"/>
      <c r="BO708" s="92"/>
      <c r="BP708" s="92"/>
      <c r="BQ708" s="818"/>
      <c r="BR708" s="54"/>
      <c r="BS708" s="54"/>
      <c r="BT708" s="818"/>
      <c r="BU708" s="818"/>
      <c r="BV708" s="818"/>
      <c r="BW708" s="92"/>
      <c r="BX708" s="92"/>
      <c r="BY708" s="17"/>
      <c r="BZ708" s="17"/>
      <c r="CA708" s="17"/>
      <c r="CB708" s="17"/>
      <c r="CC708" s="17"/>
      <c r="CD708" s="17"/>
    </row>
    <row r="709">
      <c r="A709" s="92"/>
      <c r="B709" s="820"/>
      <c r="O709" s="17"/>
      <c r="P709" s="17"/>
      <c r="Q709" s="17"/>
      <c r="R709" s="17"/>
      <c r="S709" s="813"/>
      <c r="T709" s="17"/>
      <c r="AX709" s="17"/>
      <c r="BB709" s="17"/>
      <c r="BE709" s="17"/>
      <c r="BF709" s="17"/>
      <c r="BG709" s="17"/>
      <c r="BH709" s="17"/>
      <c r="BI709" s="17"/>
      <c r="BJ709" s="17"/>
      <c r="BK709" s="17"/>
      <c r="BL709" s="92"/>
      <c r="BM709" s="92"/>
      <c r="BN709" s="92"/>
      <c r="BO709" s="92"/>
      <c r="BP709" s="92"/>
      <c r="BQ709" s="818"/>
      <c r="BR709" s="54"/>
      <c r="BS709" s="54"/>
      <c r="BT709" s="818"/>
      <c r="BU709" s="818"/>
      <c r="BV709" s="818"/>
      <c r="BW709" s="92"/>
      <c r="BX709" s="92"/>
      <c r="BY709" s="17"/>
      <c r="BZ709" s="17"/>
      <c r="CA709" s="17"/>
      <c r="CB709" s="17"/>
      <c r="CC709" s="17"/>
      <c r="CD709" s="17"/>
    </row>
    <row r="710">
      <c r="A710" s="92"/>
      <c r="B710" s="820"/>
      <c r="O710" s="17"/>
      <c r="P710" s="17"/>
      <c r="Q710" s="17"/>
      <c r="R710" s="17"/>
      <c r="S710" s="813"/>
      <c r="T710" s="17"/>
      <c r="AX710" s="17"/>
      <c r="BB710" s="17"/>
      <c r="BE710" s="17"/>
      <c r="BF710" s="17"/>
      <c r="BG710" s="17"/>
      <c r="BH710" s="17"/>
      <c r="BI710" s="17"/>
      <c r="BJ710" s="17"/>
      <c r="BK710" s="17"/>
      <c r="BL710" s="92"/>
      <c r="BM710" s="92"/>
      <c r="BN710" s="92"/>
      <c r="BO710" s="92"/>
      <c r="BP710" s="92"/>
      <c r="BQ710" s="818"/>
      <c r="BR710" s="54"/>
      <c r="BS710" s="54"/>
      <c r="BT710" s="818"/>
      <c r="BU710" s="818"/>
      <c r="BV710" s="818"/>
      <c r="BW710" s="92"/>
      <c r="BX710" s="92"/>
      <c r="BY710" s="17"/>
      <c r="BZ710" s="17"/>
      <c r="CA710" s="17"/>
      <c r="CB710" s="17"/>
      <c r="CC710" s="17"/>
      <c r="CD710" s="17"/>
    </row>
    <row r="711">
      <c r="A711" s="92"/>
      <c r="B711" s="820"/>
      <c r="O711" s="17"/>
      <c r="P711" s="17"/>
      <c r="Q711" s="17"/>
      <c r="R711" s="17"/>
      <c r="S711" s="813"/>
      <c r="T711" s="17"/>
      <c r="AX711" s="17"/>
      <c r="BB711" s="17"/>
      <c r="BE711" s="17"/>
      <c r="BF711" s="17"/>
      <c r="BG711" s="17"/>
      <c r="BH711" s="17"/>
      <c r="BI711" s="17"/>
      <c r="BJ711" s="17"/>
      <c r="BK711" s="17"/>
      <c r="BL711" s="92"/>
      <c r="BM711" s="92"/>
      <c r="BN711" s="92"/>
      <c r="BO711" s="92"/>
      <c r="BP711" s="92"/>
      <c r="BQ711" s="818"/>
      <c r="BR711" s="54"/>
      <c r="BS711" s="54"/>
      <c r="BT711" s="818"/>
      <c r="BU711" s="818"/>
      <c r="BV711" s="818"/>
      <c r="BW711" s="92"/>
      <c r="BX711" s="92"/>
      <c r="BY711" s="17"/>
      <c r="BZ711" s="17"/>
      <c r="CA711" s="17"/>
      <c r="CB711" s="17"/>
      <c r="CC711" s="17"/>
      <c r="CD711" s="17"/>
    </row>
    <row r="712">
      <c r="A712" s="92"/>
      <c r="B712" s="820"/>
      <c r="O712" s="17"/>
      <c r="P712" s="17"/>
      <c r="Q712" s="17"/>
      <c r="R712" s="17"/>
      <c r="S712" s="813"/>
      <c r="T712" s="17"/>
      <c r="AX712" s="17"/>
      <c r="BB712" s="17"/>
      <c r="BE712" s="17"/>
      <c r="BF712" s="17"/>
      <c r="BG712" s="17"/>
      <c r="BH712" s="17"/>
      <c r="BI712" s="17"/>
      <c r="BJ712" s="17"/>
      <c r="BK712" s="17"/>
      <c r="BL712" s="92"/>
      <c r="BM712" s="92"/>
      <c r="BN712" s="92"/>
      <c r="BO712" s="92"/>
      <c r="BP712" s="92"/>
      <c r="BQ712" s="818"/>
      <c r="BR712" s="54"/>
      <c r="BS712" s="54"/>
      <c r="BT712" s="818"/>
      <c r="BU712" s="818"/>
      <c r="BV712" s="818"/>
      <c r="BW712" s="92"/>
      <c r="BX712" s="92"/>
      <c r="BY712" s="17"/>
      <c r="BZ712" s="17"/>
      <c r="CA712" s="17"/>
      <c r="CB712" s="17"/>
      <c r="CC712" s="17"/>
      <c r="CD712" s="17"/>
    </row>
    <row r="713">
      <c r="A713" s="92"/>
      <c r="B713" s="820"/>
      <c r="O713" s="17"/>
      <c r="P713" s="17"/>
      <c r="Q713" s="17"/>
      <c r="R713" s="17"/>
      <c r="S713" s="813"/>
      <c r="T713" s="17"/>
      <c r="AX713" s="17"/>
      <c r="BB713" s="17"/>
      <c r="BE713" s="17"/>
      <c r="BF713" s="17"/>
      <c r="BG713" s="17"/>
      <c r="BH713" s="17"/>
      <c r="BI713" s="17"/>
      <c r="BJ713" s="17"/>
      <c r="BK713" s="17"/>
      <c r="BL713" s="92"/>
      <c r="BM713" s="92"/>
      <c r="BN713" s="92"/>
      <c r="BO713" s="92"/>
      <c r="BP713" s="92"/>
      <c r="BQ713" s="818"/>
      <c r="BR713" s="54"/>
      <c r="BS713" s="54"/>
      <c r="BT713" s="818"/>
      <c r="BU713" s="818"/>
      <c r="BV713" s="818"/>
      <c r="BW713" s="92"/>
      <c r="BX713" s="92"/>
      <c r="BY713" s="17"/>
      <c r="BZ713" s="17"/>
      <c r="CA713" s="17"/>
      <c r="CB713" s="17"/>
      <c r="CC713" s="17"/>
      <c r="CD713" s="17"/>
    </row>
    <row r="714">
      <c r="A714" s="92"/>
      <c r="B714" s="820"/>
      <c r="O714" s="17"/>
      <c r="P714" s="17"/>
      <c r="Q714" s="17"/>
      <c r="R714" s="17"/>
      <c r="S714" s="813"/>
      <c r="T714" s="17"/>
      <c r="AX714" s="17"/>
      <c r="BB714" s="17"/>
      <c r="BE714" s="17"/>
      <c r="BF714" s="17"/>
      <c r="BG714" s="17"/>
      <c r="BH714" s="17"/>
      <c r="BI714" s="17"/>
      <c r="BJ714" s="17"/>
      <c r="BK714" s="17"/>
      <c r="BL714" s="92"/>
      <c r="BM714" s="92"/>
      <c r="BN714" s="92"/>
      <c r="BO714" s="92"/>
      <c r="BP714" s="92"/>
      <c r="BQ714" s="818"/>
      <c r="BR714" s="54"/>
      <c r="BS714" s="54"/>
      <c r="BT714" s="818"/>
      <c r="BU714" s="818"/>
      <c r="BV714" s="818"/>
      <c r="BW714" s="92"/>
      <c r="BX714" s="92"/>
      <c r="BY714" s="17"/>
      <c r="BZ714" s="17"/>
      <c r="CA714" s="17"/>
      <c r="CB714" s="17"/>
      <c r="CC714" s="17"/>
      <c r="CD714" s="17"/>
    </row>
    <row r="715">
      <c r="A715" s="92"/>
      <c r="B715" s="820"/>
      <c r="O715" s="17"/>
      <c r="P715" s="17"/>
      <c r="Q715" s="17"/>
      <c r="R715" s="17"/>
      <c r="S715" s="813"/>
      <c r="T715" s="17"/>
      <c r="AX715" s="17"/>
      <c r="BB715" s="17"/>
      <c r="BE715" s="17"/>
      <c r="BF715" s="17"/>
      <c r="BG715" s="17"/>
      <c r="BH715" s="17"/>
      <c r="BI715" s="17"/>
      <c r="BJ715" s="17"/>
      <c r="BK715" s="17"/>
      <c r="BL715" s="92"/>
      <c r="BM715" s="92"/>
      <c r="BN715" s="92"/>
      <c r="BO715" s="92"/>
      <c r="BP715" s="92"/>
      <c r="BQ715" s="818"/>
      <c r="BR715" s="54"/>
      <c r="BS715" s="54"/>
      <c r="BT715" s="818"/>
      <c r="BU715" s="818"/>
      <c r="BV715" s="818"/>
      <c r="BW715" s="92"/>
      <c r="BX715" s="92"/>
      <c r="BY715" s="17"/>
      <c r="BZ715" s="17"/>
      <c r="CA715" s="17"/>
      <c r="CB715" s="17"/>
      <c r="CC715" s="17"/>
      <c r="CD715" s="17"/>
    </row>
    <row r="716">
      <c r="A716" s="92"/>
      <c r="B716" s="820"/>
      <c r="O716" s="17"/>
      <c r="P716" s="17"/>
      <c r="Q716" s="17"/>
      <c r="R716" s="17"/>
      <c r="S716" s="813"/>
      <c r="T716" s="17"/>
      <c r="AX716" s="17"/>
      <c r="BB716" s="17"/>
      <c r="BE716" s="17"/>
      <c r="BF716" s="17"/>
      <c r="BG716" s="17"/>
      <c r="BH716" s="17"/>
      <c r="BI716" s="17"/>
      <c r="BJ716" s="17"/>
      <c r="BK716" s="17"/>
      <c r="BL716" s="92"/>
      <c r="BM716" s="92"/>
      <c r="BN716" s="92"/>
      <c r="BO716" s="92"/>
      <c r="BP716" s="92"/>
      <c r="BQ716" s="818"/>
      <c r="BR716" s="54"/>
      <c r="BS716" s="54"/>
      <c r="BT716" s="818"/>
      <c r="BU716" s="818"/>
      <c r="BV716" s="818"/>
      <c r="BW716" s="92"/>
      <c r="BX716" s="92"/>
      <c r="BY716" s="17"/>
      <c r="BZ716" s="17"/>
      <c r="CA716" s="17"/>
      <c r="CB716" s="17"/>
      <c r="CC716" s="17"/>
      <c r="CD716" s="17"/>
    </row>
    <row r="717">
      <c r="A717" s="92"/>
      <c r="B717" s="820"/>
      <c r="O717" s="17"/>
      <c r="P717" s="17"/>
      <c r="Q717" s="17"/>
      <c r="R717" s="17"/>
      <c r="S717" s="813"/>
      <c r="T717" s="17"/>
      <c r="AX717" s="17"/>
      <c r="BB717" s="17"/>
      <c r="BE717" s="17"/>
      <c r="BF717" s="17"/>
      <c r="BG717" s="17"/>
      <c r="BH717" s="17"/>
      <c r="BI717" s="17"/>
      <c r="BJ717" s="17"/>
      <c r="BK717" s="17"/>
      <c r="BL717" s="92"/>
      <c r="BM717" s="92"/>
      <c r="BN717" s="92"/>
      <c r="BO717" s="92"/>
      <c r="BP717" s="92"/>
      <c r="BQ717" s="818"/>
      <c r="BR717" s="54"/>
      <c r="BS717" s="54"/>
      <c r="BT717" s="818"/>
      <c r="BU717" s="818"/>
      <c r="BV717" s="818"/>
      <c r="BW717" s="92"/>
      <c r="BX717" s="92"/>
      <c r="BY717" s="17"/>
      <c r="BZ717" s="17"/>
      <c r="CA717" s="17"/>
      <c r="CB717" s="17"/>
      <c r="CC717" s="17"/>
      <c r="CD717" s="17"/>
    </row>
    <row r="718">
      <c r="A718" s="92"/>
      <c r="B718" s="820"/>
      <c r="O718" s="17"/>
      <c r="P718" s="17"/>
      <c r="Q718" s="17"/>
      <c r="R718" s="17"/>
      <c r="S718" s="813"/>
      <c r="T718" s="17"/>
      <c r="AX718" s="17"/>
      <c r="BB718" s="17"/>
      <c r="BE718" s="17"/>
      <c r="BF718" s="17"/>
      <c r="BG718" s="17"/>
      <c r="BH718" s="17"/>
      <c r="BI718" s="17"/>
      <c r="BJ718" s="17"/>
      <c r="BK718" s="17"/>
      <c r="BL718" s="92"/>
      <c r="BM718" s="92"/>
      <c r="BN718" s="92"/>
      <c r="BO718" s="92"/>
      <c r="BP718" s="92"/>
      <c r="BQ718" s="818"/>
      <c r="BR718" s="54"/>
      <c r="BS718" s="54"/>
      <c r="BT718" s="818"/>
      <c r="BU718" s="818"/>
      <c r="BV718" s="818"/>
      <c r="BW718" s="92"/>
      <c r="BX718" s="92"/>
      <c r="BY718" s="17"/>
      <c r="BZ718" s="17"/>
      <c r="CA718" s="17"/>
      <c r="CB718" s="17"/>
      <c r="CC718" s="17"/>
      <c r="CD718" s="17"/>
    </row>
    <row r="719">
      <c r="A719" s="92"/>
      <c r="B719" s="820"/>
      <c r="O719" s="17"/>
      <c r="P719" s="17"/>
      <c r="Q719" s="17"/>
      <c r="R719" s="17"/>
      <c r="S719" s="813"/>
      <c r="T719" s="17"/>
      <c r="AX719" s="17"/>
      <c r="BB719" s="17"/>
      <c r="BE719" s="17"/>
      <c r="BF719" s="17"/>
      <c r="BG719" s="17"/>
      <c r="BH719" s="17"/>
      <c r="BI719" s="17"/>
      <c r="BJ719" s="17"/>
      <c r="BK719" s="17"/>
      <c r="BL719" s="92"/>
      <c r="BM719" s="92"/>
      <c r="BN719" s="92"/>
      <c r="BO719" s="92"/>
      <c r="BP719" s="92"/>
      <c r="BQ719" s="818"/>
      <c r="BR719" s="54"/>
      <c r="BS719" s="54"/>
      <c r="BT719" s="818"/>
      <c r="BU719" s="818"/>
      <c r="BV719" s="818"/>
      <c r="BW719" s="92"/>
      <c r="BX719" s="92"/>
      <c r="BY719" s="17"/>
      <c r="BZ719" s="17"/>
      <c r="CA719" s="17"/>
      <c r="CB719" s="17"/>
      <c r="CC719" s="17"/>
      <c r="CD719" s="17"/>
    </row>
    <row r="720">
      <c r="A720" s="92"/>
      <c r="B720" s="820"/>
      <c r="O720" s="17"/>
      <c r="P720" s="17"/>
      <c r="Q720" s="17"/>
      <c r="R720" s="17"/>
      <c r="S720" s="813"/>
      <c r="T720" s="17"/>
      <c r="AX720" s="17"/>
      <c r="BB720" s="17"/>
      <c r="BE720" s="17"/>
      <c r="BF720" s="17"/>
      <c r="BG720" s="17"/>
      <c r="BH720" s="17"/>
      <c r="BI720" s="17"/>
      <c r="BJ720" s="17"/>
      <c r="BK720" s="17"/>
      <c r="BL720" s="92"/>
      <c r="BM720" s="92"/>
      <c r="BN720" s="92"/>
      <c r="BO720" s="92"/>
      <c r="BP720" s="92"/>
      <c r="BQ720" s="818"/>
      <c r="BR720" s="54"/>
      <c r="BS720" s="54"/>
      <c r="BT720" s="818"/>
      <c r="BU720" s="818"/>
      <c r="BV720" s="818"/>
      <c r="BW720" s="92"/>
      <c r="BX720" s="92"/>
      <c r="BY720" s="17"/>
      <c r="BZ720" s="17"/>
      <c r="CA720" s="17"/>
      <c r="CB720" s="17"/>
      <c r="CC720" s="17"/>
      <c r="CD720" s="17"/>
    </row>
    <row r="721">
      <c r="A721" s="92"/>
      <c r="B721" s="820"/>
      <c r="O721" s="17"/>
      <c r="P721" s="17"/>
      <c r="Q721" s="17"/>
      <c r="R721" s="17"/>
      <c r="S721" s="813"/>
      <c r="T721" s="17"/>
      <c r="AX721" s="17"/>
      <c r="BB721" s="17"/>
      <c r="BE721" s="17"/>
      <c r="BF721" s="17"/>
      <c r="BG721" s="17"/>
      <c r="BH721" s="17"/>
      <c r="BI721" s="17"/>
      <c r="BJ721" s="17"/>
      <c r="BK721" s="17"/>
      <c r="BL721" s="92"/>
      <c r="BM721" s="92"/>
      <c r="BN721" s="92"/>
      <c r="BO721" s="92"/>
      <c r="BP721" s="92"/>
      <c r="BQ721" s="818"/>
      <c r="BR721" s="54"/>
      <c r="BS721" s="54"/>
      <c r="BT721" s="818"/>
      <c r="BU721" s="818"/>
      <c r="BV721" s="818"/>
      <c r="BW721" s="92"/>
      <c r="BX721" s="92"/>
      <c r="BY721" s="17"/>
      <c r="BZ721" s="17"/>
      <c r="CA721" s="17"/>
      <c r="CB721" s="17"/>
      <c r="CC721" s="17"/>
      <c r="CD721" s="17"/>
    </row>
    <row r="722">
      <c r="A722" s="92"/>
      <c r="B722" s="820"/>
      <c r="O722" s="17"/>
      <c r="P722" s="17"/>
      <c r="Q722" s="17"/>
      <c r="R722" s="17"/>
      <c r="S722" s="813"/>
      <c r="T722" s="17"/>
      <c r="AX722" s="17"/>
      <c r="BB722" s="17"/>
      <c r="BE722" s="17"/>
      <c r="BF722" s="17"/>
      <c r="BG722" s="17"/>
      <c r="BH722" s="17"/>
      <c r="BI722" s="17"/>
      <c r="BJ722" s="17"/>
      <c r="BK722" s="17"/>
      <c r="BL722" s="92"/>
      <c r="BM722" s="92"/>
      <c r="BN722" s="92"/>
      <c r="BO722" s="92"/>
      <c r="BP722" s="92"/>
      <c r="BQ722" s="818"/>
      <c r="BR722" s="54"/>
      <c r="BS722" s="54"/>
      <c r="BT722" s="818"/>
      <c r="BU722" s="818"/>
      <c r="BV722" s="818"/>
      <c r="BW722" s="92"/>
      <c r="BX722" s="92"/>
      <c r="BY722" s="17"/>
      <c r="BZ722" s="17"/>
      <c r="CA722" s="17"/>
      <c r="CB722" s="17"/>
      <c r="CC722" s="17"/>
      <c r="CD722" s="17"/>
    </row>
    <row r="723">
      <c r="A723" s="92"/>
      <c r="B723" s="820"/>
      <c r="O723" s="17"/>
      <c r="P723" s="17"/>
      <c r="Q723" s="17"/>
      <c r="R723" s="17"/>
      <c r="S723" s="813"/>
      <c r="T723" s="17"/>
      <c r="AX723" s="17"/>
      <c r="BB723" s="17"/>
      <c r="BE723" s="17"/>
      <c r="BF723" s="17"/>
      <c r="BG723" s="17"/>
      <c r="BH723" s="17"/>
      <c r="BI723" s="17"/>
      <c r="BJ723" s="17"/>
      <c r="BK723" s="17"/>
      <c r="BL723" s="92"/>
      <c r="BM723" s="92"/>
      <c r="BN723" s="92"/>
      <c r="BO723" s="92"/>
      <c r="BP723" s="92"/>
      <c r="BQ723" s="818"/>
      <c r="BR723" s="54"/>
      <c r="BS723" s="54"/>
      <c r="BT723" s="818"/>
      <c r="BU723" s="818"/>
      <c r="BV723" s="818"/>
      <c r="BW723" s="92"/>
      <c r="BX723" s="92"/>
      <c r="BY723" s="17"/>
      <c r="BZ723" s="17"/>
      <c r="CA723" s="17"/>
      <c r="CB723" s="17"/>
      <c r="CC723" s="17"/>
      <c r="CD723" s="17"/>
    </row>
    <row r="724">
      <c r="A724" s="92"/>
      <c r="B724" s="820"/>
      <c r="O724" s="17"/>
      <c r="P724" s="17"/>
      <c r="Q724" s="17"/>
      <c r="R724" s="17"/>
      <c r="S724" s="813"/>
      <c r="T724" s="17"/>
      <c r="AX724" s="17"/>
      <c r="BB724" s="17"/>
      <c r="BE724" s="17"/>
      <c r="BF724" s="17"/>
      <c r="BG724" s="17"/>
      <c r="BH724" s="17"/>
      <c r="BI724" s="17"/>
      <c r="BJ724" s="17"/>
      <c r="BK724" s="17"/>
      <c r="BL724" s="92"/>
      <c r="BM724" s="92"/>
      <c r="BN724" s="92"/>
      <c r="BO724" s="92"/>
      <c r="BP724" s="92"/>
      <c r="BQ724" s="818"/>
      <c r="BR724" s="54"/>
      <c r="BS724" s="54"/>
      <c r="BT724" s="818"/>
      <c r="BU724" s="818"/>
      <c r="BV724" s="818"/>
      <c r="BW724" s="92"/>
      <c r="BX724" s="92"/>
      <c r="BY724" s="17"/>
      <c r="BZ724" s="17"/>
      <c r="CA724" s="17"/>
      <c r="CB724" s="17"/>
      <c r="CC724" s="17"/>
      <c r="CD724" s="17"/>
    </row>
    <row r="725">
      <c r="A725" s="92"/>
      <c r="B725" s="820"/>
      <c r="O725" s="17"/>
      <c r="P725" s="17"/>
      <c r="Q725" s="17"/>
      <c r="R725" s="17"/>
      <c r="S725" s="813"/>
      <c r="T725" s="17"/>
      <c r="AX725" s="17"/>
      <c r="BB725" s="17"/>
      <c r="BE725" s="17"/>
      <c r="BF725" s="17"/>
      <c r="BG725" s="17"/>
      <c r="BH725" s="17"/>
      <c r="BI725" s="17"/>
      <c r="BJ725" s="17"/>
      <c r="BK725" s="17"/>
      <c r="BL725" s="92"/>
      <c r="BM725" s="92"/>
      <c r="BN725" s="92"/>
      <c r="BO725" s="92"/>
      <c r="BP725" s="92"/>
      <c r="BQ725" s="818"/>
      <c r="BR725" s="54"/>
      <c r="BS725" s="54"/>
      <c r="BT725" s="818"/>
      <c r="BU725" s="818"/>
      <c r="BV725" s="818"/>
      <c r="BW725" s="92"/>
      <c r="BX725" s="92"/>
      <c r="BY725" s="17"/>
      <c r="BZ725" s="17"/>
      <c r="CA725" s="17"/>
      <c r="CB725" s="17"/>
      <c r="CC725" s="17"/>
      <c r="CD725" s="17"/>
    </row>
    <row r="726">
      <c r="A726" s="92"/>
      <c r="B726" s="820"/>
      <c r="O726" s="17"/>
      <c r="P726" s="17"/>
      <c r="Q726" s="17"/>
      <c r="R726" s="17"/>
      <c r="S726" s="813"/>
      <c r="T726" s="17"/>
      <c r="AX726" s="17"/>
      <c r="BB726" s="17"/>
      <c r="BE726" s="17"/>
      <c r="BF726" s="17"/>
      <c r="BG726" s="17"/>
      <c r="BH726" s="17"/>
      <c r="BI726" s="17"/>
      <c r="BJ726" s="17"/>
      <c r="BK726" s="17"/>
      <c r="BL726" s="92"/>
      <c r="BM726" s="92"/>
      <c r="BN726" s="92"/>
      <c r="BO726" s="92"/>
      <c r="BP726" s="92"/>
      <c r="BQ726" s="818"/>
      <c r="BR726" s="54"/>
      <c r="BS726" s="54"/>
      <c r="BT726" s="818"/>
      <c r="BU726" s="818"/>
      <c r="BV726" s="818"/>
      <c r="BW726" s="92"/>
      <c r="BX726" s="92"/>
      <c r="BY726" s="17"/>
      <c r="BZ726" s="17"/>
      <c r="CA726" s="17"/>
      <c r="CB726" s="17"/>
      <c r="CC726" s="17"/>
      <c r="CD726" s="17"/>
    </row>
    <row r="727">
      <c r="A727" s="92"/>
      <c r="B727" s="820"/>
      <c r="O727" s="17"/>
      <c r="P727" s="17"/>
      <c r="Q727" s="17"/>
      <c r="R727" s="17"/>
      <c r="S727" s="813"/>
      <c r="T727" s="17"/>
      <c r="AX727" s="17"/>
      <c r="BB727" s="17"/>
      <c r="BE727" s="17"/>
      <c r="BF727" s="17"/>
      <c r="BG727" s="17"/>
      <c r="BH727" s="17"/>
      <c r="BI727" s="17"/>
      <c r="BJ727" s="17"/>
      <c r="BK727" s="17"/>
      <c r="BL727" s="92"/>
      <c r="BM727" s="92"/>
      <c r="BN727" s="92"/>
      <c r="BO727" s="92"/>
      <c r="BP727" s="92"/>
      <c r="BQ727" s="818"/>
      <c r="BR727" s="54"/>
      <c r="BS727" s="54"/>
      <c r="BT727" s="818"/>
      <c r="BU727" s="818"/>
      <c r="BV727" s="818"/>
      <c r="BW727" s="92"/>
      <c r="BX727" s="92"/>
      <c r="BY727" s="17"/>
      <c r="BZ727" s="17"/>
      <c r="CA727" s="17"/>
      <c r="CB727" s="17"/>
      <c r="CC727" s="17"/>
      <c r="CD727" s="17"/>
    </row>
    <row r="728">
      <c r="A728" s="92"/>
      <c r="B728" s="820"/>
      <c r="O728" s="17"/>
      <c r="P728" s="17"/>
      <c r="Q728" s="17"/>
      <c r="R728" s="17"/>
      <c r="S728" s="813"/>
      <c r="T728" s="17"/>
      <c r="AX728" s="17"/>
      <c r="BB728" s="17"/>
      <c r="BE728" s="17"/>
      <c r="BF728" s="17"/>
      <c r="BG728" s="17"/>
      <c r="BH728" s="17"/>
      <c r="BI728" s="17"/>
      <c r="BJ728" s="17"/>
      <c r="BK728" s="17"/>
      <c r="BL728" s="92"/>
      <c r="BM728" s="92"/>
      <c r="BN728" s="92"/>
      <c r="BO728" s="92"/>
      <c r="BP728" s="92"/>
      <c r="BQ728" s="818"/>
      <c r="BR728" s="54"/>
      <c r="BS728" s="54"/>
      <c r="BT728" s="818"/>
      <c r="BU728" s="818"/>
      <c r="BV728" s="818"/>
      <c r="BW728" s="92"/>
      <c r="BX728" s="92"/>
      <c r="BY728" s="17"/>
      <c r="BZ728" s="17"/>
      <c r="CA728" s="17"/>
      <c r="CB728" s="17"/>
      <c r="CC728" s="17"/>
      <c r="CD728" s="17"/>
    </row>
    <row r="729">
      <c r="A729" s="92"/>
      <c r="B729" s="820"/>
      <c r="O729" s="17"/>
      <c r="P729" s="17"/>
      <c r="Q729" s="17"/>
      <c r="R729" s="17"/>
      <c r="S729" s="813"/>
      <c r="T729" s="17"/>
      <c r="AX729" s="17"/>
      <c r="BB729" s="17"/>
      <c r="BE729" s="17"/>
      <c r="BF729" s="17"/>
      <c r="BG729" s="17"/>
      <c r="BH729" s="17"/>
      <c r="BI729" s="17"/>
      <c r="BJ729" s="17"/>
      <c r="BK729" s="17"/>
      <c r="BL729" s="92"/>
      <c r="BM729" s="92"/>
      <c r="BN729" s="92"/>
      <c r="BO729" s="92"/>
      <c r="BP729" s="92"/>
      <c r="BQ729" s="818"/>
      <c r="BR729" s="54"/>
      <c r="BS729" s="54"/>
      <c r="BT729" s="818"/>
      <c r="BU729" s="818"/>
      <c r="BV729" s="818"/>
      <c r="BW729" s="92"/>
      <c r="BX729" s="92"/>
      <c r="BY729" s="17"/>
      <c r="BZ729" s="17"/>
      <c r="CA729" s="17"/>
      <c r="CB729" s="17"/>
      <c r="CC729" s="17"/>
      <c r="CD729" s="17"/>
    </row>
    <row r="730">
      <c r="A730" s="92"/>
      <c r="B730" s="820"/>
      <c r="O730" s="17"/>
      <c r="P730" s="17"/>
      <c r="Q730" s="17"/>
      <c r="R730" s="17"/>
      <c r="S730" s="813"/>
      <c r="T730" s="17"/>
      <c r="AX730" s="17"/>
      <c r="BB730" s="17"/>
      <c r="BE730" s="17"/>
      <c r="BF730" s="17"/>
      <c r="BG730" s="17"/>
      <c r="BH730" s="17"/>
      <c r="BI730" s="17"/>
      <c r="BJ730" s="17"/>
      <c r="BK730" s="17"/>
      <c r="BL730" s="92"/>
      <c r="BM730" s="92"/>
      <c r="BN730" s="92"/>
      <c r="BO730" s="92"/>
      <c r="BP730" s="92"/>
      <c r="BQ730" s="818"/>
      <c r="BR730" s="54"/>
      <c r="BS730" s="54"/>
      <c r="BT730" s="818"/>
      <c r="BU730" s="818"/>
      <c r="BV730" s="818"/>
      <c r="BW730" s="92"/>
      <c r="BX730" s="92"/>
      <c r="BY730" s="17"/>
      <c r="BZ730" s="17"/>
      <c r="CA730" s="17"/>
      <c r="CB730" s="17"/>
      <c r="CC730" s="17"/>
      <c r="CD730" s="17"/>
    </row>
    <row r="731">
      <c r="A731" s="92"/>
      <c r="B731" s="820"/>
      <c r="O731" s="17"/>
      <c r="P731" s="17"/>
      <c r="Q731" s="17"/>
      <c r="R731" s="17"/>
      <c r="S731" s="813"/>
      <c r="T731" s="17"/>
      <c r="AX731" s="17"/>
      <c r="BB731" s="17"/>
      <c r="BE731" s="17"/>
      <c r="BF731" s="17"/>
      <c r="BG731" s="17"/>
      <c r="BH731" s="17"/>
      <c r="BI731" s="17"/>
      <c r="BJ731" s="17"/>
      <c r="BK731" s="17"/>
      <c r="BL731" s="92"/>
      <c r="BM731" s="92"/>
      <c r="BN731" s="92"/>
      <c r="BO731" s="92"/>
      <c r="BP731" s="92"/>
      <c r="BQ731" s="818"/>
      <c r="BR731" s="54"/>
      <c r="BS731" s="54"/>
      <c r="BT731" s="818"/>
      <c r="BU731" s="818"/>
      <c r="BV731" s="818"/>
      <c r="BW731" s="92"/>
      <c r="BX731" s="92"/>
      <c r="BY731" s="17"/>
      <c r="BZ731" s="17"/>
      <c r="CA731" s="17"/>
      <c r="CB731" s="17"/>
      <c r="CC731" s="17"/>
      <c r="CD731" s="17"/>
    </row>
    <row r="732">
      <c r="A732" s="92"/>
      <c r="B732" s="820"/>
      <c r="O732" s="17"/>
      <c r="P732" s="17"/>
      <c r="Q732" s="17"/>
      <c r="R732" s="17"/>
      <c r="S732" s="813"/>
      <c r="T732" s="17"/>
      <c r="AX732" s="17"/>
      <c r="BB732" s="17"/>
      <c r="BE732" s="17"/>
      <c r="BF732" s="17"/>
      <c r="BG732" s="17"/>
      <c r="BH732" s="17"/>
      <c r="BI732" s="17"/>
      <c r="BJ732" s="17"/>
      <c r="BK732" s="17"/>
      <c r="BL732" s="92"/>
      <c r="BM732" s="92"/>
      <c r="BN732" s="92"/>
      <c r="BO732" s="92"/>
      <c r="BP732" s="92"/>
      <c r="BQ732" s="818"/>
      <c r="BR732" s="54"/>
      <c r="BS732" s="54"/>
      <c r="BT732" s="818"/>
      <c r="BU732" s="818"/>
      <c r="BV732" s="818"/>
      <c r="BW732" s="92"/>
      <c r="BX732" s="92"/>
      <c r="BY732" s="17"/>
      <c r="BZ732" s="17"/>
      <c r="CA732" s="17"/>
      <c r="CB732" s="17"/>
      <c r="CC732" s="17"/>
      <c r="CD732" s="17"/>
    </row>
    <row r="733">
      <c r="A733" s="92"/>
      <c r="B733" s="820"/>
      <c r="O733" s="17"/>
      <c r="P733" s="17"/>
      <c r="Q733" s="17"/>
      <c r="R733" s="17"/>
      <c r="S733" s="813"/>
      <c r="T733" s="17"/>
      <c r="AX733" s="17"/>
      <c r="BB733" s="17"/>
      <c r="BE733" s="17"/>
      <c r="BF733" s="17"/>
      <c r="BG733" s="17"/>
      <c r="BH733" s="17"/>
      <c r="BI733" s="17"/>
      <c r="BJ733" s="17"/>
      <c r="BK733" s="17"/>
      <c r="BL733" s="92"/>
      <c r="BM733" s="92"/>
      <c r="BN733" s="92"/>
      <c r="BO733" s="92"/>
      <c r="BP733" s="92"/>
      <c r="BQ733" s="818"/>
      <c r="BR733" s="54"/>
      <c r="BS733" s="54"/>
      <c r="BT733" s="818"/>
      <c r="BU733" s="818"/>
      <c r="BV733" s="818"/>
      <c r="BW733" s="92"/>
      <c r="BX733" s="92"/>
      <c r="BY733" s="17"/>
      <c r="BZ733" s="17"/>
      <c r="CA733" s="17"/>
      <c r="CB733" s="17"/>
      <c r="CC733" s="17"/>
      <c r="CD733" s="17"/>
    </row>
    <row r="734">
      <c r="A734" s="92"/>
      <c r="B734" s="820"/>
      <c r="O734" s="17"/>
      <c r="P734" s="17"/>
      <c r="Q734" s="17"/>
      <c r="R734" s="17"/>
      <c r="S734" s="813"/>
      <c r="T734" s="17"/>
      <c r="AX734" s="17"/>
      <c r="BB734" s="17"/>
      <c r="BE734" s="17"/>
      <c r="BF734" s="17"/>
      <c r="BG734" s="17"/>
      <c r="BH734" s="17"/>
      <c r="BI734" s="17"/>
      <c r="BJ734" s="17"/>
      <c r="BK734" s="17"/>
      <c r="BL734" s="92"/>
      <c r="BM734" s="92"/>
      <c r="BN734" s="92"/>
      <c r="BO734" s="92"/>
      <c r="BP734" s="92"/>
      <c r="BQ734" s="818"/>
      <c r="BR734" s="54"/>
      <c r="BS734" s="54"/>
      <c r="BT734" s="818"/>
      <c r="BU734" s="818"/>
      <c r="BV734" s="818"/>
      <c r="BW734" s="92"/>
      <c r="BX734" s="92"/>
      <c r="BY734" s="17"/>
      <c r="BZ734" s="17"/>
      <c r="CA734" s="17"/>
      <c r="CB734" s="17"/>
      <c r="CC734" s="17"/>
      <c r="CD734" s="17"/>
    </row>
    <row r="735">
      <c r="A735" s="92"/>
      <c r="B735" s="820"/>
      <c r="O735" s="17"/>
      <c r="P735" s="17"/>
      <c r="Q735" s="17"/>
      <c r="R735" s="17"/>
      <c r="S735" s="813"/>
      <c r="T735" s="17"/>
      <c r="AX735" s="17"/>
      <c r="BB735" s="17"/>
      <c r="BE735" s="17"/>
      <c r="BF735" s="17"/>
      <c r="BG735" s="17"/>
      <c r="BH735" s="17"/>
      <c r="BI735" s="17"/>
      <c r="BJ735" s="17"/>
      <c r="BK735" s="17"/>
      <c r="BL735" s="92"/>
      <c r="BM735" s="92"/>
      <c r="BN735" s="92"/>
      <c r="BO735" s="92"/>
      <c r="BP735" s="92"/>
      <c r="BQ735" s="818"/>
      <c r="BR735" s="54"/>
      <c r="BS735" s="54"/>
      <c r="BT735" s="818"/>
      <c r="BU735" s="818"/>
      <c r="BV735" s="818"/>
      <c r="BW735" s="92"/>
      <c r="BX735" s="92"/>
      <c r="BY735" s="17"/>
      <c r="BZ735" s="17"/>
      <c r="CA735" s="17"/>
      <c r="CB735" s="17"/>
      <c r="CC735" s="17"/>
      <c r="CD735" s="17"/>
    </row>
    <row r="736">
      <c r="A736" s="92"/>
      <c r="B736" s="820"/>
      <c r="O736" s="17"/>
      <c r="P736" s="17"/>
      <c r="Q736" s="17"/>
      <c r="R736" s="17"/>
      <c r="S736" s="813"/>
      <c r="T736" s="17"/>
      <c r="AX736" s="17"/>
      <c r="BB736" s="17"/>
      <c r="BE736" s="17"/>
      <c r="BF736" s="17"/>
      <c r="BG736" s="17"/>
      <c r="BH736" s="17"/>
      <c r="BI736" s="17"/>
      <c r="BJ736" s="17"/>
      <c r="BK736" s="17"/>
      <c r="BL736" s="92"/>
      <c r="BM736" s="92"/>
      <c r="BN736" s="92"/>
      <c r="BO736" s="92"/>
      <c r="BP736" s="92"/>
      <c r="BQ736" s="818"/>
      <c r="BR736" s="54"/>
      <c r="BS736" s="54"/>
      <c r="BT736" s="818"/>
      <c r="BU736" s="818"/>
      <c r="BV736" s="818"/>
      <c r="BW736" s="92"/>
      <c r="BX736" s="92"/>
      <c r="BY736" s="17"/>
      <c r="BZ736" s="17"/>
      <c r="CA736" s="17"/>
      <c r="CB736" s="17"/>
      <c r="CC736" s="17"/>
      <c r="CD736" s="17"/>
    </row>
    <row r="737">
      <c r="A737" s="92"/>
      <c r="B737" s="820"/>
      <c r="O737" s="17"/>
      <c r="P737" s="17"/>
      <c r="Q737" s="17"/>
      <c r="R737" s="17"/>
      <c r="S737" s="813"/>
      <c r="T737" s="17"/>
      <c r="AX737" s="17"/>
      <c r="BB737" s="17"/>
      <c r="BE737" s="17"/>
      <c r="BF737" s="17"/>
      <c r="BG737" s="17"/>
      <c r="BH737" s="17"/>
      <c r="BI737" s="17"/>
      <c r="BJ737" s="17"/>
      <c r="BK737" s="17"/>
      <c r="BL737" s="92"/>
      <c r="BM737" s="92"/>
      <c r="BN737" s="92"/>
      <c r="BO737" s="92"/>
      <c r="BP737" s="92"/>
      <c r="BQ737" s="818"/>
      <c r="BR737" s="54"/>
      <c r="BS737" s="54"/>
      <c r="BT737" s="818"/>
      <c r="BU737" s="818"/>
      <c r="BV737" s="818"/>
      <c r="BW737" s="92"/>
      <c r="BX737" s="92"/>
      <c r="BY737" s="17"/>
      <c r="BZ737" s="17"/>
      <c r="CA737" s="17"/>
      <c r="CB737" s="17"/>
      <c r="CC737" s="17"/>
      <c r="CD737" s="17"/>
    </row>
    <row r="738">
      <c r="A738" s="92"/>
      <c r="B738" s="820"/>
      <c r="O738" s="17"/>
      <c r="P738" s="17"/>
      <c r="Q738" s="17"/>
      <c r="R738" s="17"/>
      <c r="S738" s="813"/>
      <c r="T738" s="17"/>
      <c r="AX738" s="17"/>
      <c r="BB738" s="17"/>
      <c r="BE738" s="17"/>
      <c r="BF738" s="17"/>
      <c r="BG738" s="17"/>
      <c r="BH738" s="17"/>
      <c r="BI738" s="17"/>
      <c r="BJ738" s="17"/>
      <c r="BK738" s="17"/>
      <c r="BL738" s="92"/>
      <c r="BM738" s="92"/>
      <c r="BN738" s="92"/>
      <c r="BO738" s="92"/>
      <c r="BP738" s="92"/>
      <c r="BQ738" s="818"/>
      <c r="BR738" s="54"/>
      <c r="BS738" s="54"/>
      <c r="BT738" s="818"/>
      <c r="BU738" s="818"/>
      <c r="BV738" s="818"/>
      <c r="BW738" s="92"/>
      <c r="BX738" s="92"/>
      <c r="BY738" s="17"/>
      <c r="BZ738" s="17"/>
      <c r="CA738" s="17"/>
      <c r="CB738" s="17"/>
      <c r="CC738" s="17"/>
      <c r="CD738" s="17"/>
    </row>
    <row r="739">
      <c r="A739" s="92"/>
      <c r="B739" s="820"/>
      <c r="O739" s="17"/>
      <c r="P739" s="17"/>
      <c r="Q739" s="17"/>
      <c r="R739" s="17"/>
      <c r="S739" s="813"/>
      <c r="T739" s="17"/>
      <c r="AX739" s="17"/>
      <c r="BB739" s="17"/>
      <c r="BE739" s="17"/>
      <c r="BF739" s="17"/>
      <c r="BG739" s="17"/>
      <c r="BH739" s="17"/>
      <c r="BI739" s="17"/>
      <c r="BJ739" s="17"/>
      <c r="BK739" s="17"/>
      <c r="BL739" s="92"/>
      <c r="BM739" s="92"/>
      <c r="BN739" s="92"/>
      <c r="BO739" s="92"/>
      <c r="BP739" s="92"/>
      <c r="BQ739" s="818"/>
      <c r="BR739" s="54"/>
      <c r="BS739" s="54"/>
      <c r="BT739" s="818"/>
      <c r="BU739" s="818"/>
      <c r="BV739" s="818"/>
      <c r="BW739" s="92"/>
      <c r="BX739" s="92"/>
      <c r="BY739" s="17"/>
      <c r="BZ739" s="17"/>
      <c r="CA739" s="17"/>
      <c r="CB739" s="17"/>
      <c r="CC739" s="17"/>
      <c r="CD739" s="17"/>
    </row>
    <row r="740">
      <c r="A740" s="92"/>
      <c r="B740" s="820"/>
      <c r="O740" s="17"/>
      <c r="P740" s="17"/>
      <c r="Q740" s="17"/>
      <c r="R740" s="17"/>
      <c r="S740" s="813"/>
      <c r="T740" s="17"/>
      <c r="AX740" s="17"/>
      <c r="BB740" s="17"/>
      <c r="BE740" s="17"/>
      <c r="BF740" s="17"/>
      <c r="BG740" s="17"/>
      <c r="BH740" s="17"/>
      <c r="BI740" s="17"/>
      <c r="BJ740" s="17"/>
      <c r="BK740" s="17"/>
      <c r="BL740" s="92"/>
      <c r="BM740" s="92"/>
      <c r="BN740" s="92"/>
      <c r="BO740" s="92"/>
      <c r="BP740" s="92"/>
      <c r="BQ740" s="818"/>
      <c r="BR740" s="54"/>
      <c r="BS740" s="54"/>
      <c r="BT740" s="818"/>
      <c r="BU740" s="818"/>
      <c r="BV740" s="818"/>
      <c r="BW740" s="92"/>
      <c r="BX740" s="92"/>
      <c r="BY740" s="17"/>
      <c r="BZ740" s="17"/>
      <c r="CA740" s="17"/>
      <c r="CB740" s="17"/>
      <c r="CC740" s="17"/>
      <c r="CD740" s="17"/>
    </row>
    <row r="741">
      <c r="A741" s="92"/>
      <c r="B741" s="820"/>
      <c r="O741" s="17"/>
      <c r="P741" s="17"/>
      <c r="Q741" s="17"/>
      <c r="R741" s="17"/>
      <c r="S741" s="813"/>
      <c r="T741" s="17"/>
      <c r="AX741" s="17"/>
      <c r="BB741" s="17"/>
      <c r="BE741" s="17"/>
      <c r="BF741" s="17"/>
      <c r="BG741" s="17"/>
      <c r="BH741" s="17"/>
      <c r="BI741" s="17"/>
      <c r="BJ741" s="17"/>
      <c r="BK741" s="17"/>
      <c r="BL741" s="92"/>
      <c r="BM741" s="92"/>
      <c r="BN741" s="92"/>
      <c r="BO741" s="92"/>
      <c r="BP741" s="92"/>
      <c r="BQ741" s="818"/>
      <c r="BR741" s="54"/>
      <c r="BS741" s="54"/>
      <c r="BT741" s="818"/>
      <c r="BU741" s="818"/>
      <c r="BV741" s="818"/>
      <c r="BW741" s="92"/>
      <c r="BX741" s="92"/>
      <c r="BY741" s="17"/>
      <c r="BZ741" s="17"/>
      <c r="CA741" s="17"/>
      <c r="CB741" s="17"/>
      <c r="CC741" s="17"/>
      <c r="CD741" s="17"/>
    </row>
    <row r="742">
      <c r="A742" s="92"/>
      <c r="B742" s="820"/>
      <c r="O742" s="17"/>
      <c r="P742" s="17"/>
      <c r="Q742" s="17"/>
      <c r="R742" s="17"/>
      <c r="S742" s="813"/>
      <c r="T742" s="17"/>
      <c r="AX742" s="17"/>
      <c r="BB742" s="17"/>
      <c r="BE742" s="17"/>
      <c r="BF742" s="17"/>
      <c r="BG742" s="17"/>
      <c r="BH742" s="17"/>
      <c r="BI742" s="17"/>
      <c r="BJ742" s="17"/>
      <c r="BK742" s="17"/>
      <c r="BL742" s="92"/>
      <c r="BM742" s="92"/>
      <c r="BN742" s="92"/>
      <c r="BO742" s="92"/>
      <c r="BP742" s="92"/>
      <c r="BQ742" s="818"/>
      <c r="BR742" s="54"/>
      <c r="BS742" s="54"/>
      <c r="BT742" s="818"/>
      <c r="BU742" s="818"/>
      <c r="BV742" s="818"/>
      <c r="BW742" s="92"/>
      <c r="BX742" s="92"/>
      <c r="BY742" s="17"/>
      <c r="BZ742" s="17"/>
      <c r="CA742" s="17"/>
      <c r="CB742" s="17"/>
      <c r="CC742" s="17"/>
      <c r="CD742" s="17"/>
    </row>
    <row r="743">
      <c r="A743" s="92"/>
      <c r="B743" s="820"/>
      <c r="O743" s="17"/>
      <c r="P743" s="17"/>
      <c r="Q743" s="17"/>
      <c r="R743" s="17"/>
      <c r="S743" s="813"/>
      <c r="T743" s="17"/>
      <c r="AX743" s="17"/>
      <c r="BB743" s="17"/>
      <c r="BE743" s="17"/>
      <c r="BF743" s="17"/>
      <c r="BG743" s="17"/>
      <c r="BH743" s="17"/>
      <c r="BI743" s="17"/>
      <c r="BJ743" s="17"/>
      <c r="BK743" s="17"/>
      <c r="BL743" s="92"/>
      <c r="BM743" s="92"/>
      <c r="BN743" s="92"/>
      <c r="BO743" s="92"/>
      <c r="BP743" s="92"/>
      <c r="BQ743" s="818"/>
      <c r="BR743" s="54"/>
      <c r="BS743" s="54"/>
      <c r="BT743" s="818"/>
      <c r="BU743" s="818"/>
      <c r="BV743" s="818"/>
      <c r="BW743" s="92"/>
      <c r="BX743" s="92"/>
      <c r="BY743" s="17"/>
      <c r="BZ743" s="17"/>
      <c r="CA743" s="17"/>
      <c r="CB743" s="17"/>
      <c r="CC743" s="17"/>
      <c r="CD743" s="17"/>
    </row>
    <row r="744">
      <c r="A744" s="92"/>
      <c r="B744" s="820"/>
      <c r="O744" s="17"/>
      <c r="P744" s="17"/>
      <c r="Q744" s="17"/>
      <c r="R744" s="17"/>
      <c r="S744" s="813"/>
      <c r="T744" s="17"/>
      <c r="AX744" s="17"/>
      <c r="BB744" s="17"/>
      <c r="BE744" s="17"/>
      <c r="BF744" s="17"/>
      <c r="BG744" s="17"/>
      <c r="BH744" s="17"/>
      <c r="BI744" s="17"/>
      <c r="BJ744" s="17"/>
      <c r="BK744" s="17"/>
      <c r="BL744" s="92"/>
      <c r="BM744" s="92"/>
      <c r="BN744" s="92"/>
      <c r="BO744" s="92"/>
      <c r="BP744" s="92"/>
      <c r="BQ744" s="818"/>
      <c r="BR744" s="54"/>
      <c r="BS744" s="54"/>
      <c r="BT744" s="818"/>
      <c r="BU744" s="818"/>
      <c r="BV744" s="818"/>
      <c r="BW744" s="92"/>
      <c r="BX744" s="92"/>
      <c r="BY744" s="17"/>
      <c r="BZ744" s="17"/>
      <c r="CA744" s="17"/>
      <c r="CB744" s="17"/>
      <c r="CC744" s="17"/>
      <c r="CD744" s="17"/>
    </row>
    <row r="745">
      <c r="A745" s="92"/>
      <c r="B745" s="820"/>
      <c r="O745" s="17"/>
      <c r="P745" s="17"/>
      <c r="Q745" s="17"/>
      <c r="R745" s="17"/>
      <c r="S745" s="813"/>
      <c r="T745" s="17"/>
      <c r="AX745" s="17"/>
      <c r="BB745" s="17"/>
      <c r="BE745" s="17"/>
      <c r="BF745" s="17"/>
      <c r="BG745" s="17"/>
      <c r="BH745" s="17"/>
      <c r="BI745" s="17"/>
      <c r="BJ745" s="17"/>
      <c r="BK745" s="17"/>
      <c r="BL745" s="92"/>
      <c r="BM745" s="92"/>
      <c r="BN745" s="92"/>
      <c r="BO745" s="92"/>
      <c r="BP745" s="92"/>
      <c r="BQ745" s="818"/>
      <c r="BR745" s="54"/>
      <c r="BS745" s="54"/>
      <c r="BT745" s="818"/>
      <c r="BU745" s="818"/>
      <c r="BV745" s="818"/>
      <c r="BW745" s="92"/>
      <c r="BX745" s="92"/>
      <c r="BY745" s="17"/>
      <c r="BZ745" s="17"/>
      <c r="CA745" s="17"/>
      <c r="CB745" s="17"/>
      <c r="CC745" s="17"/>
      <c r="CD745" s="17"/>
    </row>
    <row r="746">
      <c r="A746" s="92"/>
      <c r="B746" s="820"/>
      <c r="O746" s="17"/>
      <c r="P746" s="17"/>
      <c r="Q746" s="17"/>
      <c r="R746" s="17"/>
      <c r="S746" s="813"/>
      <c r="T746" s="17"/>
      <c r="AX746" s="17"/>
      <c r="BB746" s="17"/>
      <c r="BE746" s="17"/>
      <c r="BF746" s="17"/>
      <c r="BG746" s="17"/>
      <c r="BH746" s="17"/>
      <c r="BI746" s="17"/>
      <c r="BJ746" s="17"/>
      <c r="BK746" s="17"/>
      <c r="BL746" s="92"/>
      <c r="BM746" s="92"/>
      <c r="BN746" s="92"/>
      <c r="BO746" s="92"/>
      <c r="BP746" s="92"/>
      <c r="BQ746" s="818"/>
      <c r="BR746" s="54"/>
      <c r="BS746" s="54"/>
      <c r="BT746" s="818"/>
      <c r="BU746" s="818"/>
      <c r="BV746" s="818"/>
      <c r="BW746" s="92"/>
      <c r="BX746" s="92"/>
      <c r="BY746" s="17"/>
      <c r="BZ746" s="17"/>
      <c r="CA746" s="17"/>
      <c r="CB746" s="17"/>
      <c r="CC746" s="17"/>
      <c r="CD746" s="17"/>
    </row>
    <row r="747">
      <c r="A747" s="92"/>
      <c r="B747" s="820"/>
      <c r="O747" s="17"/>
      <c r="P747" s="17"/>
      <c r="Q747" s="17"/>
      <c r="R747" s="17"/>
      <c r="S747" s="813"/>
      <c r="T747" s="17"/>
      <c r="AX747" s="17"/>
      <c r="BB747" s="17"/>
      <c r="BE747" s="17"/>
      <c r="BF747" s="17"/>
      <c r="BG747" s="17"/>
      <c r="BH747" s="17"/>
      <c r="BI747" s="17"/>
      <c r="BJ747" s="17"/>
      <c r="BK747" s="17"/>
      <c r="BL747" s="92"/>
      <c r="BM747" s="92"/>
      <c r="BN747" s="92"/>
      <c r="BO747" s="92"/>
      <c r="BP747" s="92"/>
      <c r="BQ747" s="818"/>
      <c r="BR747" s="54"/>
      <c r="BS747" s="54"/>
      <c r="BT747" s="818"/>
      <c r="BU747" s="818"/>
      <c r="BV747" s="818"/>
      <c r="BW747" s="92"/>
      <c r="BX747" s="92"/>
      <c r="BY747" s="17"/>
      <c r="BZ747" s="17"/>
      <c r="CA747" s="17"/>
      <c r="CB747" s="17"/>
      <c r="CC747" s="17"/>
      <c r="CD747" s="17"/>
    </row>
    <row r="748">
      <c r="A748" s="92"/>
      <c r="B748" s="820"/>
      <c r="O748" s="17"/>
      <c r="P748" s="17"/>
      <c r="Q748" s="17"/>
      <c r="R748" s="17"/>
      <c r="S748" s="813"/>
      <c r="T748" s="17"/>
      <c r="AX748" s="17"/>
      <c r="BB748" s="17"/>
      <c r="BE748" s="17"/>
      <c r="BF748" s="17"/>
      <c r="BG748" s="17"/>
      <c r="BH748" s="17"/>
      <c r="BI748" s="17"/>
      <c r="BJ748" s="17"/>
      <c r="BK748" s="17"/>
      <c r="BL748" s="92"/>
      <c r="BM748" s="92"/>
      <c r="BN748" s="92"/>
      <c r="BO748" s="92"/>
      <c r="BP748" s="92"/>
      <c r="BQ748" s="818"/>
      <c r="BR748" s="54"/>
      <c r="BS748" s="54"/>
      <c r="BT748" s="818"/>
      <c r="BU748" s="818"/>
      <c r="BV748" s="818"/>
      <c r="BW748" s="92"/>
      <c r="BX748" s="92"/>
      <c r="BY748" s="17"/>
      <c r="BZ748" s="17"/>
      <c r="CA748" s="17"/>
      <c r="CB748" s="17"/>
      <c r="CC748" s="17"/>
      <c r="CD748" s="17"/>
    </row>
    <row r="749">
      <c r="A749" s="92"/>
      <c r="B749" s="820"/>
      <c r="O749" s="17"/>
      <c r="P749" s="17"/>
      <c r="Q749" s="17"/>
      <c r="R749" s="17"/>
      <c r="S749" s="813"/>
      <c r="T749" s="17"/>
      <c r="AX749" s="17"/>
      <c r="BB749" s="17"/>
      <c r="BE749" s="17"/>
      <c r="BF749" s="17"/>
      <c r="BG749" s="17"/>
      <c r="BH749" s="17"/>
      <c r="BI749" s="17"/>
      <c r="BJ749" s="17"/>
      <c r="BK749" s="17"/>
      <c r="BL749" s="92"/>
      <c r="BM749" s="92"/>
      <c r="BN749" s="92"/>
      <c r="BO749" s="92"/>
      <c r="BP749" s="92"/>
      <c r="BQ749" s="818"/>
      <c r="BR749" s="54"/>
      <c r="BS749" s="54"/>
      <c r="BT749" s="818"/>
      <c r="BU749" s="818"/>
      <c r="BV749" s="818"/>
      <c r="BW749" s="92"/>
      <c r="BX749" s="92"/>
      <c r="BY749" s="17"/>
      <c r="BZ749" s="17"/>
      <c r="CA749" s="17"/>
      <c r="CB749" s="17"/>
      <c r="CC749" s="17"/>
      <c r="CD749" s="17"/>
    </row>
    <row r="750">
      <c r="A750" s="92"/>
      <c r="B750" s="820"/>
      <c r="O750" s="17"/>
      <c r="P750" s="17"/>
      <c r="Q750" s="17"/>
      <c r="R750" s="17"/>
      <c r="S750" s="813"/>
      <c r="T750" s="17"/>
      <c r="AX750" s="17"/>
      <c r="BB750" s="17"/>
      <c r="BE750" s="17"/>
      <c r="BF750" s="17"/>
      <c r="BG750" s="17"/>
      <c r="BH750" s="17"/>
      <c r="BI750" s="17"/>
      <c r="BJ750" s="17"/>
      <c r="BK750" s="17"/>
      <c r="BL750" s="92"/>
      <c r="BM750" s="92"/>
      <c r="BN750" s="92"/>
      <c r="BO750" s="92"/>
      <c r="BP750" s="92"/>
      <c r="BQ750" s="818"/>
      <c r="BR750" s="54"/>
      <c r="BS750" s="54"/>
      <c r="BT750" s="818"/>
      <c r="BU750" s="818"/>
      <c r="BV750" s="818"/>
      <c r="BW750" s="92"/>
      <c r="BX750" s="92"/>
      <c r="BY750" s="17"/>
      <c r="BZ750" s="17"/>
      <c r="CA750" s="17"/>
      <c r="CB750" s="17"/>
      <c r="CC750" s="17"/>
      <c r="CD750" s="17"/>
    </row>
    <row r="751">
      <c r="A751" s="92"/>
      <c r="B751" s="820"/>
      <c r="O751" s="17"/>
      <c r="P751" s="17"/>
      <c r="Q751" s="17"/>
      <c r="R751" s="17"/>
      <c r="S751" s="813"/>
      <c r="T751" s="17"/>
      <c r="AX751" s="17"/>
      <c r="BB751" s="17"/>
      <c r="BE751" s="17"/>
      <c r="BF751" s="17"/>
      <c r="BG751" s="17"/>
      <c r="BH751" s="17"/>
      <c r="BI751" s="17"/>
      <c r="BJ751" s="17"/>
      <c r="BK751" s="17"/>
      <c r="BL751" s="92"/>
      <c r="BM751" s="92"/>
      <c r="BN751" s="92"/>
      <c r="BO751" s="92"/>
      <c r="BP751" s="92"/>
      <c r="BQ751" s="818"/>
      <c r="BR751" s="54"/>
      <c r="BS751" s="54"/>
      <c r="BT751" s="818"/>
      <c r="BU751" s="818"/>
      <c r="BV751" s="818"/>
      <c r="BW751" s="92"/>
      <c r="BX751" s="92"/>
      <c r="BY751" s="17"/>
      <c r="BZ751" s="17"/>
      <c r="CA751" s="17"/>
      <c r="CB751" s="17"/>
      <c r="CC751" s="17"/>
      <c r="CD751" s="17"/>
    </row>
    <row r="752">
      <c r="A752" s="92"/>
      <c r="B752" s="820"/>
      <c r="O752" s="17"/>
      <c r="P752" s="17"/>
      <c r="Q752" s="17"/>
      <c r="R752" s="17"/>
      <c r="S752" s="813"/>
      <c r="T752" s="17"/>
      <c r="AX752" s="17"/>
      <c r="BB752" s="17"/>
      <c r="BE752" s="17"/>
      <c r="BF752" s="17"/>
      <c r="BG752" s="17"/>
      <c r="BH752" s="17"/>
      <c r="BI752" s="17"/>
      <c r="BJ752" s="17"/>
      <c r="BK752" s="17"/>
      <c r="BL752" s="92"/>
      <c r="BM752" s="92"/>
      <c r="BN752" s="92"/>
      <c r="BO752" s="92"/>
      <c r="BP752" s="92"/>
      <c r="BQ752" s="818"/>
      <c r="BR752" s="54"/>
      <c r="BS752" s="54"/>
      <c r="BT752" s="818"/>
      <c r="BU752" s="818"/>
      <c r="BV752" s="818"/>
      <c r="BW752" s="92"/>
      <c r="BX752" s="92"/>
      <c r="BY752" s="17"/>
      <c r="BZ752" s="17"/>
      <c r="CA752" s="17"/>
      <c r="CB752" s="17"/>
      <c r="CC752" s="17"/>
      <c r="CD752" s="17"/>
    </row>
    <row r="753">
      <c r="A753" s="92"/>
      <c r="B753" s="820"/>
      <c r="O753" s="17"/>
      <c r="P753" s="17"/>
      <c r="Q753" s="17"/>
      <c r="R753" s="17"/>
      <c r="S753" s="813"/>
      <c r="T753" s="17"/>
      <c r="AX753" s="17"/>
      <c r="BB753" s="17"/>
      <c r="BE753" s="17"/>
      <c r="BF753" s="17"/>
      <c r="BG753" s="17"/>
      <c r="BH753" s="17"/>
      <c r="BI753" s="17"/>
      <c r="BJ753" s="17"/>
      <c r="BK753" s="17"/>
      <c r="BL753" s="92"/>
      <c r="BM753" s="92"/>
      <c r="BN753" s="92"/>
      <c r="BO753" s="92"/>
      <c r="BP753" s="92"/>
      <c r="BQ753" s="818"/>
      <c r="BR753" s="54"/>
      <c r="BS753" s="54"/>
      <c r="BT753" s="818"/>
      <c r="BU753" s="818"/>
      <c r="BV753" s="818"/>
      <c r="BW753" s="92"/>
      <c r="BX753" s="92"/>
      <c r="BY753" s="17"/>
      <c r="BZ753" s="17"/>
      <c r="CA753" s="17"/>
      <c r="CB753" s="17"/>
      <c r="CC753" s="17"/>
      <c r="CD753" s="17"/>
    </row>
    <row r="754">
      <c r="A754" s="92"/>
      <c r="B754" s="820"/>
      <c r="O754" s="17"/>
      <c r="P754" s="17"/>
      <c r="Q754" s="17"/>
      <c r="R754" s="17"/>
      <c r="S754" s="813"/>
      <c r="T754" s="17"/>
      <c r="AX754" s="17"/>
      <c r="BB754" s="17"/>
      <c r="BE754" s="17"/>
      <c r="BF754" s="17"/>
      <c r="BG754" s="17"/>
      <c r="BH754" s="17"/>
      <c r="BI754" s="17"/>
      <c r="BJ754" s="17"/>
      <c r="BK754" s="17"/>
      <c r="BL754" s="92"/>
      <c r="BM754" s="92"/>
      <c r="BN754" s="92"/>
      <c r="BO754" s="92"/>
      <c r="BP754" s="92"/>
      <c r="BQ754" s="818"/>
      <c r="BR754" s="54"/>
      <c r="BS754" s="54"/>
      <c r="BT754" s="818"/>
      <c r="BU754" s="818"/>
      <c r="BV754" s="818"/>
      <c r="BW754" s="92"/>
      <c r="BX754" s="92"/>
      <c r="BY754" s="17"/>
      <c r="BZ754" s="17"/>
      <c r="CA754" s="17"/>
      <c r="CB754" s="17"/>
      <c r="CC754" s="17"/>
      <c r="CD754" s="17"/>
    </row>
    <row r="755">
      <c r="A755" s="92"/>
      <c r="B755" s="820"/>
      <c r="O755" s="17"/>
      <c r="P755" s="17"/>
      <c r="Q755" s="17"/>
      <c r="R755" s="17"/>
      <c r="S755" s="813"/>
      <c r="T755" s="17"/>
      <c r="AX755" s="17"/>
      <c r="BB755" s="17"/>
      <c r="BE755" s="17"/>
      <c r="BF755" s="17"/>
      <c r="BG755" s="17"/>
      <c r="BH755" s="17"/>
      <c r="BI755" s="17"/>
      <c r="BJ755" s="17"/>
      <c r="BK755" s="17"/>
      <c r="BL755" s="92"/>
      <c r="BM755" s="92"/>
      <c r="BN755" s="92"/>
      <c r="BO755" s="92"/>
      <c r="BP755" s="92"/>
      <c r="BQ755" s="818"/>
      <c r="BR755" s="54"/>
      <c r="BS755" s="54"/>
      <c r="BT755" s="818"/>
      <c r="BU755" s="818"/>
      <c r="BV755" s="818"/>
      <c r="BW755" s="92"/>
      <c r="BX755" s="92"/>
      <c r="BY755" s="17"/>
      <c r="BZ755" s="17"/>
      <c r="CA755" s="17"/>
      <c r="CB755" s="17"/>
      <c r="CC755" s="17"/>
      <c r="CD755" s="17"/>
    </row>
    <row r="756">
      <c r="A756" s="92"/>
      <c r="B756" s="820"/>
      <c r="O756" s="17"/>
      <c r="P756" s="17"/>
      <c r="Q756" s="17"/>
      <c r="R756" s="17"/>
      <c r="S756" s="813"/>
      <c r="T756" s="17"/>
      <c r="AX756" s="17"/>
      <c r="BB756" s="17"/>
      <c r="BE756" s="17"/>
      <c r="BF756" s="17"/>
      <c r="BG756" s="17"/>
      <c r="BH756" s="17"/>
      <c r="BI756" s="17"/>
      <c r="BJ756" s="17"/>
      <c r="BK756" s="17"/>
      <c r="BL756" s="92"/>
      <c r="BM756" s="92"/>
      <c r="BN756" s="92"/>
      <c r="BO756" s="92"/>
      <c r="BP756" s="92"/>
      <c r="BQ756" s="818"/>
      <c r="BR756" s="54"/>
      <c r="BS756" s="54"/>
      <c r="BT756" s="818"/>
      <c r="BU756" s="818"/>
      <c r="BV756" s="818"/>
      <c r="BW756" s="92"/>
      <c r="BX756" s="92"/>
      <c r="BY756" s="17"/>
      <c r="BZ756" s="17"/>
      <c r="CA756" s="17"/>
      <c r="CB756" s="17"/>
      <c r="CC756" s="17"/>
      <c r="CD756" s="17"/>
    </row>
    <row r="757">
      <c r="A757" s="92"/>
      <c r="B757" s="820"/>
      <c r="O757" s="17"/>
      <c r="P757" s="17"/>
      <c r="Q757" s="17"/>
      <c r="R757" s="17"/>
      <c r="S757" s="813"/>
      <c r="T757" s="17"/>
      <c r="AX757" s="17"/>
      <c r="BB757" s="17"/>
      <c r="BE757" s="17"/>
      <c r="BF757" s="17"/>
      <c r="BG757" s="17"/>
      <c r="BH757" s="17"/>
      <c r="BI757" s="17"/>
      <c r="BJ757" s="17"/>
      <c r="BK757" s="17"/>
      <c r="BL757" s="92"/>
      <c r="BM757" s="92"/>
      <c r="BN757" s="92"/>
      <c r="BO757" s="92"/>
      <c r="BP757" s="92"/>
      <c r="BQ757" s="818"/>
      <c r="BR757" s="54"/>
      <c r="BS757" s="54"/>
      <c r="BT757" s="818"/>
      <c r="BU757" s="818"/>
      <c r="BV757" s="818"/>
      <c r="BW757" s="92"/>
      <c r="BX757" s="92"/>
      <c r="BY757" s="17"/>
      <c r="BZ757" s="17"/>
      <c r="CA757" s="17"/>
      <c r="CB757" s="17"/>
      <c r="CC757" s="17"/>
      <c r="CD757" s="17"/>
    </row>
    <row r="758">
      <c r="A758" s="92"/>
      <c r="B758" s="820"/>
      <c r="O758" s="17"/>
      <c r="P758" s="17"/>
      <c r="Q758" s="17"/>
      <c r="R758" s="17"/>
      <c r="S758" s="813"/>
      <c r="T758" s="17"/>
      <c r="AX758" s="17"/>
      <c r="BB758" s="17"/>
      <c r="BE758" s="17"/>
      <c r="BF758" s="17"/>
      <c r="BG758" s="17"/>
      <c r="BH758" s="17"/>
      <c r="BI758" s="17"/>
      <c r="BJ758" s="17"/>
      <c r="BK758" s="17"/>
      <c r="BL758" s="92"/>
      <c r="BM758" s="92"/>
      <c r="BN758" s="92"/>
      <c r="BO758" s="92"/>
      <c r="BP758" s="92"/>
      <c r="BQ758" s="818"/>
      <c r="BR758" s="54"/>
      <c r="BS758" s="54"/>
      <c r="BT758" s="818"/>
      <c r="BU758" s="818"/>
      <c r="BV758" s="818"/>
      <c r="BW758" s="92"/>
      <c r="BX758" s="92"/>
      <c r="BY758" s="17"/>
      <c r="BZ758" s="17"/>
      <c r="CA758" s="17"/>
      <c r="CB758" s="17"/>
      <c r="CC758" s="17"/>
      <c r="CD758" s="17"/>
    </row>
    <row r="759">
      <c r="A759" s="92"/>
      <c r="B759" s="820"/>
      <c r="O759" s="17"/>
      <c r="P759" s="17"/>
      <c r="Q759" s="17"/>
      <c r="R759" s="17"/>
      <c r="S759" s="813"/>
      <c r="T759" s="17"/>
      <c r="AX759" s="17"/>
      <c r="BB759" s="17"/>
      <c r="BE759" s="17"/>
      <c r="BF759" s="17"/>
      <c r="BG759" s="17"/>
      <c r="BH759" s="17"/>
      <c r="BI759" s="17"/>
      <c r="BJ759" s="17"/>
      <c r="BK759" s="17"/>
      <c r="BL759" s="92"/>
      <c r="BM759" s="92"/>
      <c r="BN759" s="92"/>
      <c r="BO759" s="92"/>
      <c r="BP759" s="92"/>
      <c r="BQ759" s="818"/>
      <c r="BR759" s="54"/>
      <c r="BS759" s="54"/>
      <c r="BT759" s="818"/>
      <c r="BU759" s="818"/>
      <c r="BV759" s="818"/>
      <c r="BW759" s="92"/>
      <c r="BX759" s="92"/>
      <c r="BY759" s="17"/>
      <c r="BZ759" s="17"/>
      <c r="CA759" s="17"/>
      <c r="CB759" s="17"/>
      <c r="CC759" s="17"/>
      <c r="CD759" s="17"/>
    </row>
    <row r="760">
      <c r="A760" s="92"/>
      <c r="B760" s="820"/>
      <c r="O760" s="17"/>
      <c r="P760" s="17"/>
      <c r="Q760" s="17"/>
      <c r="R760" s="17"/>
      <c r="S760" s="813"/>
      <c r="T760" s="17"/>
      <c r="AX760" s="17"/>
      <c r="BB760" s="17"/>
      <c r="BE760" s="17"/>
      <c r="BF760" s="17"/>
      <c r="BG760" s="17"/>
      <c r="BH760" s="17"/>
      <c r="BI760" s="17"/>
      <c r="BJ760" s="17"/>
      <c r="BK760" s="17"/>
      <c r="BL760" s="92"/>
      <c r="BM760" s="92"/>
      <c r="BN760" s="92"/>
      <c r="BO760" s="92"/>
      <c r="BP760" s="92"/>
      <c r="BQ760" s="818"/>
      <c r="BR760" s="54"/>
      <c r="BS760" s="54"/>
      <c r="BT760" s="818"/>
      <c r="BU760" s="818"/>
      <c r="BV760" s="818"/>
      <c r="BW760" s="92"/>
      <c r="BX760" s="92"/>
      <c r="BY760" s="17"/>
      <c r="BZ760" s="17"/>
      <c r="CA760" s="17"/>
      <c r="CB760" s="17"/>
      <c r="CC760" s="17"/>
      <c r="CD760" s="17"/>
    </row>
    <row r="761">
      <c r="A761" s="92"/>
      <c r="B761" s="820"/>
      <c r="O761" s="17"/>
      <c r="P761" s="17"/>
      <c r="Q761" s="17"/>
      <c r="R761" s="17"/>
      <c r="S761" s="813"/>
      <c r="T761" s="17"/>
      <c r="AX761" s="17"/>
      <c r="BB761" s="17"/>
      <c r="BE761" s="17"/>
      <c r="BF761" s="17"/>
      <c r="BG761" s="17"/>
      <c r="BH761" s="17"/>
      <c r="BI761" s="17"/>
      <c r="BJ761" s="17"/>
      <c r="BK761" s="17"/>
      <c r="BL761" s="92"/>
      <c r="BM761" s="92"/>
      <c r="BN761" s="92"/>
      <c r="BO761" s="92"/>
      <c r="BP761" s="92"/>
      <c r="BQ761" s="818"/>
      <c r="BR761" s="54"/>
      <c r="BS761" s="54"/>
      <c r="BT761" s="818"/>
      <c r="BU761" s="818"/>
      <c r="BV761" s="818"/>
      <c r="BW761" s="92"/>
      <c r="BX761" s="92"/>
      <c r="BY761" s="17"/>
      <c r="BZ761" s="17"/>
      <c r="CA761" s="17"/>
      <c r="CB761" s="17"/>
      <c r="CC761" s="17"/>
      <c r="CD761" s="17"/>
    </row>
    <row r="762">
      <c r="A762" s="92"/>
      <c r="B762" s="820"/>
      <c r="O762" s="17"/>
      <c r="P762" s="17"/>
      <c r="Q762" s="17"/>
      <c r="R762" s="17"/>
      <c r="S762" s="813"/>
      <c r="T762" s="17"/>
      <c r="AX762" s="17"/>
      <c r="BB762" s="17"/>
      <c r="BE762" s="17"/>
      <c r="BF762" s="17"/>
      <c r="BG762" s="17"/>
      <c r="BH762" s="17"/>
      <c r="BI762" s="17"/>
      <c r="BJ762" s="17"/>
      <c r="BK762" s="17"/>
      <c r="BL762" s="92"/>
      <c r="BM762" s="92"/>
      <c r="BN762" s="92"/>
      <c r="BO762" s="92"/>
      <c r="BP762" s="92"/>
      <c r="BQ762" s="818"/>
      <c r="BR762" s="54"/>
      <c r="BS762" s="54"/>
      <c r="BT762" s="818"/>
      <c r="BU762" s="818"/>
      <c r="BV762" s="818"/>
      <c r="BW762" s="92"/>
      <c r="BX762" s="92"/>
      <c r="BY762" s="17"/>
      <c r="BZ762" s="17"/>
      <c r="CA762" s="17"/>
      <c r="CB762" s="17"/>
      <c r="CC762" s="17"/>
      <c r="CD762" s="17"/>
    </row>
    <row r="763">
      <c r="A763" s="92"/>
      <c r="B763" s="820"/>
      <c r="O763" s="17"/>
      <c r="P763" s="17"/>
      <c r="Q763" s="17"/>
      <c r="R763" s="17"/>
      <c r="S763" s="813"/>
      <c r="T763" s="17"/>
      <c r="AX763" s="17"/>
      <c r="BB763" s="17"/>
      <c r="BE763" s="17"/>
      <c r="BF763" s="17"/>
      <c r="BG763" s="17"/>
      <c r="BH763" s="17"/>
      <c r="BI763" s="17"/>
      <c r="BJ763" s="17"/>
      <c r="BK763" s="17"/>
      <c r="BL763" s="92"/>
      <c r="BM763" s="92"/>
      <c r="BN763" s="92"/>
      <c r="BO763" s="92"/>
      <c r="BP763" s="92"/>
      <c r="BQ763" s="818"/>
      <c r="BR763" s="54"/>
      <c r="BS763" s="54"/>
      <c r="BT763" s="818"/>
      <c r="BU763" s="818"/>
      <c r="BV763" s="818"/>
      <c r="BW763" s="92"/>
      <c r="BX763" s="92"/>
      <c r="BY763" s="17"/>
      <c r="BZ763" s="17"/>
      <c r="CA763" s="17"/>
      <c r="CB763" s="17"/>
      <c r="CC763" s="17"/>
      <c r="CD763" s="17"/>
    </row>
    <row r="764">
      <c r="A764" s="92"/>
      <c r="B764" s="820"/>
      <c r="O764" s="17"/>
      <c r="P764" s="17"/>
      <c r="Q764" s="17"/>
      <c r="R764" s="17"/>
      <c r="S764" s="813"/>
      <c r="T764" s="17"/>
      <c r="AX764" s="17"/>
      <c r="BB764" s="17"/>
      <c r="BE764" s="17"/>
      <c r="BF764" s="17"/>
      <c r="BG764" s="17"/>
      <c r="BH764" s="17"/>
      <c r="BI764" s="17"/>
      <c r="BJ764" s="17"/>
      <c r="BK764" s="17"/>
      <c r="BL764" s="92"/>
      <c r="BM764" s="92"/>
      <c r="BN764" s="92"/>
      <c r="BO764" s="92"/>
      <c r="BP764" s="92"/>
      <c r="BQ764" s="818"/>
      <c r="BR764" s="54"/>
      <c r="BS764" s="54"/>
      <c r="BT764" s="818"/>
      <c r="BU764" s="818"/>
      <c r="BV764" s="818"/>
      <c r="BW764" s="92"/>
      <c r="BX764" s="92"/>
      <c r="BY764" s="17"/>
      <c r="BZ764" s="17"/>
      <c r="CA764" s="17"/>
      <c r="CB764" s="17"/>
      <c r="CC764" s="17"/>
      <c r="CD764" s="17"/>
    </row>
    <row r="765">
      <c r="A765" s="92"/>
      <c r="B765" s="820"/>
      <c r="O765" s="17"/>
      <c r="P765" s="17"/>
      <c r="Q765" s="17"/>
      <c r="R765" s="17"/>
      <c r="S765" s="813"/>
      <c r="T765" s="17"/>
      <c r="AX765" s="17"/>
      <c r="BB765" s="17"/>
      <c r="BE765" s="17"/>
      <c r="BF765" s="17"/>
      <c r="BG765" s="17"/>
      <c r="BH765" s="17"/>
      <c r="BI765" s="17"/>
      <c r="BJ765" s="17"/>
      <c r="BK765" s="17"/>
      <c r="BL765" s="92"/>
      <c r="BM765" s="92"/>
      <c r="BN765" s="92"/>
      <c r="BO765" s="92"/>
      <c r="BP765" s="92"/>
      <c r="BQ765" s="818"/>
      <c r="BR765" s="54"/>
      <c r="BS765" s="54"/>
      <c r="BT765" s="818"/>
      <c r="BU765" s="818"/>
      <c r="BV765" s="818"/>
      <c r="BW765" s="92"/>
      <c r="BX765" s="92"/>
      <c r="BY765" s="17"/>
      <c r="BZ765" s="17"/>
      <c r="CA765" s="17"/>
      <c r="CB765" s="17"/>
      <c r="CC765" s="17"/>
      <c r="CD765" s="17"/>
    </row>
    <row r="766">
      <c r="A766" s="92"/>
      <c r="B766" s="820"/>
      <c r="O766" s="17"/>
      <c r="P766" s="17"/>
      <c r="Q766" s="17"/>
      <c r="R766" s="17"/>
      <c r="S766" s="813"/>
      <c r="T766" s="17"/>
      <c r="AX766" s="17"/>
      <c r="BB766" s="17"/>
      <c r="BE766" s="17"/>
      <c r="BF766" s="17"/>
      <c r="BG766" s="17"/>
      <c r="BH766" s="17"/>
      <c r="BI766" s="17"/>
      <c r="BJ766" s="17"/>
      <c r="BK766" s="17"/>
      <c r="BL766" s="92"/>
      <c r="BM766" s="92"/>
      <c r="BN766" s="92"/>
      <c r="BO766" s="92"/>
      <c r="BP766" s="92"/>
      <c r="BQ766" s="818"/>
      <c r="BR766" s="54"/>
      <c r="BS766" s="54"/>
      <c r="BT766" s="818"/>
      <c r="BU766" s="818"/>
      <c r="BV766" s="818"/>
      <c r="BW766" s="92"/>
      <c r="BX766" s="92"/>
      <c r="BY766" s="17"/>
      <c r="BZ766" s="17"/>
      <c r="CA766" s="17"/>
      <c r="CB766" s="17"/>
      <c r="CC766" s="17"/>
      <c r="CD766" s="17"/>
    </row>
    <row r="767">
      <c r="A767" s="92"/>
      <c r="B767" s="820"/>
      <c r="O767" s="17"/>
      <c r="P767" s="17"/>
      <c r="Q767" s="17"/>
      <c r="R767" s="17"/>
      <c r="S767" s="813"/>
      <c r="T767" s="17"/>
      <c r="AX767" s="17"/>
      <c r="BB767" s="17"/>
      <c r="BE767" s="17"/>
      <c r="BF767" s="17"/>
      <c r="BG767" s="17"/>
      <c r="BH767" s="17"/>
      <c r="BI767" s="17"/>
      <c r="BJ767" s="17"/>
      <c r="BK767" s="17"/>
      <c r="BL767" s="92"/>
      <c r="BM767" s="92"/>
      <c r="BN767" s="92"/>
      <c r="BO767" s="92"/>
      <c r="BP767" s="92"/>
      <c r="BQ767" s="818"/>
      <c r="BR767" s="54"/>
      <c r="BS767" s="54"/>
      <c r="BT767" s="818"/>
      <c r="BU767" s="818"/>
      <c r="BV767" s="818"/>
      <c r="BW767" s="92"/>
      <c r="BX767" s="92"/>
      <c r="BY767" s="17"/>
      <c r="BZ767" s="17"/>
      <c r="CA767" s="17"/>
      <c r="CB767" s="17"/>
      <c r="CC767" s="17"/>
      <c r="CD767" s="17"/>
    </row>
    <row r="768">
      <c r="A768" s="92"/>
      <c r="B768" s="820"/>
      <c r="O768" s="17"/>
      <c r="P768" s="17"/>
      <c r="Q768" s="17"/>
      <c r="R768" s="17"/>
      <c r="S768" s="813"/>
      <c r="T768" s="17"/>
      <c r="AX768" s="17"/>
      <c r="BB768" s="17"/>
      <c r="BE768" s="17"/>
      <c r="BF768" s="17"/>
      <c r="BG768" s="17"/>
      <c r="BH768" s="17"/>
      <c r="BI768" s="17"/>
      <c r="BJ768" s="17"/>
      <c r="BK768" s="17"/>
      <c r="BL768" s="92"/>
      <c r="BM768" s="92"/>
      <c r="BN768" s="92"/>
      <c r="BO768" s="92"/>
      <c r="BP768" s="92"/>
      <c r="BQ768" s="818"/>
      <c r="BR768" s="54"/>
      <c r="BS768" s="54"/>
      <c r="BT768" s="818"/>
      <c r="BU768" s="818"/>
      <c r="BV768" s="818"/>
      <c r="BW768" s="92"/>
      <c r="BX768" s="92"/>
      <c r="BY768" s="17"/>
      <c r="BZ768" s="17"/>
      <c r="CA768" s="17"/>
      <c r="CB768" s="17"/>
      <c r="CC768" s="17"/>
      <c r="CD768" s="17"/>
    </row>
    <row r="769">
      <c r="A769" s="92"/>
      <c r="B769" s="820"/>
      <c r="O769" s="17"/>
      <c r="P769" s="17"/>
      <c r="Q769" s="17"/>
      <c r="R769" s="17"/>
      <c r="S769" s="813"/>
      <c r="T769" s="17"/>
      <c r="AX769" s="17"/>
      <c r="BB769" s="17"/>
      <c r="BE769" s="17"/>
      <c r="BF769" s="17"/>
      <c r="BG769" s="17"/>
      <c r="BH769" s="17"/>
      <c r="BI769" s="17"/>
      <c r="BJ769" s="17"/>
      <c r="BK769" s="17"/>
      <c r="BL769" s="92"/>
      <c r="BM769" s="92"/>
      <c r="BN769" s="92"/>
      <c r="BO769" s="92"/>
      <c r="BP769" s="92"/>
      <c r="BQ769" s="818"/>
      <c r="BR769" s="54"/>
      <c r="BS769" s="54"/>
      <c r="BT769" s="818"/>
      <c r="BU769" s="818"/>
      <c r="BV769" s="818"/>
      <c r="BW769" s="92"/>
      <c r="BX769" s="92"/>
      <c r="BY769" s="17"/>
      <c r="BZ769" s="17"/>
      <c r="CA769" s="17"/>
      <c r="CB769" s="17"/>
      <c r="CC769" s="17"/>
      <c r="CD769" s="17"/>
    </row>
    <row r="770">
      <c r="A770" s="92"/>
      <c r="B770" s="820"/>
      <c r="O770" s="17"/>
      <c r="P770" s="17"/>
      <c r="Q770" s="17"/>
      <c r="R770" s="17"/>
      <c r="S770" s="813"/>
      <c r="T770" s="17"/>
      <c r="AX770" s="17"/>
      <c r="BB770" s="17"/>
      <c r="BE770" s="17"/>
      <c r="BF770" s="17"/>
      <c r="BG770" s="17"/>
      <c r="BH770" s="17"/>
      <c r="BI770" s="17"/>
      <c r="BJ770" s="17"/>
      <c r="BK770" s="17"/>
      <c r="BL770" s="92"/>
      <c r="BM770" s="92"/>
      <c r="BN770" s="92"/>
      <c r="BO770" s="92"/>
      <c r="BP770" s="92"/>
      <c r="BQ770" s="818"/>
      <c r="BR770" s="54"/>
      <c r="BS770" s="54"/>
      <c r="BT770" s="818"/>
      <c r="BU770" s="818"/>
      <c r="BV770" s="818"/>
      <c r="BW770" s="92"/>
      <c r="BX770" s="92"/>
      <c r="BY770" s="17"/>
      <c r="BZ770" s="17"/>
      <c r="CA770" s="17"/>
      <c r="CB770" s="17"/>
      <c r="CC770" s="17"/>
      <c r="CD770" s="17"/>
    </row>
    <row r="771">
      <c r="A771" s="92"/>
      <c r="B771" s="820"/>
      <c r="O771" s="17"/>
      <c r="P771" s="17"/>
      <c r="Q771" s="17"/>
      <c r="R771" s="17"/>
      <c r="S771" s="813"/>
      <c r="T771" s="17"/>
      <c r="AX771" s="17"/>
      <c r="BB771" s="17"/>
      <c r="BE771" s="17"/>
      <c r="BF771" s="17"/>
      <c r="BG771" s="17"/>
      <c r="BH771" s="17"/>
      <c r="BI771" s="17"/>
      <c r="BJ771" s="17"/>
      <c r="BK771" s="17"/>
      <c r="BL771" s="92"/>
      <c r="BM771" s="92"/>
      <c r="BN771" s="92"/>
      <c r="BO771" s="92"/>
      <c r="BP771" s="92"/>
      <c r="BQ771" s="818"/>
      <c r="BR771" s="54"/>
      <c r="BS771" s="54"/>
      <c r="BT771" s="818"/>
      <c r="BU771" s="818"/>
      <c r="BV771" s="818"/>
      <c r="BW771" s="92"/>
      <c r="BX771" s="92"/>
      <c r="BY771" s="17"/>
      <c r="BZ771" s="17"/>
      <c r="CA771" s="17"/>
      <c r="CB771" s="17"/>
      <c r="CC771" s="17"/>
      <c r="CD771" s="17"/>
    </row>
    <row r="772">
      <c r="A772" s="92"/>
      <c r="B772" s="820"/>
      <c r="O772" s="17"/>
      <c r="P772" s="17"/>
      <c r="Q772" s="17"/>
      <c r="R772" s="17"/>
      <c r="S772" s="813"/>
      <c r="T772" s="17"/>
      <c r="AX772" s="17"/>
      <c r="BB772" s="17"/>
      <c r="BE772" s="17"/>
      <c r="BF772" s="17"/>
      <c r="BG772" s="17"/>
      <c r="BH772" s="17"/>
      <c r="BI772" s="17"/>
      <c r="BJ772" s="17"/>
      <c r="BK772" s="17"/>
      <c r="BL772" s="92"/>
      <c r="BM772" s="92"/>
      <c r="BN772" s="92"/>
      <c r="BO772" s="92"/>
      <c r="BP772" s="92"/>
      <c r="BQ772" s="818"/>
      <c r="BR772" s="54"/>
      <c r="BS772" s="54"/>
      <c r="BT772" s="818"/>
      <c r="BU772" s="818"/>
      <c r="BV772" s="818"/>
      <c r="BW772" s="92"/>
      <c r="BX772" s="92"/>
      <c r="BY772" s="17"/>
      <c r="BZ772" s="17"/>
      <c r="CA772" s="17"/>
      <c r="CB772" s="17"/>
      <c r="CC772" s="17"/>
      <c r="CD772" s="17"/>
    </row>
    <row r="773">
      <c r="A773" s="92"/>
      <c r="B773" s="820"/>
      <c r="O773" s="17"/>
      <c r="P773" s="17"/>
      <c r="Q773" s="17"/>
      <c r="R773" s="17"/>
      <c r="S773" s="813"/>
      <c r="T773" s="17"/>
      <c r="AX773" s="17"/>
      <c r="BB773" s="17"/>
      <c r="BE773" s="17"/>
      <c r="BF773" s="17"/>
      <c r="BG773" s="17"/>
      <c r="BH773" s="17"/>
      <c r="BI773" s="17"/>
      <c r="BJ773" s="17"/>
      <c r="BK773" s="17"/>
      <c r="BL773" s="92"/>
      <c r="BM773" s="92"/>
      <c r="BN773" s="92"/>
      <c r="BO773" s="92"/>
      <c r="BP773" s="92"/>
      <c r="BQ773" s="818"/>
      <c r="BR773" s="54"/>
      <c r="BS773" s="54"/>
      <c r="BT773" s="818"/>
      <c r="BU773" s="818"/>
      <c r="BV773" s="818"/>
      <c r="BW773" s="92"/>
      <c r="BX773" s="92"/>
      <c r="BY773" s="17"/>
      <c r="BZ773" s="17"/>
      <c r="CA773" s="17"/>
      <c r="CB773" s="17"/>
      <c r="CC773" s="17"/>
      <c r="CD773" s="17"/>
    </row>
    <row r="774">
      <c r="A774" s="92"/>
      <c r="B774" s="820"/>
      <c r="O774" s="17"/>
      <c r="P774" s="17"/>
      <c r="Q774" s="17"/>
      <c r="R774" s="17"/>
      <c r="S774" s="813"/>
      <c r="T774" s="17"/>
      <c r="AX774" s="17"/>
      <c r="BB774" s="17"/>
      <c r="BE774" s="17"/>
      <c r="BF774" s="17"/>
      <c r="BG774" s="17"/>
      <c r="BH774" s="17"/>
      <c r="BI774" s="17"/>
      <c r="BJ774" s="17"/>
      <c r="BK774" s="17"/>
      <c r="BL774" s="92"/>
      <c r="BM774" s="92"/>
      <c r="BN774" s="92"/>
      <c r="BO774" s="92"/>
      <c r="BP774" s="92"/>
      <c r="BQ774" s="818"/>
      <c r="BR774" s="54"/>
      <c r="BS774" s="54"/>
      <c r="BT774" s="818"/>
      <c r="BU774" s="818"/>
      <c r="BV774" s="818"/>
      <c r="BW774" s="92"/>
      <c r="BX774" s="92"/>
      <c r="BY774" s="17"/>
      <c r="BZ774" s="17"/>
      <c r="CA774" s="17"/>
      <c r="CB774" s="17"/>
      <c r="CC774" s="17"/>
      <c r="CD774" s="17"/>
    </row>
    <row r="775">
      <c r="A775" s="92"/>
      <c r="B775" s="820"/>
      <c r="O775" s="17"/>
      <c r="P775" s="17"/>
      <c r="Q775" s="17"/>
      <c r="R775" s="17"/>
      <c r="S775" s="813"/>
      <c r="T775" s="17"/>
      <c r="AX775" s="17"/>
      <c r="BB775" s="17"/>
      <c r="BE775" s="17"/>
      <c r="BF775" s="17"/>
      <c r="BG775" s="17"/>
      <c r="BH775" s="17"/>
      <c r="BI775" s="17"/>
      <c r="BJ775" s="17"/>
      <c r="BK775" s="17"/>
      <c r="BL775" s="92"/>
      <c r="BM775" s="92"/>
      <c r="BN775" s="92"/>
      <c r="BO775" s="92"/>
      <c r="BP775" s="92"/>
      <c r="BQ775" s="818"/>
      <c r="BR775" s="54"/>
      <c r="BS775" s="54"/>
      <c r="BT775" s="818"/>
      <c r="BU775" s="818"/>
      <c r="BV775" s="818"/>
      <c r="BW775" s="92"/>
      <c r="BX775" s="92"/>
      <c r="BY775" s="17"/>
      <c r="BZ775" s="17"/>
      <c r="CA775" s="17"/>
      <c r="CB775" s="17"/>
      <c r="CC775" s="17"/>
      <c r="CD775" s="17"/>
    </row>
    <row r="776">
      <c r="A776" s="92"/>
      <c r="B776" s="820"/>
      <c r="O776" s="17"/>
      <c r="P776" s="17"/>
      <c r="Q776" s="17"/>
      <c r="R776" s="17"/>
      <c r="S776" s="813"/>
      <c r="T776" s="17"/>
      <c r="AX776" s="17"/>
      <c r="BB776" s="17"/>
      <c r="BE776" s="17"/>
      <c r="BF776" s="17"/>
      <c r="BG776" s="17"/>
      <c r="BH776" s="17"/>
      <c r="BI776" s="17"/>
      <c r="BJ776" s="17"/>
      <c r="BK776" s="17"/>
      <c r="BL776" s="92"/>
      <c r="BM776" s="92"/>
      <c r="BN776" s="92"/>
      <c r="BO776" s="92"/>
      <c r="BP776" s="92"/>
      <c r="BQ776" s="818"/>
      <c r="BR776" s="54"/>
      <c r="BS776" s="54"/>
      <c r="BT776" s="818"/>
      <c r="BU776" s="818"/>
      <c r="BV776" s="818"/>
      <c r="BW776" s="92"/>
      <c r="BX776" s="92"/>
      <c r="BY776" s="17"/>
      <c r="BZ776" s="17"/>
      <c r="CA776" s="17"/>
      <c r="CB776" s="17"/>
      <c r="CC776" s="17"/>
      <c r="CD776" s="17"/>
    </row>
    <row r="777">
      <c r="A777" s="92"/>
      <c r="B777" s="820"/>
      <c r="O777" s="17"/>
      <c r="P777" s="17"/>
      <c r="Q777" s="17"/>
      <c r="R777" s="17"/>
      <c r="S777" s="813"/>
      <c r="T777" s="17"/>
      <c r="AX777" s="17"/>
      <c r="BB777" s="17"/>
      <c r="BE777" s="17"/>
      <c r="BF777" s="17"/>
      <c r="BG777" s="17"/>
      <c r="BH777" s="17"/>
      <c r="BI777" s="17"/>
      <c r="BJ777" s="17"/>
      <c r="BK777" s="17"/>
      <c r="BL777" s="92"/>
      <c r="BM777" s="92"/>
      <c r="BN777" s="92"/>
      <c r="BO777" s="92"/>
      <c r="BP777" s="92"/>
      <c r="BQ777" s="818"/>
      <c r="BR777" s="54"/>
      <c r="BS777" s="54"/>
      <c r="BT777" s="818"/>
      <c r="BU777" s="818"/>
      <c r="BV777" s="818"/>
      <c r="BW777" s="92"/>
      <c r="BX777" s="92"/>
      <c r="BY777" s="17"/>
      <c r="BZ777" s="17"/>
      <c r="CA777" s="17"/>
      <c r="CB777" s="17"/>
      <c r="CC777" s="17"/>
      <c r="CD777" s="17"/>
    </row>
    <row r="778">
      <c r="A778" s="92"/>
      <c r="B778" s="820"/>
      <c r="O778" s="17"/>
      <c r="P778" s="17"/>
      <c r="Q778" s="17"/>
      <c r="R778" s="17"/>
      <c r="S778" s="813"/>
      <c r="T778" s="17"/>
      <c r="AX778" s="17"/>
      <c r="BB778" s="17"/>
      <c r="BE778" s="17"/>
      <c r="BF778" s="17"/>
      <c r="BG778" s="17"/>
      <c r="BH778" s="17"/>
      <c r="BI778" s="17"/>
      <c r="BJ778" s="17"/>
      <c r="BK778" s="17"/>
      <c r="BL778" s="92"/>
      <c r="BM778" s="92"/>
      <c r="BN778" s="92"/>
      <c r="BO778" s="92"/>
      <c r="BP778" s="92"/>
      <c r="BQ778" s="818"/>
      <c r="BR778" s="54"/>
      <c r="BS778" s="54"/>
      <c r="BT778" s="818"/>
      <c r="BU778" s="818"/>
      <c r="BV778" s="818"/>
      <c r="BW778" s="92"/>
      <c r="BX778" s="92"/>
      <c r="BY778" s="17"/>
      <c r="BZ778" s="17"/>
      <c r="CA778" s="17"/>
      <c r="CB778" s="17"/>
      <c r="CC778" s="17"/>
      <c r="CD778" s="17"/>
    </row>
    <row r="779">
      <c r="A779" s="92"/>
      <c r="B779" s="820"/>
      <c r="O779" s="17"/>
      <c r="P779" s="17"/>
      <c r="Q779" s="17"/>
      <c r="R779" s="17"/>
      <c r="S779" s="813"/>
      <c r="T779" s="17"/>
      <c r="AX779" s="17"/>
      <c r="BB779" s="17"/>
      <c r="BE779" s="17"/>
      <c r="BF779" s="17"/>
      <c r="BG779" s="17"/>
      <c r="BH779" s="17"/>
      <c r="BI779" s="17"/>
      <c r="BJ779" s="17"/>
      <c r="BK779" s="17"/>
      <c r="BL779" s="92"/>
      <c r="BM779" s="92"/>
      <c r="BN779" s="92"/>
      <c r="BO779" s="92"/>
      <c r="BP779" s="92"/>
      <c r="BQ779" s="818"/>
      <c r="BR779" s="54"/>
      <c r="BS779" s="54"/>
      <c r="BT779" s="818"/>
      <c r="BU779" s="818"/>
      <c r="BV779" s="818"/>
      <c r="BW779" s="92"/>
      <c r="BX779" s="92"/>
      <c r="BY779" s="17"/>
      <c r="BZ779" s="17"/>
      <c r="CA779" s="17"/>
      <c r="CB779" s="17"/>
      <c r="CC779" s="17"/>
      <c r="CD779" s="17"/>
    </row>
    <row r="780">
      <c r="A780" s="92"/>
      <c r="B780" s="820"/>
      <c r="O780" s="17"/>
      <c r="P780" s="17"/>
      <c r="Q780" s="17"/>
      <c r="R780" s="17"/>
      <c r="S780" s="813"/>
      <c r="T780" s="17"/>
      <c r="AX780" s="17"/>
      <c r="BB780" s="17"/>
      <c r="BE780" s="17"/>
      <c r="BF780" s="17"/>
      <c r="BG780" s="17"/>
      <c r="BH780" s="17"/>
      <c r="BI780" s="17"/>
      <c r="BJ780" s="17"/>
      <c r="BK780" s="17"/>
      <c r="BL780" s="92"/>
      <c r="BM780" s="92"/>
      <c r="BN780" s="92"/>
      <c r="BO780" s="92"/>
      <c r="BP780" s="92"/>
      <c r="BQ780" s="818"/>
      <c r="BR780" s="54"/>
      <c r="BS780" s="54"/>
      <c r="BT780" s="818"/>
      <c r="BU780" s="818"/>
      <c r="BV780" s="818"/>
      <c r="BW780" s="92"/>
      <c r="BX780" s="92"/>
      <c r="BY780" s="17"/>
      <c r="BZ780" s="17"/>
      <c r="CA780" s="17"/>
      <c r="CB780" s="17"/>
      <c r="CC780" s="17"/>
      <c r="CD780" s="17"/>
    </row>
    <row r="781">
      <c r="A781" s="92"/>
      <c r="B781" s="820"/>
      <c r="O781" s="17"/>
      <c r="P781" s="17"/>
      <c r="Q781" s="17"/>
      <c r="R781" s="17"/>
      <c r="S781" s="813"/>
      <c r="T781" s="17"/>
      <c r="AX781" s="17"/>
      <c r="BB781" s="17"/>
      <c r="BE781" s="17"/>
      <c r="BF781" s="17"/>
      <c r="BG781" s="17"/>
      <c r="BH781" s="17"/>
      <c r="BI781" s="17"/>
      <c r="BJ781" s="17"/>
      <c r="BK781" s="17"/>
      <c r="BL781" s="92"/>
      <c r="BM781" s="92"/>
      <c r="BN781" s="92"/>
      <c r="BO781" s="92"/>
      <c r="BP781" s="92"/>
      <c r="BQ781" s="818"/>
      <c r="BR781" s="54"/>
      <c r="BS781" s="54"/>
      <c r="BT781" s="818"/>
      <c r="BU781" s="818"/>
      <c r="BV781" s="818"/>
      <c r="BW781" s="92"/>
      <c r="BX781" s="92"/>
      <c r="BY781" s="17"/>
      <c r="BZ781" s="17"/>
      <c r="CA781" s="17"/>
      <c r="CB781" s="17"/>
      <c r="CC781" s="17"/>
      <c r="CD781" s="17"/>
    </row>
    <row r="782">
      <c r="A782" s="92"/>
      <c r="B782" s="820"/>
      <c r="O782" s="17"/>
      <c r="P782" s="17"/>
      <c r="Q782" s="17"/>
      <c r="R782" s="17"/>
      <c r="S782" s="813"/>
      <c r="T782" s="17"/>
      <c r="AX782" s="17"/>
      <c r="BB782" s="17"/>
      <c r="BE782" s="17"/>
      <c r="BF782" s="17"/>
      <c r="BG782" s="17"/>
      <c r="BH782" s="17"/>
      <c r="BI782" s="17"/>
      <c r="BJ782" s="17"/>
      <c r="BK782" s="17"/>
      <c r="BL782" s="92"/>
      <c r="BM782" s="92"/>
      <c r="BN782" s="92"/>
      <c r="BO782" s="92"/>
      <c r="BP782" s="92"/>
      <c r="BQ782" s="818"/>
      <c r="BR782" s="54"/>
      <c r="BS782" s="54"/>
      <c r="BT782" s="818"/>
      <c r="BU782" s="818"/>
      <c r="BV782" s="818"/>
      <c r="BW782" s="92"/>
      <c r="BX782" s="92"/>
      <c r="BY782" s="17"/>
      <c r="BZ782" s="17"/>
      <c r="CA782" s="17"/>
      <c r="CB782" s="17"/>
      <c r="CC782" s="17"/>
      <c r="CD782" s="17"/>
    </row>
    <row r="783">
      <c r="A783" s="92"/>
      <c r="B783" s="820"/>
      <c r="O783" s="17"/>
      <c r="P783" s="17"/>
      <c r="Q783" s="17"/>
      <c r="R783" s="17"/>
      <c r="S783" s="813"/>
      <c r="T783" s="17"/>
      <c r="AX783" s="17"/>
      <c r="BB783" s="17"/>
      <c r="BE783" s="17"/>
      <c r="BF783" s="17"/>
      <c r="BG783" s="17"/>
      <c r="BH783" s="17"/>
      <c r="BI783" s="17"/>
      <c r="BJ783" s="17"/>
      <c r="BK783" s="17"/>
      <c r="BL783" s="92"/>
      <c r="BM783" s="92"/>
      <c r="BN783" s="92"/>
      <c r="BO783" s="92"/>
      <c r="BP783" s="92"/>
      <c r="BQ783" s="818"/>
      <c r="BR783" s="54"/>
      <c r="BS783" s="54"/>
      <c r="BT783" s="818"/>
      <c r="BU783" s="818"/>
      <c r="BV783" s="818"/>
      <c r="BW783" s="92"/>
      <c r="BX783" s="92"/>
      <c r="BY783" s="17"/>
      <c r="BZ783" s="17"/>
      <c r="CA783" s="17"/>
      <c r="CB783" s="17"/>
      <c r="CC783" s="17"/>
      <c r="CD783" s="17"/>
    </row>
    <row r="784">
      <c r="A784" s="92"/>
      <c r="B784" s="820"/>
      <c r="O784" s="17"/>
      <c r="P784" s="17"/>
      <c r="Q784" s="17"/>
      <c r="R784" s="17"/>
      <c r="S784" s="813"/>
      <c r="T784" s="17"/>
      <c r="AX784" s="17"/>
      <c r="BB784" s="17"/>
      <c r="BE784" s="17"/>
      <c r="BF784" s="17"/>
      <c r="BG784" s="17"/>
      <c r="BH784" s="17"/>
      <c r="BI784" s="17"/>
      <c r="BJ784" s="17"/>
      <c r="BK784" s="17"/>
      <c r="BL784" s="92"/>
      <c r="BM784" s="92"/>
      <c r="BN784" s="92"/>
      <c r="BO784" s="92"/>
      <c r="BP784" s="92"/>
      <c r="BQ784" s="818"/>
      <c r="BR784" s="54"/>
      <c r="BS784" s="54"/>
      <c r="BT784" s="818"/>
      <c r="BU784" s="818"/>
      <c r="BV784" s="818"/>
      <c r="BW784" s="92"/>
      <c r="BX784" s="92"/>
      <c r="BY784" s="17"/>
      <c r="BZ784" s="17"/>
      <c r="CA784" s="17"/>
      <c r="CB784" s="17"/>
      <c r="CC784" s="17"/>
      <c r="CD784" s="17"/>
    </row>
    <row r="785">
      <c r="A785" s="92"/>
      <c r="B785" s="820"/>
      <c r="O785" s="17"/>
      <c r="P785" s="17"/>
      <c r="Q785" s="17"/>
      <c r="R785" s="17"/>
      <c r="S785" s="813"/>
      <c r="T785" s="17"/>
      <c r="AX785" s="17"/>
      <c r="BB785" s="17"/>
      <c r="BE785" s="17"/>
      <c r="BF785" s="17"/>
      <c r="BG785" s="17"/>
      <c r="BH785" s="17"/>
      <c r="BI785" s="17"/>
      <c r="BJ785" s="17"/>
      <c r="BK785" s="17"/>
      <c r="BL785" s="92"/>
      <c r="BM785" s="92"/>
      <c r="BN785" s="92"/>
      <c r="BO785" s="92"/>
      <c r="BP785" s="92"/>
      <c r="BQ785" s="818"/>
      <c r="BR785" s="54"/>
      <c r="BS785" s="54"/>
      <c r="BT785" s="818"/>
      <c r="BU785" s="818"/>
      <c r="BV785" s="818"/>
      <c r="BW785" s="92"/>
      <c r="BX785" s="92"/>
      <c r="BY785" s="17"/>
      <c r="BZ785" s="17"/>
      <c r="CA785" s="17"/>
      <c r="CB785" s="17"/>
      <c r="CC785" s="17"/>
      <c r="CD785" s="17"/>
    </row>
    <row r="786">
      <c r="A786" s="92"/>
      <c r="B786" s="820"/>
      <c r="O786" s="17"/>
      <c r="P786" s="17"/>
      <c r="Q786" s="17"/>
      <c r="R786" s="17"/>
      <c r="S786" s="813"/>
      <c r="T786" s="17"/>
      <c r="AX786" s="17"/>
      <c r="BB786" s="17"/>
      <c r="BE786" s="17"/>
      <c r="BF786" s="17"/>
      <c r="BG786" s="17"/>
      <c r="BH786" s="17"/>
      <c r="BI786" s="17"/>
      <c r="BJ786" s="17"/>
      <c r="BK786" s="17"/>
      <c r="BL786" s="92"/>
      <c r="BM786" s="92"/>
      <c r="BN786" s="92"/>
      <c r="BO786" s="92"/>
      <c r="BP786" s="92"/>
      <c r="BQ786" s="818"/>
      <c r="BR786" s="54"/>
      <c r="BS786" s="54"/>
      <c r="BT786" s="818"/>
      <c r="BU786" s="818"/>
      <c r="BV786" s="818"/>
      <c r="BW786" s="92"/>
      <c r="BX786" s="92"/>
      <c r="BY786" s="17"/>
      <c r="BZ786" s="17"/>
      <c r="CA786" s="17"/>
      <c r="CB786" s="17"/>
      <c r="CC786" s="17"/>
      <c r="CD786" s="17"/>
    </row>
    <row r="787">
      <c r="A787" s="92"/>
      <c r="B787" s="820"/>
      <c r="O787" s="17"/>
      <c r="P787" s="17"/>
      <c r="Q787" s="17"/>
      <c r="R787" s="17"/>
      <c r="S787" s="813"/>
      <c r="T787" s="17"/>
      <c r="AX787" s="17"/>
      <c r="BB787" s="17"/>
      <c r="BE787" s="17"/>
      <c r="BF787" s="17"/>
      <c r="BG787" s="17"/>
      <c r="BH787" s="17"/>
      <c r="BI787" s="17"/>
      <c r="BJ787" s="17"/>
      <c r="BK787" s="17"/>
      <c r="BL787" s="92"/>
      <c r="BM787" s="92"/>
      <c r="BN787" s="92"/>
      <c r="BO787" s="92"/>
      <c r="BP787" s="92"/>
      <c r="BQ787" s="818"/>
      <c r="BR787" s="54"/>
      <c r="BS787" s="54"/>
      <c r="BT787" s="818"/>
      <c r="BU787" s="818"/>
      <c r="BV787" s="818"/>
      <c r="BW787" s="92"/>
      <c r="BX787" s="92"/>
      <c r="BY787" s="17"/>
      <c r="BZ787" s="17"/>
      <c r="CA787" s="17"/>
      <c r="CB787" s="17"/>
      <c r="CC787" s="17"/>
      <c r="CD787" s="17"/>
    </row>
    <row r="788">
      <c r="A788" s="92"/>
      <c r="B788" s="820"/>
      <c r="O788" s="17"/>
      <c r="P788" s="17"/>
      <c r="Q788" s="17"/>
      <c r="R788" s="17"/>
      <c r="S788" s="813"/>
      <c r="T788" s="17"/>
      <c r="AX788" s="17"/>
      <c r="BB788" s="17"/>
      <c r="BE788" s="17"/>
      <c r="BF788" s="17"/>
      <c r="BG788" s="17"/>
      <c r="BH788" s="17"/>
      <c r="BI788" s="17"/>
      <c r="BJ788" s="17"/>
      <c r="BK788" s="17"/>
      <c r="BL788" s="92"/>
      <c r="BM788" s="92"/>
      <c r="BN788" s="92"/>
      <c r="BO788" s="92"/>
      <c r="BP788" s="92"/>
      <c r="BQ788" s="818"/>
      <c r="BR788" s="54"/>
      <c r="BS788" s="54"/>
      <c r="BT788" s="818"/>
      <c r="BU788" s="818"/>
      <c r="BV788" s="818"/>
      <c r="BW788" s="92"/>
      <c r="BX788" s="92"/>
      <c r="BY788" s="17"/>
      <c r="BZ788" s="17"/>
      <c r="CA788" s="17"/>
      <c r="CB788" s="17"/>
      <c r="CC788" s="17"/>
      <c r="CD788" s="17"/>
    </row>
    <row r="789">
      <c r="A789" s="92"/>
      <c r="B789" s="820"/>
      <c r="O789" s="17"/>
      <c r="P789" s="17"/>
      <c r="Q789" s="17"/>
      <c r="R789" s="17"/>
      <c r="S789" s="813"/>
      <c r="T789" s="17"/>
      <c r="AX789" s="17"/>
      <c r="BB789" s="17"/>
      <c r="BE789" s="17"/>
      <c r="BF789" s="17"/>
      <c r="BG789" s="17"/>
      <c r="BH789" s="17"/>
      <c r="BI789" s="17"/>
      <c r="BJ789" s="17"/>
      <c r="BK789" s="17"/>
      <c r="BL789" s="92"/>
      <c r="BM789" s="92"/>
      <c r="BN789" s="92"/>
      <c r="BO789" s="92"/>
      <c r="BP789" s="92"/>
      <c r="BQ789" s="818"/>
      <c r="BR789" s="54"/>
      <c r="BS789" s="54"/>
      <c r="BT789" s="818"/>
      <c r="BU789" s="818"/>
      <c r="BV789" s="818"/>
      <c r="BW789" s="92"/>
      <c r="BX789" s="92"/>
      <c r="BY789" s="17"/>
      <c r="BZ789" s="17"/>
      <c r="CA789" s="17"/>
      <c r="CB789" s="17"/>
      <c r="CC789" s="17"/>
      <c r="CD789" s="17"/>
    </row>
    <row r="790">
      <c r="A790" s="92"/>
      <c r="B790" s="820"/>
      <c r="O790" s="17"/>
      <c r="P790" s="17"/>
      <c r="Q790" s="17"/>
      <c r="R790" s="17"/>
      <c r="S790" s="813"/>
      <c r="T790" s="17"/>
      <c r="AX790" s="17"/>
      <c r="BB790" s="17"/>
      <c r="BE790" s="17"/>
      <c r="BF790" s="17"/>
      <c r="BG790" s="17"/>
      <c r="BH790" s="17"/>
      <c r="BI790" s="17"/>
      <c r="BJ790" s="17"/>
      <c r="BK790" s="17"/>
      <c r="BL790" s="92"/>
      <c r="BM790" s="92"/>
      <c r="BN790" s="92"/>
      <c r="BO790" s="92"/>
      <c r="BP790" s="92"/>
      <c r="BQ790" s="818"/>
      <c r="BR790" s="54"/>
      <c r="BS790" s="54"/>
      <c r="BT790" s="818"/>
      <c r="BU790" s="818"/>
      <c r="BV790" s="818"/>
      <c r="BW790" s="92"/>
      <c r="BX790" s="92"/>
      <c r="BY790" s="17"/>
      <c r="BZ790" s="17"/>
      <c r="CA790" s="17"/>
      <c r="CB790" s="17"/>
      <c r="CC790" s="17"/>
      <c r="CD790" s="17"/>
    </row>
    <row r="791">
      <c r="A791" s="92"/>
      <c r="B791" s="820"/>
      <c r="O791" s="17"/>
      <c r="P791" s="17"/>
      <c r="Q791" s="17"/>
      <c r="R791" s="17"/>
      <c r="S791" s="813"/>
      <c r="T791" s="17"/>
      <c r="AX791" s="17"/>
      <c r="BB791" s="17"/>
      <c r="BE791" s="17"/>
      <c r="BF791" s="17"/>
      <c r="BG791" s="17"/>
      <c r="BH791" s="17"/>
      <c r="BI791" s="17"/>
      <c r="BJ791" s="17"/>
      <c r="BK791" s="17"/>
      <c r="BL791" s="92"/>
      <c r="BM791" s="92"/>
      <c r="BN791" s="92"/>
      <c r="BO791" s="92"/>
      <c r="BP791" s="92"/>
      <c r="BQ791" s="818"/>
      <c r="BR791" s="54"/>
      <c r="BS791" s="54"/>
      <c r="BT791" s="818"/>
      <c r="BU791" s="818"/>
      <c r="BV791" s="818"/>
      <c r="BW791" s="92"/>
      <c r="BX791" s="92"/>
      <c r="BY791" s="17"/>
      <c r="BZ791" s="17"/>
      <c r="CA791" s="17"/>
      <c r="CB791" s="17"/>
      <c r="CC791" s="17"/>
      <c r="CD791" s="17"/>
    </row>
    <row r="792">
      <c r="A792" s="92"/>
      <c r="B792" s="820"/>
      <c r="O792" s="17"/>
      <c r="P792" s="17"/>
      <c r="Q792" s="17"/>
      <c r="R792" s="17"/>
      <c r="S792" s="813"/>
      <c r="T792" s="17"/>
      <c r="AX792" s="17"/>
      <c r="BB792" s="17"/>
      <c r="BE792" s="17"/>
      <c r="BF792" s="17"/>
      <c r="BG792" s="17"/>
      <c r="BH792" s="17"/>
      <c r="BI792" s="17"/>
      <c r="BJ792" s="17"/>
      <c r="BK792" s="17"/>
      <c r="BL792" s="92"/>
      <c r="BM792" s="92"/>
      <c r="BN792" s="92"/>
      <c r="BO792" s="92"/>
      <c r="BP792" s="92"/>
      <c r="BQ792" s="818"/>
      <c r="BR792" s="54"/>
      <c r="BS792" s="54"/>
      <c r="BT792" s="818"/>
      <c r="BU792" s="818"/>
      <c r="BV792" s="818"/>
      <c r="BW792" s="92"/>
      <c r="BX792" s="92"/>
      <c r="BY792" s="17"/>
      <c r="BZ792" s="17"/>
      <c r="CA792" s="17"/>
      <c r="CB792" s="17"/>
      <c r="CC792" s="17"/>
      <c r="CD792" s="17"/>
    </row>
    <row r="793">
      <c r="A793" s="92"/>
      <c r="B793" s="820"/>
      <c r="O793" s="17"/>
      <c r="P793" s="17"/>
      <c r="Q793" s="17"/>
      <c r="R793" s="17"/>
      <c r="S793" s="813"/>
      <c r="T793" s="17"/>
      <c r="AX793" s="17"/>
      <c r="BB793" s="17"/>
      <c r="BE793" s="17"/>
      <c r="BF793" s="17"/>
      <c r="BG793" s="17"/>
      <c r="BH793" s="17"/>
      <c r="BI793" s="17"/>
      <c r="BJ793" s="17"/>
      <c r="BK793" s="17"/>
      <c r="BL793" s="92"/>
      <c r="BM793" s="92"/>
      <c r="BN793" s="92"/>
      <c r="BO793" s="92"/>
      <c r="BP793" s="92"/>
      <c r="BQ793" s="818"/>
      <c r="BR793" s="54"/>
      <c r="BS793" s="54"/>
      <c r="BT793" s="818"/>
      <c r="BU793" s="818"/>
      <c r="BV793" s="818"/>
      <c r="BW793" s="92"/>
      <c r="BX793" s="92"/>
      <c r="BY793" s="17"/>
      <c r="BZ793" s="17"/>
      <c r="CA793" s="17"/>
      <c r="CB793" s="17"/>
      <c r="CC793" s="17"/>
      <c r="CD793" s="17"/>
    </row>
    <row r="794">
      <c r="A794" s="92"/>
      <c r="B794" s="820"/>
      <c r="O794" s="17"/>
      <c r="P794" s="17"/>
      <c r="Q794" s="17"/>
      <c r="R794" s="17"/>
      <c r="S794" s="813"/>
      <c r="T794" s="17"/>
      <c r="AX794" s="17"/>
      <c r="BB794" s="17"/>
      <c r="BE794" s="17"/>
      <c r="BF794" s="17"/>
      <c r="BG794" s="17"/>
      <c r="BH794" s="17"/>
      <c r="BI794" s="17"/>
      <c r="BJ794" s="17"/>
      <c r="BK794" s="17"/>
      <c r="BL794" s="92"/>
      <c r="BM794" s="92"/>
      <c r="BN794" s="92"/>
      <c r="BO794" s="92"/>
      <c r="BP794" s="92"/>
      <c r="BQ794" s="818"/>
      <c r="BR794" s="54"/>
      <c r="BS794" s="54"/>
      <c r="BT794" s="818"/>
      <c r="BU794" s="818"/>
      <c r="BV794" s="818"/>
      <c r="BW794" s="92"/>
      <c r="BX794" s="92"/>
      <c r="BY794" s="17"/>
      <c r="BZ794" s="17"/>
      <c r="CA794" s="17"/>
      <c r="CB794" s="17"/>
      <c r="CC794" s="17"/>
      <c r="CD794" s="17"/>
    </row>
    <row r="795">
      <c r="A795" s="92"/>
      <c r="B795" s="820"/>
      <c r="O795" s="17"/>
      <c r="P795" s="17"/>
      <c r="Q795" s="17"/>
      <c r="R795" s="17"/>
      <c r="S795" s="813"/>
      <c r="T795" s="17"/>
      <c r="AX795" s="17"/>
      <c r="BB795" s="17"/>
      <c r="BE795" s="17"/>
      <c r="BF795" s="17"/>
      <c r="BG795" s="17"/>
      <c r="BH795" s="17"/>
      <c r="BI795" s="17"/>
      <c r="BJ795" s="17"/>
      <c r="BK795" s="17"/>
      <c r="BL795" s="92"/>
      <c r="BM795" s="92"/>
      <c r="BN795" s="92"/>
      <c r="BO795" s="92"/>
      <c r="BP795" s="92"/>
      <c r="BQ795" s="818"/>
      <c r="BR795" s="54"/>
      <c r="BS795" s="54"/>
      <c r="BT795" s="818"/>
      <c r="BU795" s="818"/>
      <c r="BV795" s="818"/>
      <c r="BW795" s="92"/>
      <c r="BX795" s="92"/>
      <c r="BY795" s="17"/>
      <c r="BZ795" s="17"/>
      <c r="CA795" s="17"/>
      <c r="CB795" s="17"/>
      <c r="CC795" s="17"/>
      <c r="CD795" s="17"/>
    </row>
    <row r="796">
      <c r="A796" s="92"/>
      <c r="B796" s="820"/>
      <c r="O796" s="17"/>
      <c r="P796" s="17"/>
      <c r="Q796" s="17"/>
      <c r="R796" s="17"/>
      <c r="S796" s="813"/>
      <c r="T796" s="17"/>
      <c r="AX796" s="17"/>
      <c r="BB796" s="17"/>
      <c r="BE796" s="17"/>
      <c r="BF796" s="17"/>
      <c r="BG796" s="17"/>
      <c r="BH796" s="17"/>
      <c r="BI796" s="17"/>
      <c r="BJ796" s="17"/>
      <c r="BK796" s="17"/>
      <c r="BL796" s="92"/>
      <c r="BM796" s="92"/>
      <c r="BN796" s="92"/>
      <c r="BO796" s="92"/>
      <c r="BP796" s="92"/>
      <c r="BQ796" s="818"/>
      <c r="BR796" s="54"/>
      <c r="BS796" s="54"/>
      <c r="BT796" s="818"/>
      <c r="BU796" s="818"/>
      <c r="BV796" s="818"/>
      <c r="BW796" s="92"/>
      <c r="BX796" s="92"/>
      <c r="BY796" s="17"/>
      <c r="BZ796" s="17"/>
      <c r="CA796" s="17"/>
      <c r="CB796" s="17"/>
      <c r="CC796" s="17"/>
      <c r="CD796" s="17"/>
    </row>
    <row r="797">
      <c r="A797" s="92"/>
      <c r="B797" s="820"/>
      <c r="O797" s="17"/>
      <c r="P797" s="17"/>
      <c r="Q797" s="17"/>
      <c r="R797" s="17"/>
      <c r="S797" s="813"/>
      <c r="T797" s="17"/>
      <c r="AX797" s="17"/>
      <c r="BB797" s="17"/>
      <c r="BE797" s="17"/>
      <c r="BF797" s="17"/>
      <c r="BG797" s="17"/>
      <c r="BH797" s="17"/>
      <c r="BI797" s="17"/>
      <c r="BJ797" s="17"/>
      <c r="BK797" s="17"/>
      <c r="BL797" s="92"/>
      <c r="BM797" s="92"/>
      <c r="BN797" s="92"/>
      <c r="BO797" s="92"/>
      <c r="BP797" s="92"/>
      <c r="BQ797" s="818"/>
      <c r="BR797" s="54"/>
      <c r="BS797" s="54"/>
      <c r="BT797" s="818"/>
      <c r="BU797" s="818"/>
      <c r="BV797" s="818"/>
      <c r="BW797" s="92"/>
      <c r="BX797" s="92"/>
      <c r="BY797" s="17"/>
      <c r="BZ797" s="17"/>
      <c r="CA797" s="17"/>
      <c r="CB797" s="17"/>
      <c r="CC797" s="17"/>
      <c r="CD797" s="17"/>
    </row>
    <row r="798">
      <c r="A798" s="92"/>
      <c r="B798" s="820"/>
      <c r="O798" s="17"/>
      <c r="P798" s="17"/>
      <c r="Q798" s="17"/>
      <c r="R798" s="17"/>
      <c r="S798" s="813"/>
      <c r="T798" s="17"/>
      <c r="AX798" s="17"/>
      <c r="BB798" s="17"/>
      <c r="BE798" s="17"/>
      <c r="BF798" s="17"/>
      <c r="BG798" s="17"/>
      <c r="BH798" s="17"/>
      <c r="BI798" s="17"/>
      <c r="BJ798" s="17"/>
      <c r="BK798" s="17"/>
      <c r="BL798" s="92"/>
      <c r="BM798" s="92"/>
      <c r="BN798" s="92"/>
      <c r="BO798" s="92"/>
      <c r="BP798" s="92"/>
      <c r="BQ798" s="818"/>
      <c r="BR798" s="54"/>
      <c r="BS798" s="54"/>
      <c r="BT798" s="818"/>
      <c r="BU798" s="818"/>
      <c r="BV798" s="818"/>
      <c r="BW798" s="92"/>
      <c r="BX798" s="92"/>
      <c r="BY798" s="17"/>
      <c r="BZ798" s="17"/>
      <c r="CA798" s="17"/>
      <c r="CB798" s="17"/>
      <c r="CC798" s="17"/>
      <c r="CD798" s="17"/>
    </row>
    <row r="799">
      <c r="A799" s="92"/>
      <c r="B799" s="820"/>
      <c r="O799" s="17"/>
      <c r="P799" s="17"/>
      <c r="Q799" s="17"/>
      <c r="R799" s="17"/>
      <c r="S799" s="813"/>
      <c r="T799" s="17"/>
      <c r="AX799" s="17"/>
      <c r="BB799" s="17"/>
      <c r="BE799" s="17"/>
      <c r="BF799" s="17"/>
      <c r="BG799" s="17"/>
      <c r="BH799" s="17"/>
      <c r="BI799" s="17"/>
      <c r="BJ799" s="17"/>
      <c r="BK799" s="17"/>
      <c r="BL799" s="92"/>
      <c r="BM799" s="92"/>
      <c r="BN799" s="92"/>
      <c r="BO799" s="92"/>
      <c r="BP799" s="92"/>
      <c r="BQ799" s="818"/>
      <c r="BR799" s="54"/>
      <c r="BS799" s="54"/>
      <c r="BT799" s="818"/>
      <c r="BU799" s="818"/>
      <c r="BV799" s="818"/>
      <c r="BW799" s="92"/>
      <c r="BX799" s="92"/>
      <c r="BY799" s="17"/>
      <c r="BZ799" s="17"/>
      <c r="CA799" s="17"/>
      <c r="CB799" s="17"/>
      <c r="CC799" s="17"/>
      <c r="CD799" s="17"/>
    </row>
    <row r="800">
      <c r="A800" s="92"/>
      <c r="B800" s="820"/>
      <c r="O800" s="17"/>
      <c r="P800" s="17"/>
      <c r="Q800" s="17"/>
      <c r="R800" s="17"/>
      <c r="S800" s="813"/>
      <c r="T800" s="17"/>
      <c r="AX800" s="17"/>
      <c r="BB800" s="17"/>
      <c r="BE800" s="17"/>
      <c r="BF800" s="17"/>
      <c r="BG800" s="17"/>
      <c r="BH800" s="17"/>
      <c r="BI800" s="17"/>
      <c r="BJ800" s="17"/>
      <c r="BK800" s="17"/>
      <c r="BL800" s="92"/>
      <c r="BM800" s="92"/>
      <c r="BN800" s="92"/>
      <c r="BO800" s="92"/>
      <c r="BP800" s="92"/>
      <c r="BQ800" s="818"/>
      <c r="BR800" s="54"/>
      <c r="BS800" s="54"/>
      <c r="BT800" s="818"/>
      <c r="BU800" s="818"/>
      <c r="BV800" s="818"/>
      <c r="BW800" s="92"/>
      <c r="BX800" s="92"/>
      <c r="BY800" s="17"/>
      <c r="BZ800" s="17"/>
      <c r="CA800" s="17"/>
      <c r="CB800" s="17"/>
      <c r="CC800" s="17"/>
      <c r="CD800" s="17"/>
    </row>
    <row r="801">
      <c r="A801" s="92"/>
      <c r="B801" s="820"/>
      <c r="O801" s="17"/>
      <c r="P801" s="17"/>
      <c r="Q801" s="17"/>
      <c r="R801" s="17"/>
      <c r="S801" s="813"/>
      <c r="T801" s="17"/>
      <c r="AX801" s="17"/>
      <c r="BB801" s="17"/>
      <c r="BE801" s="17"/>
      <c r="BF801" s="17"/>
      <c r="BG801" s="17"/>
      <c r="BH801" s="17"/>
      <c r="BI801" s="17"/>
      <c r="BJ801" s="17"/>
      <c r="BK801" s="17"/>
      <c r="BL801" s="92"/>
      <c r="BM801" s="92"/>
      <c r="BN801" s="92"/>
      <c r="BO801" s="92"/>
      <c r="BP801" s="92"/>
      <c r="BQ801" s="818"/>
      <c r="BR801" s="54"/>
      <c r="BS801" s="54"/>
      <c r="BT801" s="818"/>
      <c r="BU801" s="818"/>
      <c r="BV801" s="818"/>
      <c r="BW801" s="92"/>
      <c r="BX801" s="92"/>
      <c r="BY801" s="17"/>
      <c r="BZ801" s="17"/>
      <c r="CA801" s="17"/>
      <c r="CB801" s="17"/>
      <c r="CC801" s="17"/>
      <c r="CD801" s="17"/>
    </row>
    <row r="802">
      <c r="A802" s="92"/>
      <c r="B802" s="820"/>
      <c r="O802" s="17"/>
      <c r="P802" s="17"/>
      <c r="Q802" s="17"/>
      <c r="R802" s="17"/>
      <c r="S802" s="813"/>
      <c r="T802" s="17"/>
      <c r="AX802" s="17"/>
      <c r="BB802" s="17"/>
      <c r="BE802" s="17"/>
      <c r="BF802" s="17"/>
      <c r="BG802" s="17"/>
      <c r="BH802" s="17"/>
      <c r="BI802" s="17"/>
      <c r="BJ802" s="17"/>
      <c r="BK802" s="17"/>
      <c r="BL802" s="92"/>
      <c r="BM802" s="92"/>
      <c r="BN802" s="92"/>
      <c r="BO802" s="92"/>
      <c r="BP802" s="92"/>
      <c r="BQ802" s="818"/>
      <c r="BR802" s="54"/>
      <c r="BS802" s="54"/>
      <c r="BT802" s="818"/>
      <c r="BU802" s="818"/>
      <c r="BV802" s="818"/>
      <c r="BW802" s="92"/>
      <c r="BX802" s="92"/>
      <c r="BY802" s="17"/>
      <c r="BZ802" s="17"/>
      <c r="CA802" s="17"/>
      <c r="CB802" s="17"/>
      <c r="CC802" s="17"/>
      <c r="CD802" s="17"/>
    </row>
    <row r="803">
      <c r="A803" s="92"/>
      <c r="B803" s="820"/>
      <c r="O803" s="17"/>
      <c r="P803" s="17"/>
      <c r="Q803" s="17"/>
      <c r="R803" s="17"/>
      <c r="S803" s="813"/>
      <c r="T803" s="17"/>
      <c r="AX803" s="17"/>
      <c r="BB803" s="17"/>
      <c r="BE803" s="17"/>
      <c r="BF803" s="17"/>
      <c r="BG803" s="17"/>
      <c r="BH803" s="17"/>
      <c r="BI803" s="17"/>
      <c r="BJ803" s="17"/>
      <c r="BK803" s="17"/>
      <c r="BL803" s="92"/>
      <c r="BM803" s="92"/>
      <c r="BN803" s="92"/>
      <c r="BO803" s="92"/>
      <c r="BP803" s="92"/>
      <c r="BQ803" s="818"/>
      <c r="BR803" s="54"/>
      <c r="BS803" s="54"/>
      <c r="BT803" s="818"/>
      <c r="BU803" s="818"/>
      <c r="BV803" s="818"/>
      <c r="BW803" s="92"/>
      <c r="BX803" s="92"/>
      <c r="BY803" s="17"/>
      <c r="BZ803" s="17"/>
      <c r="CA803" s="17"/>
      <c r="CB803" s="17"/>
      <c r="CC803" s="17"/>
      <c r="CD803" s="17"/>
    </row>
    <row r="804">
      <c r="A804" s="92"/>
      <c r="B804" s="820"/>
      <c r="O804" s="17"/>
      <c r="P804" s="17"/>
      <c r="Q804" s="17"/>
      <c r="R804" s="17"/>
      <c r="S804" s="813"/>
      <c r="T804" s="17"/>
      <c r="AX804" s="17"/>
      <c r="BB804" s="17"/>
      <c r="BE804" s="17"/>
      <c r="BF804" s="17"/>
      <c r="BG804" s="17"/>
      <c r="BH804" s="17"/>
      <c r="BI804" s="17"/>
      <c r="BJ804" s="17"/>
      <c r="BK804" s="17"/>
      <c r="BL804" s="92"/>
      <c r="BM804" s="92"/>
      <c r="BN804" s="92"/>
      <c r="BO804" s="92"/>
      <c r="BP804" s="92"/>
      <c r="BQ804" s="818"/>
      <c r="BR804" s="54"/>
      <c r="BS804" s="54"/>
      <c r="BT804" s="818"/>
      <c r="BU804" s="818"/>
      <c r="BV804" s="818"/>
      <c r="BW804" s="92"/>
      <c r="BX804" s="92"/>
      <c r="BY804" s="17"/>
      <c r="BZ804" s="17"/>
      <c r="CA804" s="17"/>
      <c r="CB804" s="17"/>
      <c r="CC804" s="17"/>
      <c r="CD804" s="17"/>
    </row>
    <row r="805">
      <c r="A805" s="92"/>
      <c r="B805" s="820"/>
      <c r="O805" s="17"/>
      <c r="P805" s="17"/>
      <c r="Q805" s="17"/>
      <c r="R805" s="17"/>
      <c r="S805" s="813"/>
      <c r="T805" s="17"/>
      <c r="AX805" s="17"/>
      <c r="BB805" s="17"/>
      <c r="BE805" s="17"/>
      <c r="BF805" s="17"/>
      <c r="BG805" s="17"/>
      <c r="BH805" s="17"/>
      <c r="BI805" s="17"/>
      <c r="BJ805" s="17"/>
      <c r="BK805" s="17"/>
      <c r="BL805" s="92"/>
      <c r="BM805" s="92"/>
      <c r="BN805" s="92"/>
      <c r="BO805" s="92"/>
      <c r="BP805" s="92"/>
      <c r="BQ805" s="818"/>
      <c r="BR805" s="54"/>
      <c r="BS805" s="54"/>
      <c r="BT805" s="818"/>
      <c r="BU805" s="818"/>
      <c r="BV805" s="818"/>
      <c r="BW805" s="92"/>
      <c r="BX805" s="92"/>
      <c r="BY805" s="17"/>
      <c r="BZ805" s="17"/>
      <c r="CA805" s="17"/>
      <c r="CB805" s="17"/>
      <c r="CC805" s="17"/>
      <c r="CD805" s="17"/>
    </row>
    <row r="806">
      <c r="A806" s="92"/>
      <c r="B806" s="820"/>
      <c r="O806" s="17"/>
      <c r="P806" s="17"/>
      <c r="Q806" s="17"/>
      <c r="R806" s="17"/>
      <c r="S806" s="813"/>
      <c r="T806" s="17"/>
      <c r="AX806" s="17"/>
      <c r="BB806" s="17"/>
      <c r="BE806" s="17"/>
      <c r="BF806" s="17"/>
      <c r="BG806" s="17"/>
      <c r="BH806" s="17"/>
      <c r="BI806" s="17"/>
      <c r="BJ806" s="17"/>
      <c r="BK806" s="17"/>
      <c r="BL806" s="92"/>
      <c r="BM806" s="92"/>
      <c r="BN806" s="92"/>
      <c r="BO806" s="92"/>
      <c r="BP806" s="92"/>
      <c r="BQ806" s="818"/>
      <c r="BR806" s="54"/>
      <c r="BS806" s="54"/>
      <c r="BT806" s="818"/>
      <c r="BU806" s="818"/>
      <c r="BV806" s="818"/>
      <c r="BW806" s="92"/>
      <c r="BX806" s="92"/>
      <c r="BY806" s="17"/>
      <c r="BZ806" s="17"/>
      <c r="CA806" s="17"/>
      <c r="CB806" s="17"/>
      <c r="CC806" s="17"/>
      <c r="CD806" s="17"/>
    </row>
    <row r="807">
      <c r="A807" s="92"/>
      <c r="B807" s="820"/>
      <c r="O807" s="17"/>
      <c r="P807" s="17"/>
      <c r="Q807" s="17"/>
      <c r="R807" s="17"/>
      <c r="S807" s="813"/>
      <c r="T807" s="17"/>
      <c r="AX807" s="17"/>
      <c r="BB807" s="17"/>
      <c r="BE807" s="17"/>
      <c r="BF807" s="17"/>
      <c r="BG807" s="17"/>
      <c r="BH807" s="17"/>
      <c r="BI807" s="17"/>
      <c r="BJ807" s="17"/>
      <c r="BK807" s="17"/>
      <c r="BL807" s="92"/>
      <c r="BM807" s="92"/>
      <c r="BN807" s="92"/>
      <c r="BO807" s="92"/>
      <c r="BP807" s="92"/>
      <c r="BQ807" s="818"/>
      <c r="BR807" s="54"/>
      <c r="BS807" s="54"/>
      <c r="BT807" s="818"/>
      <c r="BU807" s="818"/>
      <c r="BV807" s="818"/>
      <c r="BW807" s="92"/>
      <c r="BX807" s="92"/>
      <c r="BY807" s="17"/>
      <c r="BZ807" s="17"/>
      <c r="CA807" s="17"/>
      <c r="CB807" s="17"/>
      <c r="CC807" s="17"/>
      <c r="CD807" s="17"/>
    </row>
    <row r="808">
      <c r="A808" s="92"/>
      <c r="B808" s="820"/>
      <c r="O808" s="17"/>
      <c r="P808" s="17"/>
      <c r="Q808" s="17"/>
      <c r="R808" s="17"/>
      <c r="S808" s="813"/>
      <c r="T808" s="17"/>
      <c r="AX808" s="17"/>
      <c r="BB808" s="17"/>
      <c r="BE808" s="17"/>
      <c r="BF808" s="17"/>
      <c r="BG808" s="17"/>
      <c r="BH808" s="17"/>
      <c r="BI808" s="17"/>
      <c r="BJ808" s="17"/>
      <c r="BK808" s="17"/>
      <c r="BL808" s="92"/>
      <c r="BM808" s="92"/>
      <c r="BN808" s="92"/>
      <c r="BO808" s="92"/>
      <c r="BP808" s="92"/>
      <c r="BQ808" s="818"/>
      <c r="BR808" s="54"/>
      <c r="BS808" s="54"/>
      <c r="BT808" s="818"/>
      <c r="BU808" s="818"/>
      <c r="BV808" s="818"/>
      <c r="BW808" s="92"/>
      <c r="BX808" s="92"/>
      <c r="BY808" s="17"/>
      <c r="BZ808" s="17"/>
      <c r="CA808" s="17"/>
      <c r="CB808" s="17"/>
      <c r="CC808" s="17"/>
      <c r="CD808" s="17"/>
    </row>
    <row r="809">
      <c r="A809" s="92"/>
      <c r="B809" s="820"/>
      <c r="O809" s="17"/>
      <c r="P809" s="17"/>
      <c r="Q809" s="17"/>
      <c r="R809" s="17"/>
      <c r="S809" s="813"/>
      <c r="T809" s="17"/>
      <c r="AX809" s="17"/>
      <c r="BB809" s="17"/>
      <c r="BE809" s="17"/>
      <c r="BF809" s="17"/>
      <c r="BG809" s="17"/>
      <c r="BH809" s="17"/>
      <c r="BI809" s="17"/>
      <c r="BJ809" s="17"/>
      <c r="BK809" s="17"/>
      <c r="BL809" s="92"/>
      <c r="BM809" s="92"/>
      <c r="BN809" s="92"/>
      <c r="BO809" s="92"/>
      <c r="BP809" s="92"/>
      <c r="BQ809" s="818"/>
      <c r="BR809" s="54"/>
      <c r="BS809" s="54"/>
      <c r="BT809" s="818"/>
      <c r="BU809" s="818"/>
      <c r="BV809" s="818"/>
      <c r="BW809" s="92"/>
      <c r="BX809" s="92"/>
      <c r="BY809" s="17"/>
      <c r="BZ809" s="17"/>
      <c r="CA809" s="17"/>
      <c r="CB809" s="17"/>
      <c r="CC809" s="17"/>
      <c r="CD809" s="17"/>
    </row>
    <row r="810">
      <c r="A810" s="92"/>
      <c r="B810" s="820"/>
      <c r="O810" s="17"/>
      <c r="P810" s="17"/>
      <c r="Q810" s="17"/>
      <c r="R810" s="17"/>
      <c r="S810" s="813"/>
      <c r="T810" s="17"/>
      <c r="AX810" s="17"/>
      <c r="BB810" s="17"/>
      <c r="BE810" s="17"/>
      <c r="BF810" s="17"/>
      <c r="BG810" s="17"/>
      <c r="BH810" s="17"/>
      <c r="BI810" s="17"/>
      <c r="BJ810" s="17"/>
      <c r="BK810" s="17"/>
      <c r="BL810" s="92"/>
      <c r="BM810" s="92"/>
      <c r="BN810" s="92"/>
      <c r="BO810" s="92"/>
      <c r="BP810" s="92"/>
      <c r="BQ810" s="818"/>
      <c r="BR810" s="54"/>
      <c r="BS810" s="54"/>
      <c r="BT810" s="818"/>
      <c r="BU810" s="818"/>
      <c r="BV810" s="818"/>
      <c r="BW810" s="92"/>
      <c r="BX810" s="92"/>
      <c r="BY810" s="17"/>
      <c r="BZ810" s="17"/>
      <c r="CA810" s="17"/>
      <c r="CB810" s="17"/>
      <c r="CC810" s="17"/>
      <c r="CD810" s="17"/>
    </row>
    <row r="811">
      <c r="A811" s="92"/>
      <c r="B811" s="820"/>
      <c r="O811" s="17"/>
      <c r="P811" s="17"/>
      <c r="Q811" s="17"/>
      <c r="R811" s="17"/>
      <c r="S811" s="813"/>
      <c r="T811" s="17"/>
      <c r="AX811" s="17"/>
      <c r="BB811" s="17"/>
      <c r="BE811" s="17"/>
      <c r="BF811" s="17"/>
      <c r="BG811" s="17"/>
      <c r="BH811" s="17"/>
      <c r="BI811" s="17"/>
      <c r="BJ811" s="17"/>
      <c r="BK811" s="17"/>
      <c r="BL811" s="92"/>
      <c r="BM811" s="92"/>
      <c r="BN811" s="92"/>
      <c r="BO811" s="92"/>
      <c r="BP811" s="92"/>
      <c r="BQ811" s="818"/>
      <c r="BR811" s="54"/>
      <c r="BS811" s="54"/>
      <c r="BT811" s="818"/>
      <c r="BU811" s="818"/>
      <c r="BV811" s="818"/>
      <c r="BW811" s="92"/>
      <c r="BX811" s="92"/>
      <c r="BY811" s="17"/>
      <c r="BZ811" s="17"/>
      <c r="CA811" s="17"/>
      <c r="CB811" s="17"/>
      <c r="CC811" s="17"/>
      <c r="CD811" s="17"/>
    </row>
    <row r="812">
      <c r="A812" s="92"/>
      <c r="B812" s="820"/>
      <c r="O812" s="17"/>
      <c r="P812" s="17"/>
      <c r="Q812" s="17"/>
      <c r="R812" s="17"/>
      <c r="S812" s="813"/>
      <c r="T812" s="17"/>
      <c r="AX812" s="17"/>
      <c r="BB812" s="17"/>
      <c r="BE812" s="17"/>
      <c r="BF812" s="17"/>
      <c r="BG812" s="17"/>
      <c r="BH812" s="17"/>
      <c r="BI812" s="17"/>
      <c r="BJ812" s="17"/>
      <c r="BK812" s="17"/>
      <c r="BL812" s="92"/>
      <c r="BM812" s="92"/>
      <c r="BN812" s="92"/>
      <c r="BO812" s="92"/>
      <c r="BP812" s="92"/>
      <c r="BQ812" s="818"/>
      <c r="BR812" s="54"/>
      <c r="BS812" s="54"/>
      <c r="BT812" s="818"/>
      <c r="BU812" s="818"/>
      <c r="BV812" s="818"/>
      <c r="BW812" s="92"/>
      <c r="BX812" s="92"/>
      <c r="BY812" s="17"/>
      <c r="BZ812" s="17"/>
      <c r="CA812" s="17"/>
      <c r="CB812" s="17"/>
      <c r="CC812" s="17"/>
      <c r="CD812" s="17"/>
    </row>
    <row r="813">
      <c r="A813" s="92"/>
      <c r="B813" s="820"/>
      <c r="O813" s="17"/>
      <c r="P813" s="17"/>
      <c r="Q813" s="17"/>
      <c r="R813" s="17"/>
      <c r="S813" s="813"/>
      <c r="T813" s="17"/>
      <c r="AX813" s="17"/>
      <c r="BB813" s="17"/>
      <c r="BE813" s="17"/>
      <c r="BF813" s="17"/>
      <c r="BG813" s="17"/>
      <c r="BH813" s="17"/>
      <c r="BI813" s="17"/>
      <c r="BJ813" s="17"/>
      <c r="BK813" s="17"/>
      <c r="BL813" s="92"/>
      <c r="BM813" s="92"/>
      <c r="BN813" s="92"/>
      <c r="BO813" s="92"/>
      <c r="BP813" s="92"/>
      <c r="BQ813" s="818"/>
      <c r="BR813" s="54"/>
      <c r="BS813" s="54"/>
      <c r="BT813" s="818"/>
      <c r="BU813" s="818"/>
      <c r="BV813" s="818"/>
      <c r="BW813" s="92"/>
      <c r="BX813" s="92"/>
      <c r="BY813" s="17"/>
      <c r="BZ813" s="17"/>
      <c r="CA813" s="17"/>
      <c r="CB813" s="17"/>
      <c r="CC813" s="17"/>
      <c r="CD813" s="17"/>
    </row>
    <row r="814">
      <c r="A814" s="92"/>
      <c r="B814" s="820"/>
      <c r="O814" s="17"/>
      <c r="P814" s="17"/>
      <c r="Q814" s="17"/>
      <c r="R814" s="17"/>
      <c r="S814" s="813"/>
      <c r="T814" s="17"/>
      <c r="AX814" s="17"/>
      <c r="BB814" s="17"/>
      <c r="BE814" s="17"/>
      <c r="BF814" s="17"/>
      <c r="BG814" s="17"/>
      <c r="BH814" s="17"/>
      <c r="BI814" s="17"/>
      <c r="BJ814" s="17"/>
      <c r="BK814" s="17"/>
      <c r="BL814" s="92"/>
      <c r="BM814" s="92"/>
      <c r="BN814" s="92"/>
      <c r="BO814" s="92"/>
      <c r="BP814" s="92"/>
      <c r="BQ814" s="818"/>
      <c r="BR814" s="54"/>
      <c r="BS814" s="54"/>
      <c r="BT814" s="818"/>
      <c r="BU814" s="818"/>
      <c r="BV814" s="818"/>
      <c r="BW814" s="92"/>
      <c r="BX814" s="92"/>
      <c r="BY814" s="17"/>
      <c r="BZ814" s="17"/>
      <c r="CA814" s="17"/>
      <c r="CB814" s="17"/>
      <c r="CC814" s="17"/>
      <c r="CD814" s="17"/>
    </row>
    <row r="815">
      <c r="A815" s="92"/>
      <c r="B815" s="820"/>
      <c r="O815" s="17"/>
      <c r="P815" s="17"/>
      <c r="Q815" s="17"/>
      <c r="R815" s="17"/>
      <c r="S815" s="813"/>
      <c r="T815" s="17"/>
      <c r="AX815" s="17"/>
      <c r="BB815" s="17"/>
      <c r="BE815" s="17"/>
      <c r="BF815" s="17"/>
      <c r="BG815" s="17"/>
      <c r="BH815" s="17"/>
      <c r="BI815" s="17"/>
      <c r="BJ815" s="17"/>
      <c r="BK815" s="17"/>
      <c r="BL815" s="92"/>
      <c r="BM815" s="92"/>
      <c r="BN815" s="92"/>
      <c r="BO815" s="92"/>
      <c r="BP815" s="92"/>
      <c r="BQ815" s="818"/>
      <c r="BR815" s="54"/>
      <c r="BS815" s="54"/>
      <c r="BT815" s="818"/>
      <c r="BU815" s="818"/>
      <c r="BV815" s="818"/>
      <c r="BW815" s="92"/>
      <c r="BX815" s="92"/>
      <c r="BY815" s="17"/>
      <c r="BZ815" s="17"/>
      <c r="CA815" s="17"/>
      <c r="CB815" s="17"/>
      <c r="CC815" s="17"/>
      <c r="CD815" s="17"/>
    </row>
    <row r="816">
      <c r="A816" s="92"/>
      <c r="B816" s="820"/>
      <c r="O816" s="17"/>
      <c r="P816" s="17"/>
      <c r="Q816" s="17"/>
      <c r="R816" s="17"/>
      <c r="S816" s="813"/>
      <c r="T816" s="17"/>
      <c r="AX816" s="17"/>
      <c r="BB816" s="17"/>
      <c r="BE816" s="17"/>
      <c r="BF816" s="17"/>
      <c r="BG816" s="17"/>
      <c r="BH816" s="17"/>
      <c r="BI816" s="17"/>
      <c r="BJ816" s="17"/>
      <c r="BK816" s="17"/>
      <c r="BL816" s="92"/>
      <c r="BM816" s="92"/>
      <c r="BN816" s="92"/>
      <c r="BO816" s="92"/>
      <c r="BP816" s="92"/>
      <c r="BQ816" s="818"/>
      <c r="BR816" s="54"/>
      <c r="BS816" s="54"/>
      <c r="BT816" s="818"/>
      <c r="BU816" s="818"/>
      <c r="BV816" s="818"/>
      <c r="BW816" s="92"/>
      <c r="BX816" s="92"/>
      <c r="BY816" s="17"/>
      <c r="BZ816" s="17"/>
      <c r="CA816" s="17"/>
      <c r="CB816" s="17"/>
      <c r="CC816" s="17"/>
      <c r="CD816" s="17"/>
    </row>
    <row r="817">
      <c r="A817" s="92"/>
      <c r="B817" s="820"/>
      <c r="O817" s="17"/>
      <c r="P817" s="17"/>
      <c r="Q817" s="17"/>
      <c r="R817" s="17"/>
      <c r="S817" s="813"/>
      <c r="T817" s="17"/>
      <c r="AX817" s="17"/>
      <c r="BB817" s="17"/>
      <c r="BE817" s="17"/>
      <c r="BF817" s="17"/>
      <c r="BG817" s="17"/>
      <c r="BH817" s="17"/>
      <c r="BI817" s="17"/>
      <c r="BJ817" s="17"/>
      <c r="BK817" s="17"/>
      <c r="BL817" s="92"/>
      <c r="BM817" s="92"/>
      <c r="BN817" s="92"/>
      <c r="BO817" s="92"/>
      <c r="BP817" s="92"/>
      <c r="BQ817" s="818"/>
      <c r="BR817" s="54"/>
      <c r="BS817" s="54"/>
      <c r="BT817" s="818"/>
      <c r="BU817" s="818"/>
      <c r="BV817" s="818"/>
      <c r="BW817" s="92"/>
      <c r="BX817" s="92"/>
      <c r="BY817" s="17"/>
      <c r="BZ817" s="17"/>
      <c r="CA817" s="17"/>
      <c r="CB817" s="17"/>
      <c r="CC817" s="17"/>
      <c r="CD817" s="17"/>
    </row>
    <row r="818">
      <c r="A818" s="92"/>
      <c r="B818" s="820"/>
      <c r="O818" s="17"/>
      <c r="P818" s="17"/>
      <c r="Q818" s="17"/>
      <c r="R818" s="17"/>
      <c r="S818" s="813"/>
      <c r="T818" s="17"/>
      <c r="AX818" s="17"/>
      <c r="BB818" s="17"/>
      <c r="BE818" s="17"/>
      <c r="BF818" s="17"/>
      <c r="BG818" s="17"/>
      <c r="BH818" s="17"/>
      <c r="BI818" s="17"/>
      <c r="BJ818" s="17"/>
      <c r="BK818" s="17"/>
      <c r="BL818" s="92"/>
      <c r="BM818" s="92"/>
      <c r="BN818" s="92"/>
      <c r="BO818" s="92"/>
      <c r="BP818" s="92"/>
      <c r="BQ818" s="818"/>
      <c r="BR818" s="54"/>
      <c r="BS818" s="54"/>
      <c r="BT818" s="818"/>
      <c r="BU818" s="818"/>
      <c r="BV818" s="818"/>
      <c r="BW818" s="92"/>
      <c r="BX818" s="92"/>
      <c r="BY818" s="17"/>
      <c r="BZ818" s="17"/>
      <c r="CA818" s="17"/>
      <c r="CB818" s="17"/>
      <c r="CC818" s="17"/>
      <c r="CD818" s="17"/>
    </row>
    <row r="819">
      <c r="A819" s="92"/>
      <c r="B819" s="820"/>
      <c r="O819" s="17"/>
      <c r="P819" s="17"/>
      <c r="Q819" s="17"/>
      <c r="R819" s="17"/>
      <c r="S819" s="813"/>
      <c r="T819" s="17"/>
      <c r="AX819" s="17"/>
      <c r="BB819" s="17"/>
      <c r="BE819" s="17"/>
      <c r="BF819" s="17"/>
      <c r="BG819" s="17"/>
      <c r="BH819" s="17"/>
      <c r="BI819" s="17"/>
      <c r="BJ819" s="17"/>
      <c r="BK819" s="17"/>
      <c r="BL819" s="92"/>
      <c r="BM819" s="92"/>
      <c r="BN819" s="92"/>
      <c r="BO819" s="92"/>
      <c r="BP819" s="92"/>
      <c r="BQ819" s="818"/>
      <c r="BR819" s="54"/>
      <c r="BS819" s="54"/>
      <c r="BT819" s="818"/>
      <c r="BU819" s="818"/>
      <c r="BV819" s="818"/>
      <c r="BW819" s="92"/>
      <c r="BX819" s="92"/>
      <c r="BY819" s="17"/>
      <c r="BZ819" s="17"/>
      <c r="CA819" s="17"/>
      <c r="CB819" s="17"/>
      <c r="CC819" s="17"/>
      <c r="CD819" s="17"/>
    </row>
    <row r="820">
      <c r="A820" s="92"/>
      <c r="B820" s="820"/>
      <c r="O820" s="17"/>
      <c r="P820" s="17"/>
      <c r="Q820" s="17"/>
      <c r="R820" s="17"/>
      <c r="S820" s="813"/>
      <c r="T820" s="17"/>
      <c r="AX820" s="17"/>
      <c r="BB820" s="17"/>
      <c r="BE820" s="17"/>
      <c r="BF820" s="17"/>
      <c r="BG820" s="17"/>
      <c r="BH820" s="17"/>
      <c r="BI820" s="17"/>
      <c r="BJ820" s="17"/>
      <c r="BK820" s="17"/>
      <c r="BL820" s="92"/>
      <c r="BM820" s="92"/>
      <c r="BN820" s="92"/>
      <c r="BO820" s="92"/>
      <c r="BP820" s="92"/>
      <c r="BQ820" s="818"/>
      <c r="BR820" s="54"/>
      <c r="BS820" s="54"/>
      <c r="BT820" s="818"/>
      <c r="BU820" s="818"/>
      <c r="BV820" s="818"/>
      <c r="BW820" s="92"/>
      <c r="BX820" s="92"/>
      <c r="BY820" s="17"/>
      <c r="BZ820" s="17"/>
      <c r="CA820" s="17"/>
      <c r="CB820" s="17"/>
      <c r="CC820" s="17"/>
      <c r="CD820" s="17"/>
    </row>
    <row r="821">
      <c r="A821" s="92"/>
      <c r="B821" s="820"/>
      <c r="O821" s="17"/>
      <c r="P821" s="17"/>
      <c r="Q821" s="17"/>
      <c r="R821" s="17"/>
      <c r="S821" s="813"/>
      <c r="T821" s="17"/>
      <c r="AX821" s="17"/>
      <c r="BB821" s="17"/>
      <c r="BE821" s="17"/>
      <c r="BF821" s="17"/>
      <c r="BG821" s="17"/>
      <c r="BH821" s="17"/>
      <c r="BI821" s="17"/>
      <c r="BJ821" s="17"/>
      <c r="BK821" s="17"/>
      <c r="BL821" s="92"/>
      <c r="BM821" s="92"/>
      <c r="BN821" s="92"/>
      <c r="BO821" s="92"/>
      <c r="BP821" s="92"/>
      <c r="BQ821" s="818"/>
      <c r="BR821" s="54"/>
      <c r="BS821" s="54"/>
      <c r="BT821" s="818"/>
      <c r="BU821" s="818"/>
      <c r="BV821" s="818"/>
      <c r="BW821" s="92"/>
      <c r="BX821" s="92"/>
      <c r="BY821" s="17"/>
      <c r="BZ821" s="17"/>
      <c r="CA821" s="17"/>
      <c r="CB821" s="17"/>
      <c r="CC821" s="17"/>
      <c r="CD821" s="17"/>
    </row>
    <row r="822">
      <c r="A822" s="92"/>
      <c r="B822" s="820"/>
      <c r="O822" s="17"/>
      <c r="P822" s="17"/>
      <c r="Q822" s="17"/>
      <c r="R822" s="17"/>
      <c r="S822" s="813"/>
      <c r="T822" s="17"/>
      <c r="AX822" s="17"/>
      <c r="BB822" s="17"/>
      <c r="BE822" s="17"/>
      <c r="BF822" s="17"/>
      <c r="BG822" s="17"/>
      <c r="BH822" s="17"/>
      <c r="BI822" s="17"/>
      <c r="BJ822" s="17"/>
      <c r="BK822" s="17"/>
      <c r="BL822" s="92"/>
      <c r="BM822" s="92"/>
      <c r="BN822" s="92"/>
      <c r="BO822" s="92"/>
      <c r="BP822" s="92"/>
      <c r="BQ822" s="818"/>
      <c r="BR822" s="54"/>
      <c r="BS822" s="54"/>
      <c r="BT822" s="818"/>
      <c r="BU822" s="818"/>
      <c r="BV822" s="818"/>
      <c r="BW822" s="92"/>
      <c r="BX822" s="92"/>
      <c r="BY822" s="17"/>
      <c r="BZ822" s="17"/>
      <c r="CA822" s="17"/>
      <c r="CB822" s="17"/>
      <c r="CC822" s="17"/>
      <c r="CD822" s="17"/>
    </row>
    <row r="823">
      <c r="A823" s="92"/>
      <c r="B823" s="820"/>
      <c r="O823" s="17"/>
      <c r="P823" s="17"/>
      <c r="Q823" s="17"/>
      <c r="R823" s="17"/>
      <c r="S823" s="813"/>
      <c r="T823" s="17"/>
      <c r="AX823" s="17"/>
      <c r="BB823" s="17"/>
      <c r="BE823" s="17"/>
      <c r="BF823" s="17"/>
      <c r="BG823" s="17"/>
      <c r="BH823" s="17"/>
      <c r="BI823" s="17"/>
      <c r="BJ823" s="17"/>
      <c r="BK823" s="17"/>
      <c r="BL823" s="92"/>
      <c r="BM823" s="92"/>
      <c r="BN823" s="92"/>
      <c r="BO823" s="92"/>
      <c r="BP823" s="92"/>
      <c r="BQ823" s="818"/>
      <c r="BR823" s="54"/>
      <c r="BS823" s="54"/>
      <c r="BT823" s="818"/>
      <c r="BU823" s="818"/>
      <c r="BV823" s="818"/>
      <c r="BW823" s="92"/>
      <c r="BX823" s="92"/>
      <c r="BY823" s="17"/>
      <c r="BZ823" s="17"/>
      <c r="CA823" s="17"/>
      <c r="CB823" s="17"/>
      <c r="CC823" s="17"/>
      <c r="CD823" s="17"/>
    </row>
    <row r="824">
      <c r="A824" s="92"/>
      <c r="B824" s="820"/>
      <c r="O824" s="17"/>
      <c r="P824" s="17"/>
      <c r="Q824" s="17"/>
      <c r="R824" s="17"/>
      <c r="S824" s="813"/>
      <c r="T824" s="17"/>
      <c r="AX824" s="17"/>
      <c r="BB824" s="17"/>
      <c r="BE824" s="17"/>
      <c r="BF824" s="17"/>
      <c r="BG824" s="17"/>
      <c r="BH824" s="17"/>
      <c r="BI824" s="17"/>
      <c r="BJ824" s="17"/>
      <c r="BK824" s="17"/>
      <c r="BL824" s="92"/>
      <c r="BM824" s="92"/>
      <c r="BN824" s="92"/>
      <c r="BO824" s="92"/>
      <c r="BP824" s="92"/>
      <c r="BQ824" s="818"/>
      <c r="BR824" s="54"/>
      <c r="BS824" s="54"/>
      <c r="BT824" s="818"/>
      <c r="BU824" s="818"/>
      <c r="BV824" s="818"/>
      <c r="BW824" s="92"/>
      <c r="BX824" s="92"/>
      <c r="BY824" s="17"/>
      <c r="BZ824" s="17"/>
      <c r="CA824" s="17"/>
      <c r="CB824" s="17"/>
      <c r="CC824" s="17"/>
      <c r="CD824" s="17"/>
    </row>
    <row r="825">
      <c r="A825" s="92"/>
      <c r="B825" s="820"/>
      <c r="O825" s="17"/>
      <c r="P825" s="17"/>
      <c r="Q825" s="17"/>
      <c r="R825" s="17"/>
      <c r="S825" s="813"/>
      <c r="T825" s="17"/>
      <c r="AX825" s="17"/>
      <c r="BB825" s="17"/>
      <c r="BE825" s="17"/>
      <c r="BF825" s="17"/>
      <c r="BG825" s="17"/>
      <c r="BH825" s="17"/>
      <c r="BI825" s="17"/>
      <c r="BJ825" s="17"/>
      <c r="BK825" s="17"/>
      <c r="BL825" s="92"/>
      <c r="BM825" s="92"/>
      <c r="BN825" s="92"/>
      <c r="BO825" s="92"/>
      <c r="BP825" s="92"/>
      <c r="BQ825" s="818"/>
      <c r="BR825" s="54"/>
      <c r="BS825" s="54"/>
      <c r="BT825" s="818"/>
      <c r="BU825" s="818"/>
      <c r="BV825" s="818"/>
      <c r="BW825" s="92"/>
      <c r="BX825" s="92"/>
      <c r="BY825" s="17"/>
      <c r="BZ825" s="17"/>
      <c r="CA825" s="17"/>
      <c r="CB825" s="17"/>
      <c r="CC825" s="17"/>
      <c r="CD825" s="17"/>
    </row>
    <row r="826">
      <c r="A826" s="92"/>
      <c r="B826" s="820"/>
      <c r="O826" s="17"/>
      <c r="P826" s="17"/>
      <c r="Q826" s="17"/>
      <c r="R826" s="17"/>
      <c r="S826" s="813"/>
      <c r="T826" s="17"/>
      <c r="AX826" s="17"/>
      <c r="BB826" s="17"/>
      <c r="BE826" s="17"/>
      <c r="BF826" s="17"/>
      <c r="BG826" s="17"/>
      <c r="BH826" s="17"/>
      <c r="BI826" s="17"/>
      <c r="BJ826" s="17"/>
      <c r="BK826" s="17"/>
      <c r="BL826" s="92"/>
      <c r="BM826" s="92"/>
      <c r="BN826" s="92"/>
      <c r="BO826" s="92"/>
      <c r="BP826" s="92"/>
      <c r="BQ826" s="818"/>
      <c r="BR826" s="54"/>
      <c r="BS826" s="54"/>
      <c r="BT826" s="818"/>
      <c r="BU826" s="818"/>
      <c r="BV826" s="818"/>
      <c r="BW826" s="92"/>
      <c r="BX826" s="92"/>
      <c r="BY826" s="17"/>
      <c r="BZ826" s="17"/>
      <c r="CA826" s="17"/>
      <c r="CB826" s="17"/>
      <c r="CC826" s="17"/>
      <c r="CD826" s="17"/>
    </row>
    <row r="827">
      <c r="A827" s="92"/>
      <c r="B827" s="820"/>
      <c r="O827" s="17"/>
      <c r="P827" s="17"/>
      <c r="Q827" s="17"/>
      <c r="R827" s="17"/>
      <c r="S827" s="813"/>
      <c r="T827" s="17"/>
      <c r="AX827" s="17"/>
      <c r="BB827" s="17"/>
      <c r="BE827" s="17"/>
      <c r="BF827" s="17"/>
      <c r="BG827" s="17"/>
      <c r="BH827" s="17"/>
      <c r="BI827" s="17"/>
      <c r="BJ827" s="17"/>
      <c r="BK827" s="17"/>
      <c r="BL827" s="92"/>
      <c r="BM827" s="92"/>
      <c r="BN827" s="92"/>
      <c r="BO827" s="92"/>
      <c r="BP827" s="92"/>
      <c r="BQ827" s="818"/>
      <c r="BR827" s="54"/>
      <c r="BS827" s="54"/>
      <c r="BT827" s="818"/>
      <c r="BU827" s="818"/>
      <c r="BV827" s="818"/>
      <c r="BW827" s="92"/>
      <c r="BX827" s="92"/>
      <c r="BY827" s="17"/>
      <c r="BZ827" s="17"/>
      <c r="CA827" s="17"/>
      <c r="CB827" s="17"/>
      <c r="CC827" s="17"/>
      <c r="CD827" s="17"/>
    </row>
    <row r="828">
      <c r="A828" s="92"/>
      <c r="B828" s="820"/>
      <c r="O828" s="17"/>
      <c r="P828" s="17"/>
      <c r="Q828" s="17"/>
      <c r="R828" s="17"/>
      <c r="S828" s="813"/>
      <c r="T828" s="17"/>
      <c r="AX828" s="17"/>
      <c r="BB828" s="17"/>
      <c r="BE828" s="17"/>
      <c r="BF828" s="17"/>
      <c r="BG828" s="17"/>
      <c r="BH828" s="17"/>
      <c r="BI828" s="17"/>
      <c r="BJ828" s="17"/>
      <c r="BK828" s="17"/>
      <c r="BL828" s="92"/>
      <c r="BM828" s="92"/>
      <c r="BN828" s="92"/>
      <c r="BO828" s="92"/>
      <c r="BP828" s="92"/>
      <c r="BQ828" s="818"/>
      <c r="BR828" s="54"/>
      <c r="BS828" s="54"/>
      <c r="BT828" s="818"/>
      <c r="BU828" s="818"/>
      <c r="BV828" s="818"/>
      <c r="BW828" s="92"/>
      <c r="BX828" s="92"/>
      <c r="BY828" s="17"/>
      <c r="BZ828" s="17"/>
      <c r="CA828" s="17"/>
      <c r="CB828" s="17"/>
      <c r="CC828" s="17"/>
      <c r="CD828" s="17"/>
    </row>
    <row r="829">
      <c r="A829" s="92"/>
      <c r="B829" s="820"/>
      <c r="O829" s="17"/>
      <c r="P829" s="17"/>
      <c r="Q829" s="17"/>
      <c r="R829" s="17"/>
      <c r="S829" s="813"/>
      <c r="T829" s="17"/>
      <c r="AX829" s="17"/>
      <c r="BB829" s="17"/>
      <c r="BE829" s="17"/>
      <c r="BF829" s="17"/>
      <c r="BG829" s="17"/>
      <c r="BH829" s="17"/>
      <c r="BI829" s="17"/>
      <c r="BJ829" s="17"/>
      <c r="BK829" s="17"/>
      <c r="BL829" s="92"/>
      <c r="BM829" s="92"/>
      <c r="BN829" s="92"/>
      <c r="BO829" s="92"/>
      <c r="BP829" s="92"/>
      <c r="BQ829" s="818"/>
      <c r="BR829" s="54"/>
      <c r="BS829" s="54"/>
      <c r="BT829" s="818"/>
      <c r="BU829" s="818"/>
      <c r="BV829" s="818"/>
      <c r="BW829" s="92"/>
      <c r="BX829" s="92"/>
      <c r="BY829" s="17"/>
      <c r="BZ829" s="17"/>
      <c r="CA829" s="17"/>
      <c r="CB829" s="17"/>
      <c r="CC829" s="17"/>
      <c r="CD829" s="17"/>
    </row>
    <row r="830">
      <c r="A830" s="92"/>
      <c r="B830" s="820"/>
      <c r="O830" s="17"/>
      <c r="P830" s="17"/>
      <c r="Q830" s="17"/>
      <c r="R830" s="17"/>
      <c r="S830" s="813"/>
      <c r="T830" s="17"/>
      <c r="AX830" s="17"/>
      <c r="BB830" s="17"/>
      <c r="BE830" s="17"/>
      <c r="BF830" s="17"/>
      <c r="BG830" s="17"/>
      <c r="BH830" s="17"/>
      <c r="BI830" s="17"/>
      <c r="BJ830" s="17"/>
      <c r="BK830" s="17"/>
      <c r="BL830" s="92"/>
      <c r="BM830" s="92"/>
      <c r="BN830" s="92"/>
      <c r="BO830" s="92"/>
      <c r="BP830" s="92"/>
      <c r="BQ830" s="818"/>
      <c r="BR830" s="54"/>
      <c r="BS830" s="54"/>
      <c r="BT830" s="818"/>
      <c r="BU830" s="818"/>
      <c r="BV830" s="818"/>
      <c r="BW830" s="92"/>
      <c r="BX830" s="92"/>
      <c r="BY830" s="17"/>
      <c r="BZ830" s="17"/>
      <c r="CA830" s="17"/>
      <c r="CB830" s="17"/>
      <c r="CC830" s="17"/>
      <c r="CD830" s="17"/>
    </row>
    <row r="831">
      <c r="A831" s="92"/>
      <c r="B831" s="820"/>
      <c r="O831" s="17"/>
      <c r="P831" s="17"/>
      <c r="Q831" s="17"/>
      <c r="R831" s="17"/>
      <c r="S831" s="813"/>
      <c r="T831" s="17"/>
      <c r="AX831" s="17"/>
      <c r="BB831" s="17"/>
      <c r="BE831" s="17"/>
      <c r="BF831" s="17"/>
      <c r="BG831" s="17"/>
      <c r="BH831" s="17"/>
      <c r="BI831" s="17"/>
      <c r="BJ831" s="17"/>
      <c r="BK831" s="17"/>
      <c r="BL831" s="92"/>
      <c r="BM831" s="92"/>
      <c r="BN831" s="92"/>
      <c r="BO831" s="92"/>
      <c r="BP831" s="92"/>
      <c r="BQ831" s="818"/>
      <c r="BR831" s="54"/>
      <c r="BS831" s="54"/>
      <c r="BT831" s="818"/>
      <c r="BU831" s="818"/>
      <c r="BV831" s="818"/>
      <c r="BW831" s="92"/>
      <c r="BX831" s="92"/>
      <c r="BY831" s="17"/>
      <c r="BZ831" s="17"/>
      <c r="CA831" s="17"/>
      <c r="CB831" s="17"/>
      <c r="CC831" s="17"/>
      <c r="CD831" s="17"/>
    </row>
    <row r="832">
      <c r="A832" s="92"/>
      <c r="B832" s="820"/>
      <c r="O832" s="17"/>
      <c r="P832" s="17"/>
      <c r="Q832" s="17"/>
      <c r="R832" s="17"/>
      <c r="S832" s="813"/>
      <c r="T832" s="17"/>
      <c r="AX832" s="17"/>
      <c r="BB832" s="17"/>
      <c r="BE832" s="17"/>
      <c r="BF832" s="17"/>
      <c r="BG832" s="17"/>
      <c r="BH832" s="17"/>
      <c r="BI832" s="17"/>
      <c r="BJ832" s="17"/>
      <c r="BK832" s="17"/>
      <c r="BL832" s="92"/>
      <c r="BM832" s="92"/>
      <c r="BN832" s="92"/>
      <c r="BO832" s="92"/>
      <c r="BP832" s="92"/>
      <c r="BQ832" s="818"/>
      <c r="BR832" s="54"/>
      <c r="BS832" s="54"/>
      <c r="BT832" s="818"/>
      <c r="BU832" s="818"/>
      <c r="BV832" s="818"/>
      <c r="BW832" s="92"/>
      <c r="BX832" s="92"/>
      <c r="BY832" s="17"/>
      <c r="BZ832" s="17"/>
      <c r="CA832" s="17"/>
      <c r="CB832" s="17"/>
      <c r="CC832" s="17"/>
      <c r="CD832" s="17"/>
    </row>
    <row r="833">
      <c r="A833" s="92"/>
      <c r="B833" s="820"/>
      <c r="O833" s="17"/>
      <c r="P833" s="17"/>
      <c r="Q833" s="17"/>
      <c r="R833" s="17"/>
      <c r="S833" s="813"/>
      <c r="T833" s="17"/>
      <c r="AX833" s="17"/>
      <c r="BB833" s="17"/>
      <c r="BE833" s="17"/>
      <c r="BF833" s="17"/>
      <c r="BG833" s="17"/>
      <c r="BH833" s="17"/>
      <c r="BI833" s="17"/>
      <c r="BJ833" s="17"/>
      <c r="BK833" s="17"/>
      <c r="BL833" s="92"/>
      <c r="BM833" s="92"/>
      <c r="BN833" s="92"/>
      <c r="BO833" s="92"/>
      <c r="BP833" s="92"/>
      <c r="BQ833" s="818"/>
      <c r="BR833" s="54"/>
      <c r="BS833" s="54"/>
      <c r="BT833" s="818"/>
      <c r="BU833" s="818"/>
      <c r="BV833" s="818"/>
      <c r="BW833" s="92"/>
      <c r="BX833" s="92"/>
      <c r="BY833" s="17"/>
      <c r="BZ833" s="17"/>
      <c r="CA833" s="17"/>
      <c r="CB833" s="17"/>
      <c r="CC833" s="17"/>
      <c r="CD833" s="17"/>
    </row>
    <row r="834">
      <c r="A834" s="92"/>
      <c r="B834" s="820"/>
      <c r="O834" s="17"/>
      <c r="P834" s="17"/>
      <c r="Q834" s="17"/>
      <c r="R834" s="17"/>
      <c r="S834" s="813"/>
      <c r="T834" s="17"/>
      <c r="AX834" s="17"/>
      <c r="BB834" s="17"/>
      <c r="BE834" s="17"/>
      <c r="BF834" s="17"/>
      <c r="BG834" s="17"/>
      <c r="BH834" s="17"/>
      <c r="BI834" s="17"/>
      <c r="BJ834" s="17"/>
      <c r="BK834" s="17"/>
      <c r="BL834" s="92"/>
      <c r="BM834" s="92"/>
      <c r="BN834" s="92"/>
      <c r="BO834" s="92"/>
      <c r="BP834" s="92"/>
      <c r="BQ834" s="818"/>
      <c r="BR834" s="54"/>
      <c r="BS834" s="54"/>
      <c r="BT834" s="818"/>
      <c r="BU834" s="818"/>
      <c r="BV834" s="818"/>
      <c r="BW834" s="92"/>
      <c r="BX834" s="92"/>
      <c r="BY834" s="17"/>
      <c r="BZ834" s="17"/>
      <c r="CA834" s="17"/>
      <c r="CB834" s="17"/>
      <c r="CC834" s="17"/>
      <c r="CD834" s="17"/>
    </row>
    <row r="835">
      <c r="A835" s="92"/>
      <c r="B835" s="820"/>
      <c r="O835" s="17"/>
      <c r="P835" s="17"/>
      <c r="Q835" s="17"/>
      <c r="R835" s="17"/>
      <c r="S835" s="813"/>
      <c r="T835" s="17"/>
      <c r="AX835" s="17"/>
      <c r="BB835" s="17"/>
      <c r="BE835" s="17"/>
      <c r="BF835" s="17"/>
      <c r="BG835" s="17"/>
      <c r="BH835" s="17"/>
      <c r="BI835" s="17"/>
      <c r="BJ835" s="17"/>
      <c r="BK835" s="17"/>
      <c r="BL835" s="92"/>
      <c r="BM835" s="92"/>
      <c r="BN835" s="92"/>
      <c r="BO835" s="92"/>
      <c r="BP835" s="92"/>
      <c r="BQ835" s="818"/>
      <c r="BR835" s="54"/>
      <c r="BS835" s="54"/>
      <c r="BT835" s="818"/>
      <c r="BU835" s="818"/>
      <c r="BV835" s="818"/>
      <c r="BW835" s="92"/>
      <c r="BX835" s="92"/>
      <c r="BY835" s="17"/>
      <c r="BZ835" s="17"/>
      <c r="CA835" s="17"/>
      <c r="CB835" s="17"/>
      <c r="CC835" s="17"/>
      <c r="CD835" s="17"/>
    </row>
    <row r="836">
      <c r="A836" s="92"/>
      <c r="B836" s="820"/>
      <c r="O836" s="17"/>
      <c r="P836" s="17"/>
      <c r="Q836" s="17"/>
      <c r="R836" s="17"/>
      <c r="S836" s="813"/>
      <c r="T836" s="17"/>
      <c r="AX836" s="17"/>
      <c r="BB836" s="17"/>
      <c r="BE836" s="17"/>
      <c r="BF836" s="17"/>
      <c r="BG836" s="17"/>
      <c r="BH836" s="17"/>
      <c r="BI836" s="17"/>
      <c r="BJ836" s="17"/>
      <c r="BK836" s="17"/>
      <c r="BL836" s="92"/>
      <c r="BM836" s="92"/>
      <c r="BN836" s="92"/>
      <c r="BO836" s="92"/>
      <c r="BP836" s="92"/>
      <c r="BQ836" s="818"/>
      <c r="BR836" s="54"/>
      <c r="BS836" s="54"/>
      <c r="BT836" s="818"/>
      <c r="BU836" s="818"/>
      <c r="BV836" s="818"/>
      <c r="BW836" s="92"/>
      <c r="BX836" s="92"/>
      <c r="BY836" s="17"/>
      <c r="BZ836" s="17"/>
      <c r="CA836" s="17"/>
      <c r="CB836" s="17"/>
      <c r="CC836" s="17"/>
      <c r="CD836" s="17"/>
    </row>
    <row r="837">
      <c r="A837" s="92"/>
      <c r="B837" s="820"/>
      <c r="O837" s="17"/>
      <c r="P837" s="17"/>
      <c r="Q837" s="17"/>
      <c r="R837" s="17"/>
      <c r="S837" s="813"/>
      <c r="T837" s="17"/>
      <c r="AX837" s="17"/>
      <c r="BB837" s="17"/>
      <c r="BE837" s="17"/>
      <c r="BF837" s="17"/>
      <c r="BG837" s="17"/>
      <c r="BH837" s="17"/>
      <c r="BI837" s="17"/>
      <c r="BJ837" s="17"/>
      <c r="BK837" s="17"/>
      <c r="BL837" s="92"/>
      <c r="BM837" s="92"/>
      <c r="BN837" s="92"/>
      <c r="BO837" s="92"/>
      <c r="BP837" s="92"/>
      <c r="BQ837" s="818"/>
      <c r="BR837" s="54"/>
      <c r="BS837" s="54"/>
      <c r="BT837" s="818"/>
      <c r="BU837" s="818"/>
      <c r="BV837" s="818"/>
      <c r="BW837" s="92"/>
      <c r="BX837" s="92"/>
      <c r="BY837" s="17"/>
      <c r="BZ837" s="17"/>
      <c r="CA837" s="17"/>
      <c r="CB837" s="17"/>
      <c r="CC837" s="17"/>
      <c r="CD837" s="17"/>
    </row>
    <row r="838">
      <c r="A838" s="92"/>
      <c r="B838" s="820"/>
      <c r="O838" s="17"/>
      <c r="P838" s="17"/>
      <c r="Q838" s="17"/>
      <c r="R838" s="17"/>
      <c r="S838" s="813"/>
      <c r="T838" s="17"/>
      <c r="AX838" s="17"/>
      <c r="BB838" s="17"/>
      <c r="BE838" s="17"/>
      <c r="BF838" s="17"/>
      <c r="BG838" s="17"/>
      <c r="BH838" s="17"/>
      <c r="BI838" s="17"/>
      <c r="BJ838" s="17"/>
      <c r="BK838" s="17"/>
      <c r="BL838" s="92"/>
      <c r="BM838" s="92"/>
      <c r="BN838" s="92"/>
      <c r="BO838" s="92"/>
      <c r="BP838" s="92"/>
      <c r="BQ838" s="818"/>
      <c r="BR838" s="54"/>
      <c r="BS838" s="54"/>
      <c r="BT838" s="818"/>
      <c r="BU838" s="818"/>
      <c r="BV838" s="818"/>
      <c r="BW838" s="92"/>
      <c r="BX838" s="92"/>
      <c r="BY838" s="17"/>
      <c r="BZ838" s="17"/>
      <c r="CA838" s="17"/>
      <c r="CB838" s="17"/>
      <c r="CC838" s="17"/>
      <c r="CD838" s="17"/>
    </row>
    <row r="839">
      <c r="A839" s="92"/>
      <c r="B839" s="820"/>
      <c r="O839" s="17"/>
      <c r="P839" s="17"/>
      <c r="Q839" s="17"/>
      <c r="R839" s="17"/>
      <c r="S839" s="813"/>
      <c r="T839" s="17"/>
      <c r="AX839" s="17"/>
      <c r="BB839" s="17"/>
      <c r="BE839" s="17"/>
      <c r="BF839" s="17"/>
      <c r="BG839" s="17"/>
      <c r="BH839" s="17"/>
      <c r="BI839" s="17"/>
      <c r="BJ839" s="17"/>
      <c r="BK839" s="17"/>
      <c r="BL839" s="92"/>
      <c r="BM839" s="92"/>
      <c r="BN839" s="92"/>
      <c r="BO839" s="92"/>
      <c r="BP839" s="92"/>
      <c r="BQ839" s="818"/>
      <c r="BR839" s="54"/>
      <c r="BS839" s="54"/>
      <c r="BT839" s="818"/>
      <c r="BU839" s="818"/>
      <c r="BV839" s="818"/>
      <c r="BW839" s="92"/>
      <c r="BX839" s="92"/>
      <c r="BY839" s="17"/>
      <c r="BZ839" s="17"/>
      <c r="CA839" s="17"/>
      <c r="CB839" s="17"/>
      <c r="CC839" s="17"/>
      <c r="CD839" s="17"/>
    </row>
    <row r="840">
      <c r="A840" s="92"/>
      <c r="B840" s="820"/>
      <c r="O840" s="17"/>
      <c r="P840" s="17"/>
      <c r="Q840" s="17"/>
      <c r="R840" s="17"/>
      <c r="S840" s="813"/>
      <c r="T840" s="17"/>
      <c r="AX840" s="17"/>
      <c r="BB840" s="17"/>
      <c r="BE840" s="17"/>
      <c r="BF840" s="17"/>
      <c r="BG840" s="17"/>
      <c r="BH840" s="17"/>
      <c r="BI840" s="17"/>
      <c r="BJ840" s="17"/>
      <c r="BK840" s="17"/>
      <c r="BL840" s="92"/>
      <c r="BM840" s="92"/>
      <c r="BN840" s="92"/>
      <c r="BO840" s="92"/>
      <c r="BP840" s="92"/>
      <c r="BQ840" s="818"/>
      <c r="BR840" s="54"/>
      <c r="BS840" s="54"/>
      <c r="BT840" s="818"/>
      <c r="BU840" s="818"/>
      <c r="BV840" s="818"/>
      <c r="BW840" s="92"/>
      <c r="BX840" s="92"/>
      <c r="BY840" s="17"/>
      <c r="BZ840" s="17"/>
      <c r="CA840" s="17"/>
      <c r="CB840" s="17"/>
      <c r="CC840" s="17"/>
      <c r="CD840" s="17"/>
    </row>
    <row r="841">
      <c r="A841" s="92"/>
      <c r="B841" s="820"/>
      <c r="O841" s="17"/>
      <c r="P841" s="17"/>
      <c r="Q841" s="17"/>
      <c r="R841" s="17"/>
      <c r="S841" s="813"/>
      <c r="T841" s="17"/>
      <c r="AX841" s="17"/>
      <c r="BB841" s="17"/>
      <c r="BE841" s="17"/>
      <c r="BF841" s="17"/>
      <c r="BG841" s="17"/>
      <c r="BH841" s="17"/>
      <c r="BI841" s="17"/>
      <c r="BJ841" s="17"/>
      <c r="BK841" s="17"/>
      <c r="BL841" s="92"/>
      <c r="BM841" s="92"/>
      <c r="BN841" s="92"/>
      <c r="BO841" s="92"/>
      <c r="BP841" s="92"/>
      <c r="BQ841" s="818"/>
      <c r="BR841" s="54"/>
      <c r="BS841" s="54"/>
      <c r="BT841" s="818"/>
      <c r="BU841" s="818"/>
      <c r="BV841" s="818"/>
      <c r="BW841" s="92"/>
      <c r="BX841" s="92"/>
      <c r="BY841" s="17"/>
      <c r="BZ841" s="17"/>
      <c r="CA841" s="17"/>
      <c r="CB841" s="17"/>
      <c r="CC841" s="17"/>
      <c r="CD841" s="17"/>
    </row>
    <row r="842">
      <c r="A842" s="92"/>
      <c r="B842" s="820"/>
      <c r="O842" s="17"/>
      <c r="P842" s="17"/>
      <c r="Q842" s="17"/>
      <c r="R842" s="17"/>
      <c r="S842" s="813"/>
      <c r="T842" s="17"/>
      <c r="AX842" s="17"/>
      <c r="BB842" s="17"/>
      <c r="BE842" s="17"/>
      <c r="BF842" s="17"/>
      <c r="BG842" s="17"/>
      <c r="BH842" s="17"/>
      <c r="BI842" s="17"/>
      <c r="BJ842" s="17"/>
      <c r="BK842" s="17"/>
      <c r="BL842" s="92"/>
      <c r="BM842" s="92"/>
      <c r="BN842" s="92"/>
      <c r="BO842" s="92"/>
      <c r="BP842" s="92"/>
      <c r="BQ842" s="818"/>
      <c r="BR842" s="54"/>
      <c r="BS842" s="54"/>
      <c r="BT842" s="818"/>
      <c r="BU842" s="818"/>
      <c r="BV842" s="818"/>
      <c r="BW842" s="92"/>
      <c r="BX842" s="92"/>
      <c r="BY842" s="17"/>
      <c r="BZ842" s="17"/>
      <c r="CA842" s="17"/>
      <c r="CB842" s="17"/>
      <c r="CC842" s="17"/>
      <c r="CD842" s="17"/>
    </row>
    <row r="843">
      <c r="A843" s="92"/>
      <c r="B843" s="820"/>
      <c r="O843" s="17"/>
      <c r="P843" s="17"/>
      <c r="Q843" s="17"/>
      <c r="R843" s="17"/>
      <c r="S843" s="813"/>
      <c r="T843" s="17"/>
      <c r="AX843" s="17"/>
      <c r="BB843" s="17"/>
      <c r="BE843" s="17"/>
      <c r="BF843" s="17"/>
      <c r="BG843" s="17"/>
      <c r="BH843" s="17"/>
      <c r="BI843" s="17"/>
      <c r="BJ843" s="17"/>
      <c r="BK843" s="17"/>
      <c r="BL843" s="92"/>
      <c r="BM843" s="92"/>
      <c r="BN843" s="92"/>
      <c r="BO843" s="92"/>
      <c r="BP843" s="92"/>
      <c r="BQ843" s="818"/>
      <c r="BR843" s="54"/>
      <c r="BS843" s="54"/>
      <c r="BT843" s="818"/>
      <c r="BU843" s="818"/>
      <c r="BV843" s="818"/>
      <c r="BW843" s="92"/>
      <c r="BX843" s="92"/>
      <c r="BY843" s="17"/>
      <c r="BZ843" s="17"/>
      <c r="CA843" s="17"/>
      <c r="CB843" s="17"/>
      <c r="CC843" s="17"/>
      <c r="CD843" s="17"/>
    </row>
    <row r="844">
      <c r="A844" s="92"/>
      <c r="B844" s="820"/>
      <c r="O844" s="17"/>
      <c r="P844" s="17"/>
      <c r="Q844" s="17"/>
      <c r="R844" s="17"/>
      <c r="S844" s="813"/>
      <c r="T844" s="17"/>
      <c r="AX844" s="17"/>
      <c r="BB844" s="17"/>
      <c r="BE844" s="17"/>
      <c r="BF844" s="17"/>
      <c r="BG844" s="17"/>
      <c r="BH844" s="17"/>
      <c r="BI844" s="17"/>
      <c r="BJ844" s="17"/>
      <c r="BK844" s="17"/>
      <c r="BL844" s="92"/>
      <c r="BM844" s="92"/>
      <c r="BN844" s="92"/>
      <c r="BO844" s="92"/>
      <c r="BP844" s="92"/>
      <c r="BQ844" s="818"/>
      <c r="BR844" s="54"/>
      <c r="BS844" s="54"/>
      <c r="BT844" s="818"/>
      <c r="BU844" s="818"/>
      <c r="BV844" s="818"/>
      <c r="BW844" s="92"/>
      <c r="BX844" s="92"/>
      <c r="BY844" s="17"/>
      <c r="BZ844" s="17"/>
      <c r="CA844" s="17"/>
      <c r="CB844" s="17"/>
      <c r="CC844" s="17"/>
      <c r="CD844" s="17"/>
    </row>
    <row r="845">
      <c r="A845" s="92"/>
      <c r="B845" s="820"/>
      <c r="O845" s="17"/>
      <c r="P845" s="17"/>
      <c r="Q845" s="17"/>
      <c r="R845" s="17"/>
      <c r="S845" s="813"/>
      <c r="T845" s="17"/>
      <c r="AX845" s="17"/>
      <c r="BB845" s="17"/>
      <c r="BE845" s="17"/>
      <c r="BF845" s="17"/>
      <c r="BG845" s="17"/>
      <c r="BH845" s="17"/>
      <c r="BI845" s="17"/>
      <c r="BJ845" s="17"/>
      <c r="BK845" s="17"/>
      <c r="BL845" s="92"/>
      <c r="BM845" s="92"/>
      <c r="BN845" s="92"/>
      <c r="BO845" s="92"/>
      <c r="BP845" s="92"/>
      <c r="BQ845" s="818"/>
      <c r="BR845" s="54"/>
      <c r="BS845" s="54"/>
      <c r="BT845" s="818"/>
      <c r="BU845" s="818"/>
      <c r="BV845" s="818"/>
      <c r="BW845" s="92"/>
      <c r="BX845" s="92"/>
      <c r="BY845" s="17"/>
      <c r="BZ845" s="17"/>
      <c r="CA845" s="17"/>
      <c r="CB845" s="17"/>
      <c r="CC845" s="17"/>
      <c r="CD845" s="17"/>
    </row>
    <row r="846">
      <c r="A846" s="92"/>
      <c r="B846" s="820"/>
      <c r="O846" s="17"/>
      <c r="P846" s="17"/>
      <c r="Q846" s="17"/>
      <c r="R846" s="17"/>
      <c r="S846" s="813"/>
      <c r="T846" s="17"/>
      <c r="AX846" s="17"/>
      <c r="BB846" s="17"/>
      <c r="BE846" s="17"/>
      <c r="BF846" s="17"/>
      <c r="BG846" s="17"/>
      <c r="BH846" s="17"/>
      <c r="BI846" s="17"/>
      <c r="BJ846" s="17"/>
      <c r="BK846" s="17"/>
      <c r="BL846" s="92"/>
      <c r="BM846" s="92"/>
      <c r="BN846" s="92"/>
      <c r="BO846" s="92"/>
      <c r="BP846" s="92"/>
      <c r="BQ846" s="818"/>
      <c r="BR846" s="54"/>
      <c r="BS846" s="54"/>
      <c r="BT846" s="818"/>
      <c r="BU846" s="818"/>
      <c r="BV846" s="818"/>
      <c r="BW846" s="92"/>
      <c r="BX846" s="92"/>
      <c r="BY846" s="17"/>
      <c r="BZ846" s="17"/>
      <c r="CA846" s="17"/>
      <c r="CB846" s="17"/>
      <c r="CC846" s="17"/>
      <c r="CD846" s="17"/>
    </row>
    <row r="847">
      <c r="A847" s="92"/>
      <c r="B847" s="820"/>
      <c r="O847" s="17"/>
      <c r="P847" s="17"/>
      <c r="Q847" s="17"/>
      <c r="R847" s="17"/>
      <c r="S847" s="813"/>
      <c r="T847" s="17"/>
      <c r="AX847" s="17"/>
      <c r="BB847" s="17"/>
      <c r="BE847" s="17"/>
      <c r="BF847" s="17"/>
      <c r="BG847" s="17"/>
      <c r="BH847" s="17"/>
      <c r="BI847" s="17"/>
      <c r="BJ847" s="17"/>
      <c r="BK847" s="17"/>
      <c r="BL847" s="92"/>
      <c r="BM847" s="92"/>
      <c r="BN847" s="92"/>
      <c r="BO847" s="92"/>
      <c r="BP847" s="92"/>
      <c r="BQ847" s="818"/>
      <c r="BR847" s="54"/>
      <c r="BS847" s="54"/>
      <c r="BT847" s="818"/>
      <c r="BU847" s="818"/>
      <c r="BV847" s="818"/>
      <c r="BW847" s="92"/>
      <c r="BX847" s="92"/>
      <c r="BY847" s="17"/>
      <c r="BZ847" s="17"/>
      <c r="CA847" s="17"/>
      <c r="CB847" s="17"/>
      <c r="CC847" s="17"/>
      <c r="CD847" s="17"/>
    </row>
    <row r="848">
      <c r="A848" s="92"/>
      <c r="B848" s="820"/>
      <c r="O848" s="17"/>
      <c r="P848" s="17"/>
      <c r="Q848" s="17"/>
      <c r="R848" s="17"/>
      <c r="S848" s="813"/>
      <c r="T848" s="17"/>
      <c r="AX848" s="17"/>
      <c r="BB848" s="17"/>
      <c r="BE848" s="17"/>
      <c r="BF848" s="17"/>
      <c r="BG848" s="17"/>
      <c r="BH848" s="17"/>
      <c r="BI848" s="17"/>
      <c r="BJ848" s="17"/>
      <c r="BK848" s="17"/>
      <c r="BL848" s="92"/>
      <c r="BM848" s="92"/>
      <c r="BN848" s="92"/>
      <c r="BO848" s="92"/>
      <c r="BP848" s="92"/>
      <c r="BQ848" s="818"/>
      <c r="BR848" s="54"/>
      <c r="BS848" s="54"/>
      <c r="BT848" s="818"/>
      <c r="BU848" s="818"/>
      <c r="BV848" s="818"/>
      <c r="BW848" s="92"/>
      <c r="BX848" s="92"/>
      <c r="BY848" s="17"/>
      <c r="BZ848" s="17"/>
      <c r="CA848" s="17"/>
      <c r="CB848" s="17"/>
      <c r="CC848" s="17"/>
      <c r="CD848" s="17"/>
    </row>
    <row r="849">
      <c r="A849" s="92"/>
      <c r="B849" s="820"/>
      <c r="O849" s="17"/>
      <c r="P849" s="17"/>
      <c r="Q849" s="17"/>
      <c r="R849" s="17"/>
      <c r="S849" s="813"/>
      <c r="T849" s="17"/>
      <c r="AX849" s="17"/>
      <c r="BB849" s="17"/>
      <c r="BE849" s="17"/>
      <c r="BF849" s="17"/>
      <c r="BG849" s="17"/>
      <c r="BH849" s="17"/>
      <c r="BI849" s="17"/>
      <c r="BJ849" s="17"/>
      <c r="BK849" s="17"/>
      <c r="BL849" s="92"/>
      <c r="BM849" s="92"/>
      <c r="BN849" s="92"/>
      <c r="BO849" s="92"/>
      <c r="BP849" s="92"/>
      <c r="BQ849" s="818"/>
      <c r="BR849" s="54"/>
      <c r="BS849" s="54"/>
      <c r="BT849" s="818"/>
      <c r="BU849" s="818"/>
      <c r="BV849" s="818"/>
      <c r="BW849" s="92"/>
      <c r="BX849" s="92"/>
      <c r="BY849" s="17"/>
      <c r="BZ849" s="17"/>
      <c r="CA849" s="17"/>
      <c r="CB849" s="17"/>
      <c r="CC849" s="17"/>
      <c r="CD849" s="17"/>
    </row>
    <row r="850">
      <c r="A850" s="92"/>
      <c r="B850" s="820"/>
      <c r="O850" s="17"/>
      <c r="P850" s="17"/>
      <c r="Q850" s="17"/>
      <c r="R850" s="17"/>
      <c r="S850" s="813"/>
      <c r="T850" s="17"/>
      <c r="AX850" s="17"/>
      <c r="BB850" s="17"/>
      <c r="BE850" s="17"/>
      <c r="BF850" s="17"/>
      <c r="BG850" s="17"/>
      <c r="BH850" s="17"/>
      <c r="BI850" s="17"/>
      <c r="BJ850" s="17"/>
      <c r="BK850" s="17"/>
      <c r="BL850" s="92"/>
      <c r="BM850" s="92"/>
      <c r="BN850" s="92"/>
      <c r="BO850" s="92"/>
      <c r="BP850" s="92"/>
      <c r="BQ850" s="818"/>
      <c r="BR850" s="54"/>
      <c r="BS850" s="54"/>
      <c r="BT850" s="818"/>
      <c r="BU850" s="818"/>
      <c r="BV850" s="818"/>
      <c r="BW850" s="92"/>
      <c r="BX850" s="92"/>
      <c r="BY850" s="17"/>
      <c r="BZ850" s="17"/>
      <c r="CA850" s="17"/>
      <c r="CB850" s="17"/>
      <c r="CC850" s="17"/>
      <c r="CD850" s="17"/>
    </row>
    <row r="851">
      <c r="A851" s="92"/>
      <c r="B851" s="820"/>
      <c r="O851" s="17"/>
      <c r="P851" s="17"/>
      <c r="Q851" s="17"/>
      <c r="R851" s="17"/>
      <c r="S851" s="813"/>
      <c r="T851" s="17"/>
      <c r="AX851" s="17"/>
      <c r="BB851" s="17"/>
      <c r="BE851" s="17"/>
      <c r="BF851" s="17"/>
      <c r="BG851" s="17"/>
      <c r="BH851" s="17"/>
      <c r="BI851" s="17"/>
      <c r="BJ851" s="17"/>
      <c r="BK851" s="17"/>
      <c r="BL851" s="92"/>
      <c r="BM851" s="92"/>
      <c r="BN851" s="92"/>
      <c r="BO851" s="92"/>
      <c r="BP851" s="92"/>
      <c r="BQ851" s="818"/>
      <c r="BR851" s="54"/>
      <c r="BS851" s="54"/>
      <c r="BT851" s="818"/>
      <c r="BU851" s="818"/>
      <c r="BV851" s="818"/>
      <c r="BW851" s="92"/>
      <c r="BX851" s="92"/>
      <c r="BY851" s="17"/>
      <c r="BZ851" s="17"/>
      <c r="CA851" s="17"/>
      <c r="CB851" s="17"/>
      <c r="CC851" s="17"/>
      <c r="CD851" s="17"/>
    </row>
    <row r="852">
      <c r="A852" s="92"/>
      <c r="B852" s="820"/>
      <c r="O852" s="17"/>
      <c r="P852" s="17"/>
      <c r="Q852" s="17"/>
      <c r="R852" s="17"/>
      <c r="S852" s="813"/>
      <c r="T852" s="17"/>
      <c r="AX852" s="17"/>
      <c r="BB852" s="17"/>
      <c r="BE852" s="17"/>
      <c r="BF852" s="17"/>
      <c r="BG852" s="17"/>
      <c r="BH852" s="17"/>
      <c r="BI852" s="17"/>
      <c r="BJ852" s="17"/>
      <c r="BK852" s="17"/>
      <c r="BL852" s="92"/>
      <c r="BM852" s="92"/>
      <c r="BN852" s="92"/>
      <c r="BO852" s="92"/>
      <c r="BP852" s="92"/>
      <c r="BQ852" s="818"/>
      <c r="BR852" s="54"/>
      <c r="BS852" s="54"/>
      <c r="BT852" s="818"/>
      <c r="BU852" s="818"/>
      <c r="BV852" s="818"/>
      <c r="BW852" s="92"/>
      <c r="BX852" s="92"/>
      <c r="BY852" s="17"/>
      <c r="BZ852" s="17"/>
      <c r="CA852" s="17"/>
      <c r="CB852" s="17"/>
      <c r="CC852" s="17"/>
      <c r="CD852" s="17"/>
    </row>
    <row r="853">
      <c r="A853" s="92"/>
      <c r="B853" s="820"/>
      <c r="O853" s="17"/>
      <c r="P853" s="17"/>
      <c r="Q853" s="17"/>
      <c r="R853" s="17"/>
      <c r="S853" s="813"/>
      <c r="T853" s="17"/>
      <c r="AX853" s="17"/>
      <c r="BB853" s="17"/>
      <c r="BE853" s="17"/>
      <c r="BF853" s="17"/>
      <c r="BG853" s="17"/>
      <c r="BH853" s="17"/>
      <c r="BI853" s="17"/>
      <c r="BJ853" s="17"/>
      <c r="BK853" s="17"/>
      <c r="BL853" s="92"/>
      <c r="BM853" s="92"/>
      <c r="BN853" s="92"/>
      <c r="BO853" s="92"/>
      <c r="BP853" s="92"/>
      <c r="BQ853" s="818"/>
      <c r="BR853" s="54"/>
      <c r="BS853" s="54"/>
      <c r="BT853" s="818"/>
      <c r="BU853" s="818"/>
      <c r="BV853" s="818"/>
      <c r="BW853" s="92"/>
      <c r="BX853" s="92"/>
      <c r="BY853" s="17"/>
      <c r="BZ853" s="17"/>
      <c r="CA853" s="17"/>
      <c r="CB853" s="17"/>
      <c r="CC853" s="17"/>
      <c r="CD853" s="17"/>
    </row>
    <row r="854">
      <c r="A854" s="92"/>
      <c r="B854" s="820"/>
      <c r="O854" s="17"/>
      <c r="P854" s="17"/>
      <c r="Q854" s="17"/>
      <c r="R854" s="17"/>
      <c r="S854" s="813"/>
      <c r="T854" s="17"/>
      <c r="AX854" s="17"/>
      <c r="BB854" s="17"/>
      <c r="BE854" s="17"/>
      <c r="BF854" s="17"/>
      <c r="BG854" s="17"/>
      <c r="BH854" s="17"/>
      <c r="BI854" s="17"/>
      <c r="BJ854" s="17"/>
      <c r="BK854" s="17"/>
      <c r="BL854" s="92"/>
      <c r="BM854" s="92"/>
      <c r="BN854" s="92"/>
      <c r="BO854" s="92"/>
      <c r="BP854" s="92"/>
      <c r="BQ854" s="818"/>
      <c r="BR854" s="54"/>
      <c r="BS854" s="54"/>
      <c r="BT854" s="818"/>
      <c r="BU854" s="818"/>
      <c r="BV854" s="818"/>
      <c r="BW854" s="92"/>
      <c r="BX854" s="92"/>
      <c r="BY854" s="17"/>
      <c r="BZ854" s="17"/>
      <c r="CA854" s="17"/>
      <c r="CB854" s="17"/>
      <c r="CC854" s="17"/>
      <c r="CD854" s="17"/>
    </row>
    <row r="855">
      <c r="A855" s="92"/>
      <c r="B855" s="820"/>
      <c r="O855" s="17"/>
      <c r="P855" s="17"/>
      <c r="Q855" s="17"/>
      <c r="R855" s="17"/>
      <c r="S855" s="813"/>
      <c r="T855" s="17"/>
      <c r="AX855" s="17"/>
      <c r="BB855" s="17"/>
      <c r="BE855" s="17"/>
      <c r="BF855" s="17"/>
      <c r="BG855" s="17"/>
      <c r="BH855" s="17"/>
      <c r="BI855" s="17"/>
      <c r="BJ855" s="17"/>
      <c r="BK855" s="17"/>
      <c r="BL855" s="92"/>
      <c r="BM855" s="92"/>
      <c r="BN855" s="92"/>
      <c r="BO855" s="92"/>
      <c r="BP855" s="92"/>
      <c r="BQ855" s="818"/>
      <c r="BR855" s="54"/>
      <c r="BS855" s="54"/>
      <c r="BT855" s="818"/>
      <c r="BU855" s="818"/>
      <c r="BV855" s="818"/>
      <c r="BW855" s="92"/>
      <c r="BX855" s="92"/>
      <c r="BY855" s="17"/>
      <c r="BZ855" s="17"/>
      <c r="CA855" s="17"/>
      <c r="CB855" s="17"/>
      <c r="CC855" s="17"/>
      <c r="CD855" s="17"/>
    </row>
    <row r="856">
      <c r="A856" s="92"/>
      <c r="B856" s="820"/>
      <c r="O856" s="17"/>
      <c r="P856" s="17"/>
      <c r="Q856" s="17"/>
      <c r="R856" s="17"/>
      <c r="S856" s="813"/>
      <c r="T856" s="17"/>
      <c r="AX856" s="17"/>
      <c r="BB856" s="17"/>
      <c r="BE856" s="17"/>
      <c r="BF856" s="17"/>
      <c r="BG856" s="17"/>
      <c r="BH856" s="17"/>
      <c r="BI856" s="17"/>
      <c r="BJ856" s="17"/>
      <c r="BK856" s="17"/>
      <c r="BL856" s="92"/>
      <c r="BM856" s="92"/>
      <c r="BN856" s="92"/>
      <c r="BO856" s="92"/>
      <c r="BP856" s="92"/>
      <c r="BQ856" s="818"/>
      <c r="BR856" s="54"/>
      <c r="BS856" s="54"/>
      <c r="BT856" s="818"/>
      <c r="BU856" s="818"/>
      <c r="BV856" s="818"/>
      <c r="BW856" s="92"/>
      <c r="BX856" s="92"/>
      <c r="BY856" s="17"/>
      <c r="BZ856" s="17"/>
      <c r="CA856" s="17"/>
      <c r="CB856" s="17"/>
      <c r="CC856" s="17"/>
      <c r="CD856" s="17"/>
    </row>
    <row r="857">
      <c r="A857" s="92"/>
      <c r="B857" s="820"/>
      <c r="O857" s="17"/>
      <c r="P857" s="17"/>
      <c r="Q857" s="17"/>
      <c r="R857" s="17"/>
      <c r="S857" s="813"/>
      <c r="T857" s="17"/>
      <c r="AX857" s="17"/>
      <c r="BB857" s="17"/>
      <c r="BE857" s="17"/>
      <c r="BF857" s="17"/>
      <c r="BG857" s="17"/>
      <c r="BH857" s="17"/>
      <c r="BI857" s="17"/>
      <c r="BJ857" s="17"/>
      <c r="BK857" s="17"/>
      <c r="BL857" s="92"/>
      <c r="BM857" s="92"/>
      <c r="BN857" s="92"/>
      <c r="BO857" s="92"/>
      <c r="BP857" s="92"/>
      <c r="BQ857" s="818"/>
      <c r="BR857" s="54"/>
      <c r="BS857" s="54"/>
      <c r="BT857" s="818"/>
      <c r="BU857" s="818"/>
      <c r="BV857" s="818"/>
      <c r="BW857" s="92"/>
      <c r="BX857" s="92"/>
      <c r="BY857" s="17"/>
      <c r="BZ857" s="17"/>
      <c r="CA857" s="17"/>
      <c r="CB857" s="17"/>
      <c r="CC857" s="17"/>
      <c r="CD857" s="17"/>
    </row>
    <row r="858">
      <c r="A858" s="92"/>
      <c r="B858" s="820"/>
      <c r="O858" s="17"/>
      <c r="P858" s="17"/>
      <c r="Q858" s="17"/>
      <c r="R858" s="17"/>
      <c r="S858" s="813"/>
      <c r="T858" s="17"/>
      <c r="AX858" s="17"/>
      <c r="BB858" s="17"/>
      <c r="BE858" s="17"/>
      <c r="BF858" s="17"/>
      <c r="BG858" s="17"/>
      <c r="BH858" s="17"/>
      <c r="BI858" s="17"/>
      <c r="BJ858" s="17"/>
      <c r="BK858" s="17"/>
      <c r="BL858" s="92"/>
      <c r="BM858" s="92"/>
      <c r="BN858" s="92"/>
      <c r="BO858" s="92"/>
      <c r="BP858" s="92"/>
      <c r="BQ858" s="818"/>
      <c r="BR858" s="54"/>
      <c r="BS858" s="54"/>
      <c r="BT858" s="818"/>
      <c r="BU858" s="818"/>
      <c r="BV858" s="818"/>
      <c r="BW858" s="92"/>
      <c r="BX858" s="92"/>
      <c r="BY858" s="17"/>
      <c r="BZ858" s="17"/>
      <c r="CA858" s="17"/>
      <c r="CB858" s="17"/>
      <c r="CC858" s="17"/>
      <c r="CD858" s="17"/>
    </row>
    <row r="859">
      <c r="A859" s="92"/>
      <c r="B859" s="820"/>
      <c r="O859" s="17"/>
      <c r="P859" s="17"/>
      <c r="Q859" s="17"/>
      <c r="R859" s="17"/>
      <c r="S859" s="813"/>
      <c r="T859" s="17"/>
      <c r="AX859" s="17"/>
      <c r="BB859" s="17"/>
      <c r="BE859" s="17"/>
      <c r="BF859" s="17"/>
      <c r="BG859" s="17"/>
      <c r="BH859" s="17"/>
      <c r="BI859" s="17"/>
      <c r="BJ859" s="17"/>
      <c r="BK859" s="17"/>
      <c r="BL859" s="92"/>
      <c r="BM859" s="92"/>
      <c r="BN859" s="92"/>
      <c r="BO859" s="92"/>
      <c r="BP859" s="92"/>
      <c r="BQ859" s="818"/>
      <c r="BR859" s="54"/>
      <c r="BS859" s="54"/>
      <c r="BT859" s="818"/>
      <c r="BU859" s="818"/>
      <c r="BV859" s="818"/>
      <c r="BW859" s="92"/>
      <c r="BX859" s="92"/>
      <c r="BY859" s="17"/>
      <c r="BZ859" s="17"/>
      <c r="CA859" s="17"/>
      <c r="CB859" s="17"/>
      <c r="CC859" s="17"/>
      <c r="CD859" s="17"/>
    </row>
    <row r="860">
      <c r="A860" s="92"/>
      <c r="B860" s="820"/>
      <c r="O860" s="17"/>
      <c r="P860" s="17"/>
      <c r="Q860" s="17"/>
      <c r="R860" s="17"/>
      <c r="S860" s="813"/>
      <c r="T860" s="17"/>
      <c r="AX860" s="17"/>
      <c r="BB860" s="17"/>
      <c r="BE860" s="17"/>
      <c r="BF860" s="17"/>
      <c r="BG860" s="17"/>
      <c r="BH860" s="17"/>
      <c r="BI860" s="17"/>
      <c r="BJ860" s="17"/>
      <c r="BK860" s="17"/>
      <c r="BL860" s="92"/>
      <c r="BM860" s="92"/>
      <c r="BN860" s="92"/>
      <c r="BO860" s="92"/>
      <c r="BP860" s="92"/>
      <c r="BQ860" s="818"/>
      <c r="BR860" s="54"/>
      <c r="BS860" s="54"/>
      <c r="BT860" s="818"/>
      <c r="BU860" s="818"/>
      <c r="BV860" s="818"/>
      <c r="BW860" s="92"/>
      <c r="BX860" s="92"/>
      <c r="BY860" s="17"/>
      <c r="BZ860" s="17"/>
      <c r="CA860" s="17"/>
      <c r="CB860" s="17"/>
      <c r="CC860" s="17"/>
      <c r="CD860" s="17"/>
    </row>
    <row r="861">
      <c r="A861" s="92"/>
      <c r="B861" s="820"/>
      <c r="O861" s="17"/>
      <c r="P861" s="17"/>
      <c r="Q861" s="17"/>
      <c r="R861" s="17"/>
      <c r="S861" s="813"/>
      <c r="T861" s="17"/>
      <c r="AX861" s="17"/>
      <c r="BB861" s="17"/>
      <c r="BE861" s="17"/>
      <c r="BF861" s="17"/>
      <c r="BG861" s="17"/>
      <c r="BH861" s="17"/>
      <c r="BI861" s="17"/>
      <c r="BJ861" s="17"/>
      <c r="BK861" s="17"/>
      <c r="BL861" s="92"/>
      <c r="BM861" s="92"/>
      <c r="BN861" s="92"/>
      <c r="BO861" s="92"/>
      <c r="BP861" s="92"/>
      <c r="BQ861" s="818"/>
      <c r="BR861" s="54"/>
      <c r="BS861" s="54"/>
      <c r="BT861" s="818"/>
      <c r="BU861" s="818"/>
      <c r="BV861" s="818"/>
      <c r="BW861" s="92"/>
      <c r="BX861" s="92"/>
      <c r="BY861" s="17"/>
      <c r="BZ861" s="17"/>
      <c r="CA861" s="17"/>
      <c r="CB861" s="17"/>
      <c r="CC861" s="17"/>
      <c r="CD861" s="17"/>
    </row>
    <row r="862">
      <c r="A862" s="92"/>
      <c r="B862" s="820"/>
      <c r="O862" s="17"/>
      <c r="P862" s="17"/>
      <c r="Q862" s="17"/>
      <c r="R862" s="17"/>
      <c r="S862" s="813"/>
      <c r="T862" s="17"/>
      <c r="AX862" s="17"/>
      <c r="BB862" s="17"/>
      <c r="BE862" s="17"/>
      <c r="BF862" s="17"/>
      <c r="BG862" s="17"/>
      <c r="BH862" s="17"/>
      <c r="BI862" s="17"/>
      <c r="BJ862" s="17"/>
      <c r="BK862" s="17"/>
      <c r="BL862" s="92"/>
      <c r="BM862" s="92"/>
      <c r="BN862" s="92"/>
      <c r="BO862" s="92"/>
      <c r="BP862" s="92"/>
      <c r="BQ862" s="818"/>
      <c r="BR862" s="54"/>
      <c r="BS862" s="54"/>
      <c r="BT862" s="818"/>
      <c r="BU862" s="818"/>
      <c r="BV862" s="818"/>
      <c r="BW862" s="92"/>
      <c r="BX862" s="92"/>
      <c r="BY862" s="17"/>
      <c r="BZ862" s="17"/>
      <c r="CA862" s="17"/>
      <c r="CB862" s="17"/>
      <c r="CC862" s="17"/>
      <c r="CD862" s="17"/>
    </row>
    <row r="863">
      <c r="A863" s="92"/>
      <c r="B863" s="820"/>
      <c r="O863" s="17"/>
      <c r="P863" s="17"/>
      <c r="Q863" s="17"/>
      <c r="R863" s="17"/>
      <c r="S863" s="813"/>
      <c r="T863" s="17"/>
      <c r="AX863" s="17"/>
      <c r="BB863" s="17"/>
      <c r="BE863" s="17"/>
      <c r="BF863" s="17"/>
      <c r="BG863" s="17"/>
      <c r="BH863" s="17"/>
      <c r="BI863" s="17"/>
      <c r="BJ863" s="17"/>
      <c r="BK863" s="17"/>
      <c r="BL863" s="92"/>
      <c r="BM863" s="92"/>
      <c r="BN863" s="92"/>
      <c r="BO863" s="92"/>
      <c r="BP863" s="92"/>
      <c r="BQ863" s="818"/>
      <c r="BR863" s="54"/>
      <c r="BS863" s="54"/>
      <c r="BT863" s="818"/>
      <c r="BU863" s="818"/>
      <c r="BV863" s="818"/>
      <c r="BW863" s="92"/>
      <c r="BX863" s="92"/>
      <c r="BY863" s="17"/>
      <c r="BZ863" s="17"/>
      <c r="CA863" s="17"/>
      <c r="CB863" s="17"/>
      <c r="CC863" s="17"/>
      <c r="CD863" s="17"/>
    </row>
    <row r="864">
      <c r="A864" s="92"/>
      <c r="B864" s="820"/>
      <c r="O864" s="17"/>
      <c r="P864" s="17"/>
      <c r="Q864" s="17"/>
      <c r="R864" s="17"/>
      <c r="S864" s="813"/>
      <c r="T864" s="17"/>
      <c r="AX864" s="17"/>
      <c r="BB864" s="17"/>
      <c r="BE864" s="17"/>
      <c r="BF864" s="17"/>
      <c r="BG864" s="17"/>
      <c r="BH864" s="17"/>
      <c r="BI864" s="17"/>
      <c r="BJ864" s="17"/>
      <c r="BK864" s="17"/>
      <c r="BL864" s="92"/>
      <c r="BM864" s="92"/>
      <c r="BN864" s="92"/>
      <c r="BO864" s="92"/>
      <c r="BP864" s="92"/>
      <c r="BQ864" s="818"/>
      <c r="BR864" s="54"/>
      <c r="BS864" s="54"/>
      <c r="BT864" s="818"/>
      <c r="BU864" s="818"/>
      <c r="BV864" s="818"/>
      <c r="BW864" s="92"/>
      <c r="BX864" s="92"/>
      <c r="BY864" s="17"/>
      <c r="BZ864" s="17"/>
      <c r="CA864" s="17"/>
      <c r="CB864" s="17"/>
      <c r="CC864" s="17"/>
      <c r="CD864" s="17"/>
    </row>
    <row r="865">
      <c r="A865" s="92"/>
      <c r="B865" s="820"/>
      <c r="O865" s="17"/>
      <c r="P865" s="17"/>
      <c r="Q865" s="17"/>
      <c r="R865" s="17"/>
      <c r="S865" s="813"/>
      <c r="T865" s="17"/>
      <c r="AX865" s="17"/>
      <c r="BB865" s="17"/>
      <c r="BE865" s="17"/>
      <c r="BF865" s="17"/>
      <c r="BG865" s="17"/>
      <c r="BH865" s="17"/>
      <c r="BI865" s="17"/>
      <c r="BJ865" s="17"/>
      <c r="BK865" s="17"/>
      <c r="BL865" s="92"/>
      <c r="BM865" s="92"/>
      <c r="BN865" s="92"/>
      <c r="BO865" s="92"/>
      <c r="BP865" s="92"/>
      <c r="BQ865" s="818"/>
      <c r="BR865" s="54"/>
      <c r="BS865" s="54"/>
      <c r="BT865" s="818"/>
      <c r="BU865" s="818"/>
      <c r="BV865" s="818"/>
      <c r="BW865" s="92"/>
      <c r="BX865" s="92"/>
      <c r="BY865" s="17"/>
      <c r="BZ865" s="17"/>
      <c r="CA865" s="17"/>
      <c r="CB865" s="17"/>
      <c r="CC865" s="17"/>
      <c r="CD865" s="17"/>
    </row>
    <row r="866">
      <c r="A866" s="92"/>
      <c r="B866" s="820"/>
      <c r="O866" s="17"/>
      <c r="P866" s="17"/>
      <c r="Q866" s="17"/>
      <c r="R866" s="17"/>
      <c r="S866" s="813"/>
      <c r="T866" s="17"/>
      <c r="AX866" s="17"/>
      <c r="BB866" s="17"/>
      <c r="BE866" s="17"/>
      <c r="BF866" s="17"/>
      <c r="BG866" s="17"/>
      <c r="BH866" s="17"/>
      <c r="BI866" s="17"/>
      <c r="BJ866" s="17"/>
      <c r="BK866" s="17"/>
      <c r="BL866" s="92"/>
      <c r="BM866" s="92"/>
      <c r="BN866" s="92"/>
      <c r="BO866" s="92"/>
      <c r="BP866" s="92"/>
      <c r="BQ866" s="818"/>
      <c r="BR866" s="54"/>
      <c r="BS866" s="54"/>
      <c r="BT866" s="818"/>
      <c r="BU866" s="818"/>
      <c r="BV866" s="818"/>
      <c r="BW866" s="92"/>
      <c r="BX866" s="92"/>
      <c r="BY866" s="17"/>
      <c r="BZ866" s="17"/>
      <c r="CA866" s="17"/>
      <c r="CB866" s="17"/>
      <c r="CC866" s="17"/>
      <c r="CD866" s="17"/>
    </row>
    <row r="867">
      <c r="A867" s="92"/>
      <c r="B867" s="820"/>
      <c r="O867" s="17"/>
      <c r="P867" s="17"/>
      <c r="Q867" s="17"/>
      <c r="R867" s="17"/>
      <c r="S867" s="813"/>
      <c r="T867" s="17"/>
      <c r="AX867" s="17"/>
      <c r="BB867" s="17"/>
      <c r="BE867" s="17"/>
      <c r="BF867" s="17"/>
      <c r="BG867" s="17"/>
      <c r="BH867" s="17"/>
      <c r="BI867" s="17"/>
      <c r="BJ867" s="17"/>
      <c r="BK867" s="17"/>
      <c r="BL867" s="92"/>
      <c r="BM867" s="92"/>
      <c r="BN867" s="92"/>
      <c r="BO867" s="92"/>
      <c r="BP867" s="92"/>
      <c r="BQ867" s="818"/>
      <c r="BR867" s="54"/>
      <c r="BS867" s="54"/>
      <c r="BT867" s="818"/>
      <c r="BU867" s="818"/>
      <c r="BV867" s="818"/>
      <c r="BW867" s="92"/>
      <c r="BX867" s="92"/>
      <c r="BY867" s="17"/>
      <c r="BZ867" s="17"/>
      <c r="CA867" s="17"/>
      <c r="CB867" s="17"/>
      <c r="CC867" s="17"/>
      <c r="CD867" s="17"/>
    </row>
    <row r="868">
      <c r="A868" s="92"/>
      <c r="B868" s="820"/>
      <c r="O868" s="17"/>
      <c r="P868" s="17"/>
      <c r="Q868" s="17"/>
      <c r="R868" s="17"/>
      <c r="S868" s="813"/>
      <c r="T868" s="17"/>
      <c r="AX868" s="17"/>
      <c r="BB868" s="17"/>
      <c r="BE868" s="17"/>
      <c r="BF868" s="17"/>
      <c r="BG868" s="17"/>
      <c r="BH868" s="17"/>
      <c r="BI868" s="17"/>
      <c r="BJ868" s="17"/>
      <c r="BK868" s="17"/>
      <c r="BL868" s="92"/>
      <c r="BM868" s="92"/>
      <c r="BN868" s="92"/>
      <c r="BO868" s="92"/>
      <c r="BP868" s="92"/>
      <c r="BQ868" s="818"/>
      <c r="BR868" s="54"/>
      <c r="BS868" s="54"/>
      <c r="BT868" s="818"/>
      <c r="BU868" s="818"/>
      <c r="BV868" s="818"/>
      <c r="BW868" s="92"/>
      <c r="BX868" s="92"/>
      <c r="BY868" s="17"/>
      <c r="BZ868" s="17"/>
      <c r="CA868" s="17"/>
      <c r="CB868" s="17"/>
      <c r="CC868" s="17"/>
      <c r="CD868" s="17"/>
    </row>
    <row r="869">
      <c r="A869" s="92"/>
      <c r="B869" s="820"/>
      <c r="O869" s="17"/>
      <c r="P869" s="17"/>
      <c r="Q869" s="17"/>
      <c r="R869" s="17"/>
      <c r="S869" s="813"/>
      <c r="T869" s="17"/>
      <c r="AX869" s="17"/>
      <c r="BB869" s="17"/>
      <c r="BE869" s="17"/>
      <c r="BF869" s="17"/>
      <c r="BG869" s="17"/>
      <c r="BH869" s="17"/>
      <c r="BI869" s="17"/>
      <c r="BJ869" s="17"/>
      <c r="BK869" s="17"/>
      <c r="BL869" s="92"/>
      <c r="BM869" s="92"/>
      <c r="BN869" s="92"/>
      <c r="BO869" s="92"/>
      <c r="BP869" s="92"/>
      <c r="BQ869" s="818"/>
      <c r="BR869" s="54"/>
      <c r="BS869" s="54"/>
      <c r="BT869" s="818"/>
      <c r="BU869" s="818"/>
      <c r="BV869" s="818"/>
      <c r="BW869" s="92"/>
      <c r="BX869" s="92"/>
      <c r="BY869" s="17"/>
      <c r="BZ869" s="17"/>
      <c r="CA869" s="17"/>
      <c r="CB869" s="17"/>
      <c r="CC869" s="17"/>
      <c r="CD869" s="17"/>
    </row>
    <row r="870">
      <c r="A870" s="92"/>
      <c r="B870" s="820"/>
      <c r="O870" s="17"/>
      <c r="P870" s="17"/>
      <c r="Q870" s="17"/>
      <c r="R870" s="17"/>
      <c r="S870" s="813"/>
      <c r="T870" s="17"/>
      <c r="AX870" s="17"/>
      <c r="BB870" s="17"/>
      <c r="BE870" s="17"/>
      <c r="BF870" s="17"/>
      <c r="BG870" s="17"/>
      <c r="BH870" s="17"/>
      <c r="BI870" s="17"/>
      <c r="BJ870" s="17"/>
      <c r="BK870" s="17"/>
      <c r="BL870" s="92"/>
      <c r="BM870" s="92"/>
      <c r="BN870" s="92"/>
      <c r="BO870" s="92"/>
      <c r="BP870" s="92"/>
      <c r="BQ870" s="818"/>
      <c r="BR870" s="54"/>
      <c r="BS870" s="54"/>
      <c r="BT870" s="818"/>
      <c r="BU870" s="818"/>
      <c r="BV870" s="818"/>
      <c r="BW870" s="92"/>
      <c r="BX870" s="92"/>
      <c r="BY870" s="17"/>
      <c r="BZ870" s="17"/>
      <c r="CA870" s="17"/>
      <c r="CB870" s="17"/>
      <c r="CC870" s="17"/>
      <c r="CD870" s="17"/>
    </row>
    <row r="871">
      <c r="A871" s="92"/>
      <c r="B871" s="820"/>
      <c r="O871" s="17"/>
      <c r="P871" s="17"/>
      <c r="Q871" s="17"/>
      <c r="R871" s="17"/>
      <c r="S871" s="813"/>
      <c r="T871" s="17"/>
      <c r="AX871" s="17"/>
      <c r="BB871" s="17"/>
      <c r="BE871" s="17"/>
      <c r="BF871" s="17"/>
      <c r="BG871" s="17"/>
      <c r="BH871" s="17"/>
      <c r="BI871" s="17"/>
      <c r="BJ871" s="17"/>
      <c r="BK871" s="17"/>
      <c r="BL871" s="92"/>
      <c r="BM871" s="92"/>
      <c r="BN871" s="92"/>
      <c r="BO871" s="92"/>
      <c r="BP871" s="92"/>
      <c r="BQ871" s="818"/>
      <c r="BR871" s="54"/>
      <c r="BS871" s="54"/>
      <c r="BT871" s="818"/>
      <c r="BU871" s="818"/>
      <c r="BV871" s="818"/>
      <c r="BW871" s="92"/>
      <c r="BX871" s="92"/>
      <c r="BY871" s="17"/>
      <c r="BZ871" s="17"/>
      <c r="CA871" s="17"/>
      <c r="CB871" s="17"/>
      <c r="CC871" s="17"/>
      <c r="CD871" s="17"/>
    </row>
    <row r="872">
      <c r="A872" s="92"/>
      <c r="B872" s="820"/>
      <c r="O872" s="17"/>
      <c r="P872" s="17"/>
      <c r="Q872" s="17"/>
      <c r="R872" s="17"/>
      <c r="S872" s="813"/>
      <c r="T872" s="17"/>
      <c r="AX872" s="17"/>
      <c r="BB872" s="17"/>
      <c r="BE872" s="17"/>
      <c r="BF872" s="17"/>
      <c r="BG872" s="17"/>
      <c r="BH872" s="17"/>
      <c r="BI872" s="17"/>
      <c r="BJ872" s="17"/>
      <c r="BK872" s="17"/>
      <c r="BL872" s="92"/>
      <c r="BM872" s="92"/>
      <c r="BN872" s="92"/>
      <c r="BO872" s="92"/>
      <c r="BP872" s="92"/>
      <c r="BQ872" s="818"/>
      <c r="BR872" s="54"/>
      <c r="BS872" s="54"/>
      <c r="BT872" s="818"/>
      <c r="BU872" s="818"/>
      <c r="BV872" s="818"/>
      <c r="BW872" s="92"/>
      <c r="BX872" s="92"/>
      <c r="BY872" s="17"/>
      <c r="BZ872" s="17"/>
      <c r="CA872" s="17"/>
      <c r="CB872" s="17"/>
      <c r="CC872" s="17"/>
      <c r="CD872" s="17"/>
    </row>
    <row r="873">
      <c r="A873" s="92"/>
      <c r="B873" s="820"/>
      <c r="O873" s="17"/>
      <c r="P873" s="17"/>
      <c r="Q873" s="17"/>
      <c r="R873" s="17"/>
      <c r="S873" s="813"/>
      <c r="T873" s="17"/>
      <c r="AX873" s="17"/>
      <c r="BB873" s="17"/>
      <c r="BE873" s="17"/>
      <c r="BF873" s="17"/>
      <c r="BG873" s="17"/>
      <c r="BH873" s="17"/>
      <c r="BI873" s="17"/>
      <c r="BJ873" s="17"/>
      <c r="BK873" s="17"/>
      <c r="BL873" s="92"/>
      <c r="BM873" s="92"/>
      <c r="BN873" s="92"/>
      <c r="BO873" s="92"/>
      <c r="BP873" s="92"/>
      <c r="BQ873" s="818"/>
      <c r="BR873" s="54"/>
      <c r="BS873" s="54"/>
      <c r="BT873" s="818"/>
      <c r="BU873" s="818"/>
      <c r="BV873" s="818"/>
      <c r="BW873" s="92"/>
      <c r="BX873" s="92"/>
      <c r="BY873" s="17"/>
      <c r="BZ873" s="17"/>
      <c r="CA873" s="17"/>
      <c r="CB873" s="17"/>
      <c r="CC873" s="17"/>
      <c r="CD873" s="17"/>
    </row>
    <row r="874">
      <c r="A874" s="92"/>
      <c r="B874" s="820"/>
      <c r="O874" s="17"/>
      <c r="P874" s="17"/>
      <c r="Q874" s="17"/>
      <c r="R874" s="17"/>
      <c r="S874" s="813"/>
      <c r="T874" s="17"/>
      <c r="AX874" s="17"/>
      <c r="BB874" s="17"/>
      <c r="BE874" s="17"/>
      <c r="BF874" s="17"/>
      <c r="BG874" s="17"/>
      <c r="BH874" s="17"/>
      <c r="BI874" s="17"/>
      <c r="BJ874" s="17"/>
      <c r="BK874" s="17"/>
      <c r="BL874" s="92"/>
      <c r="BM874" s="92"/>
      <c r="BN874" s="92"/>
      <c r="BO874" s="92"/>
      <c r="BP874" s="92"/>
      <c r="BQ874" s="818"/>
      <c r="BR874" s="54"/>
      <c r="BS874" s="54"/>
      <c r="BT874" s="818"/>
      <c r="BU874" s="818"/>
      <c r="BV874" s="818"/>
      <c r="BW874" s="92"/>
      <c r="BX874" s="92"/>
      <c r="BY874" s="17"/>
      <c r="BZ874" s="17"/>
      <c r="CA874" s="17"/>
      <c r="CB874" s="17"/>
      <c r="CC874" s="17"/>
      <c r="CD874" s="17"/>
    </row>
    <row r="875">
      <c r="A875" s="92"/>
      <c r="B875" s="820"/>
      <c r="O875" s="17"/>
      <c r="P875" s="17"/>
      <c r="Q875" s="17"/>
      <c r="R875" s="17"/>
      <c r="S875" s="813"/>
      <c r="T875" s="17"/>
      <c r="AX875" s="17"/>
      <c r="BB875" s="17"/>
      <c r="BE875" s="17"/>
      <c r="BF875" s="17"/>
      <c r="BG875" s="17"/>
      <c r="BH875" s="17"/>
      <c r="BI875" s="17"/>
      <c r="BJ875" s="17"/>
      <c r="BK875" s="17"/>
      <c r="BL875" s="92"/>
      <c r="BM875" s="92"/>
      <c r="BN875" s="92"/>
      <c r="BO875" s="92"/>
      <c r="BP875" s="92"/>
      <c r="BQ875" s="818"/>
      <c r="BR875" s="54"/>
      <c r="BS875" s="54"/>
      <c r="BT875" s="818"/>
      <c r="BU875" s="818"/>
      <c r="BV875" s="818"/>
      <c r="BW875" s="92"/>
      <c r="BX875" s="92"/>
      <c r="BY875" s="17"/>
      <c r="BZ875" s="17"/>
      <c r="CA875" s="17"/>
      <c r="CB875" s="17"/>
      <c r="CC875" s="17"/>
      <c r="CD875" s="17"/>
    </row>
    <row r="876">
      <c r="A876" s="92"/>
      <c r="B876" s="820"/>
      <c r="O876" s="17"/>
      <c r="P876" s="17"/>
      <c r="Q876" s="17"/>
      <c r="R876" s="17"/>
      <c r="S876" s="813"/>
      <c r="T876" s="17"/>
      <c r="AX876" s="17"/>
      <c r="BB876" s="17"/>
      <c r="BE876" s="17"/>
      <c r="BF876" s="17"/>
      <c r="BG876" s="17"/>
      <c r="BH876" s="17"/>
      <c r="BI876" s="17"/>
      <c r="BJ876" s="17"/>
      <c r="BK876" s="17"/>
      <c r="BL876" s="92"/>
      <c r="BM876" s="92"/>
      <c r="BN876" s="92"/>
      <c r="BO876" s="92"/>
      <c r="BP876" s="92"/>
      <c r="BQ876" s="818"/>
      <c r="BR876" s="54"/>
      <c r="BS876" s="54"/>
      <c r="BT876" s="818"/>
      <c r="BU876" s="818"/>
      <c r="BV876" s="818"/>
      <c r="BW876" s="92"/>
      <c r="BX876" s="92"/>
      <c r="BY876" s="17"/>
      <c r="BZ876" s="17"/>
      <c r="CA876" s="17"/>
      <c r="CB876" s="17"/>
      <c r="CC876" s="17"/>
      <c r="CD876" s="17"/>
    </row>
    <row r="877">
      <c r="A877" s="92"/>
      <c r="B877" s="820"/>
      <c r="O877" s="17"/>
      <c r="P877" s="17"/>
      <c r="Q877" s="17"/>
      <c r="R877" s="17"/>
      <c r="S877" s="813"/>
      <c r="T877" s="17"/>
      <c r="AX877" s="17"/>
      <c r="BB877" s="17"/>
      <c r="BE877" s="17"/>
      <c r="BF877" s="17"/>
      <c r="BG877" s="17"/>
      <c r="BH877" s="17"/>
      <c r="BI877" s="17"/>
      <c r="BJ877" s="17"/>
      <c r="BK877" s="17"/>
      <c r="BL877" s="92"/>
      <c r="BM877" s="92"/>
      <c r="BN877" s="92"/>
      <c r="BO877" s="92"/>
      <c r="BP877" s="92"/>
      <c r="BQ877" s="818"/>
      <c r="BR877" s="54"/>
      <c r="BS877" s="54"/>
      <c r="BT877" s="818"/>
      <c r="BU877" s="818"/>
      <c r="BV877" s="818"/>
      <c r="BW877" s="92"/>
      <c r="BX877" s="92"/>
      <c r="BY877" s="17"/>
      <c r="BZ877" s="17"/>
      <c r="CA877" s="17"/>
      <c r="CB877" s="17"/>
      <c r="CC877" s="17"/>
      <c r="CD877" s="17"/>
    </row>
    <row r="878">
      <c r="A878" s="92"/>
      <c r="B878" s="820"/>
      <c r="O878" s="17"/>
      <c r="P878" s="17"/>
      <c r="Q878" s="17"/>
      <c r="R878" s="17"/>
      <c r="S878" s="813"/>
      <c r="T878" s="17"/>
      <c r="AX878" s="17"/>
      <c r="BB878" s="17"/>
      <c r="BE878" s="17"/>
      <c r="BF878" s="17"/>
      <c r="BG878" s="17"/>
      <c r="BH878" s="17"/>
      <c r="BI878" s="17"/>
      <c r="BJ878" s="17"/>
      <c r="BK878" s="17"/>
      <c r="BL878" s="92"/>
      <c r="BM878" s="92"/>
      <c r="BN878" s="92"/>
      <c r="BO878" s="92"/>
      <c r="BP878" s="92"/>
      <c r="BQ878" s="818"/>
      <c r="BR878" s="54"/>
      <c r="BS878" s="54"/>
      <c r="BT878" s="818"/>
      <c r="BU878" s="818"/>
      <c r="BV878" s="818"/>
      <c r="BW878" s="92"/>
      <c r="BX878" s="92"/>
      <c r="BY878" s="17"/>
      <c r="BZ878" s="17"/>
      <c r="CA878" s="17"/>
      <c r="CB878" s="17"/>
      <c r="CC878" s="17"/>
      <c r="CD878" s="17"/>
    </row>
    <row r="879">
      <c r="A879" s="92"/>
      <c r="B879" s="820"/>
      <c r="O879" s="17"/>
      <c r="P879" s="17"/>
      <c r="Q879" s="17"/>
      <c r="R879" s="17"/>
      <c r="S879" s="813"/>
      <c r="T879" s="17"/>
      <c r="AX879" s="17"/>
      <c r="BB879" s="17"/>
      <c r="BE879" s="17"/>
      <c r="BF879" s="17"/>
      <c r="BG879" s="17"/>
      <c r="BH879" s="17"/>
      <c r="BI879" s="17"/>
      <c r="BJ879" s="17"/>
      <c r="BK879" s="17"/>
      <c r="BL879" s="92"/>
      <c r="BM879" s="92"/>
      <c r="BN879" s="92"/>
      <c r="BO879" s="92"/>
      <c r="BP879" s="92"/>
      <c r="BQ879" s="818"/>
      <c r="BR879" s="54"/>
      <c r="BS879" s="54"/>
      <c r="BT879" s="818"/>
      <c r="BU879" s="818"/>
      <c r="BV879" s="818"/>
      <c r="BW879" s="92"/>
      <c r="BX879" s="92"/>
      <c r="BY879" s="17"/>
      <c r="BZ879" s="17"/>
      <c r="CA879" s="17"/>
      <c r="CB879" s="17"/>
      <c r="CC879" s="17"/>
      <c r="CD879" s="17"/>
    </row>
    <row r="880">
      <c r="A880" s="92"/>
      <c r="B880" s="820"/>
      <c r="O880" s="17"/>
      <c r="P880" s="17"/>
      <c r="Q880" s="17"/>
      <c r="R880" s="17"/>
      <c r="S880" s="813"/>
      <c r="T880" s="17"/>
      <c r="AX880" s="17"/>
      <c r="BB880" s="17"/>
      <c r="BE880" s="17"/>
      <c r="BF880" s="17"/>
      <c r="BG880" s="17"/>
      <c r="BH880" s="17"/>
      <c r="BI880" s="17"/>
      <c r="BJ880" s="17"/>
      <c r="BK880" s="17"/>
      <c r="BL880" s="92"/>
      <c r="BM880" s="92"/>
      <c r="BN880" s="92"/>
      <c r="BO880" s="92"/>
      <c r="BP880" s="92"/>
      <c r="BQ880" s="818"/>
      <c r="BR880" s="54"/>
      <c r="BS880" s="54"/>
      <c r="BT880" s="818"/>
      <c r="BU880" s="818"/>
      <c r="BV880" s="818"/>
      <c r="BW880" s="92"/>
      <c r="BX880" s="92"/>
      <c r="BY880" s="17"/>
      <c r="BZ880" s="17"/>
      <c r="CA880" s="17"/>
      <c r="CB880" s="17"/>
      <c r="CC880" s="17"/>
      <c r="CD880" s="17"/>
    </row>
    <row r="881">
      <c r="A881" s="92"/>
      <c r="B881" s="820"/>
      <c r="O881" s="17"/>
      <c r="P881" s="17"/>
      <c r="Q881" s="17"/>
      <c r="R881" s="17"/>
      <c r="S881" s="813"/>
      <c r="T881" s="17"/>
      <c r="AX881" s="17"/>
      <c r="BB881" s="17"/>
      <c r="BE881" s="17"/>
      <c r="BF881" s="17"/>
      <c r="BG881" s="17"/>
      <c r="BH881" s="17"/>
      <c r="BI881" s="17"/>
      <c r="BJ881" s="17"/>
      <c r="BK881" s="17"/>
      <c r="BL881" s="92"/>
      <c r="BM881" s="92"/>
      <c r="BN881" s="92"/>
      <c r="BO881" s="92"/>
      <c r="BP881" s="92"/>
      <c r="BQ881" s="818"/>
      <c r="BR881" s="54"/>
      <c r="BS881" s="54"/>
      <c r="BT881" s="818"/>
      <c r="BU881" s="818"/>
      <c r="BV881" s="818"/>
      <c r="BW881" s="92"/>
      <c r="BX881" s="92"/>
      <c r="BY881" s="17"/>
      <c r="BZ881" s="17"/>
      <c r="CA881" s="17"/>
      <c r="CB881" s="17"/>
      <c r="CC881" s="17"/>
      <c r="CD881" s="17"/>
    </row>
    <row r="882">
      <c r="A882" s="92"/>
      <c r="B882" s="820"/>
      <c r="O882" s="17"/>
      <c r="P882" s="17"/>
      <c r="Q882" s="17"/>
      <c r="R882" s="17"/>
      <c r="S882" s="813"/>
      <c r="T882" s="17"/>
      <c r="AX882" s="17"/>
      <c r="BB882" s="17"/>
      <c r="BE882" s="17"/>
      <c r="BF882" s="17"/>
      <c r="BG882" s="17"/>
      <c r="BH882" s="17"/>
      <c r="BI882" s="17"/>
      <c r="BJ882" s="17"/>
      <c r="BK882" s="17"/>
      <c r="BL882" s="92"/>
      <c r="BM882" s="92"/>
      <c r="BN882" s="92"/>
      <c r="BO882" s="92"/>
      <c r="BP882" s="92"/>
      <c r="BQ882" s="818"/>
      <c r="BR882" s="54"/>
      <c r="BS882" s="54"/>
      <c r="BT882" s="818"/>
      <c r="BU882" s="818"/>
      <c r="BV882" s="818"/>
      <c r="BW882" s="92"/>
      <c r="BX882" s="92"/>
      <c r="BY882" s="17"/>
      <c r="BZ882" s="17"/>
      <c r="CA882" s="17"/>
      <c r="CB882" s="17"/>
      <c r="CC882" s="17"/>
      <c r="CD882" s="17"/>
    </row>
    <row r="883">
      <c r="A883" s="92"/>
      <c r="B883" s="820"/>
      <c r="O883" s="17"/>
      <c r="P883" s="17"/>
      <c r="Q883" s="17"/>
      <c r="R883" s="17"/>
      <c r="S883" s="813"/>
      <c r="T883" s="17"/>
      <c r="AX883" s="17"/>
      <c r="BB883" s="17"/>
      <c r="BE883" s="17"/>
      <c r="BF883" s="17"/>
      <c r="BG883" s="17"/>
      <c r="BH883" s="17"/>
      <c r="BI883" s="17"/>
      <c r="BJ883" s="17"/>
      <c r="BK883" s="17"/>
      <c r="BL883" s="92"/>
      <c r="BM883" s="92"/>
      <c r="BN883" s="92"/>
      <c r="BO883" s="92"/>
      <c r="BP883" s="92"/>
      <c r="BQ883" s="818"/>
      <c r="BR883" s="54"/>
      <c r="BS883" s="54"/>
      <c r="BT883" s="818"/>
      <c r="BU883" s="818"/>
      <c r="BV883" s="818"/>
      <c r="BW883" s="92"/>
      <c r="BX883" s="92"/>
      <c r="BY883" s="17"/>
      <c r="BZ883" s="17"/>
      <c r="CA883" s="17"/>
      <c r="CB883" s="17"/>
      <c r="CC883" s="17"/>
      <c r="CD883" s="17"/>
    </row>
    <row r="884">
      <c r="A884" s="92"/>
      <c r="B884" s="820"/>
      <c r="O884" s="17"/>
      <c r="P884" s="17"/>
      <c r="Q884" s="17"/>
      <c r="R884" s="17"/>
      <c r="S884" s="813"/>
      <c r="T884" s="17"/>
      <c r="AX884" s="17"/>
      <c r="BB884" s="17"/>
      <c r="BE884" s="17"/>
      <c r="BF884" s="17"/>
      <c r="BG884" s="17"/>
      <c r="BH884" s="17"/>
      <c r="BI884" s="17"/>
      <c r="BJ884" s="17"/>
      <c r="BK884" s="17"/>
      <c r="BL884" s="92"/>
      <c r="BM884" s="92"/>
      <c r="BN884" s="92"/>
      <c r="BO884" s="92"/>
      <c r="BP884" s="92"/>
      <c r="BQ884" s="818"/>
      <c r="BR884" s="54"/>
      <c r="BS884" s="54"/>
      <c r="BT884" s="818"/>
      <c r="BU884" s="818"/>
      <c r="BV884" s="818"/>
      <c r="BW884" s="92"/>
      <c r="BX884" s="92"/>
      <c r="BY884" s="17"/>
      <c r="BZ884" s="17"/>
      <c r="CA884" s="17"/>
      <c r="CB884" s="17"/>
      <c r="CC884" s="17"/>
      <c r="CD884" s="17"/>
    </row>
    <row r="885">
      <c r="A885" s="92"/>
      <c r="B885" s="820"/>
      <c r="O885" s="17"/>
      <c r="P885" s="17"/>
      <c r="Q885" s="17"/>
      <c r="R885" s="17"/>
      <c r="S885" s="813"/>
      <c r="T885" s="17"/>
      <c r="AX885" s="17"/>
      <c r="BB885" s="17"/>
      <c r="BE885" s="17"/>
      <c r="BF885" s="17"/>
      <c r="BG885" s="17"/>
      <c r="BH885" s="17"/>
      <c r="BI885" s="17"/>
      <c r="BJ885" s="17"/>
      <c r="BK885" s="17"/>
      <c r="BL885" s="92"/>
      <c r="BM885" s="92"/>
      <c r="BN885" s="92"/>
      <c r="BO885" s="92"/>
      <c r="BP885" s="92"/>
      <c r="BQ885" s="818"/>
      <c r="BR885" s="54"/>
      <c r="BS885" s="54"/>
      <c r="BT885" s="818"/>
      <c r="BU885" s="818"/>
      <c r="BV885" s="818"/>
      <c r="BW885" s="92"/>
      <c r="BX885" s="92"/>
      <c r="BY885" s="17"/>
      <c r="BZ885" s="17"/>
      <c r="CA885" s="17"/>
      <c r="CB885" s="17"/>
      <c r="CC885" s="17"/>
      <c r="CD885" s="17"/>
    </row>
    <row r="886">
      <c r="A886" s="92"/>
      <c r="B886" s="820"/>
      <c r="O886" s="17"/>
      <c r="P886" s="17"/>
      <c r="Q886" s="17"/>
      <c r="R886" s="17"/>
      <c r="S886" s="813"/>
      <c r="T886" s="17"/>
      <c r="AX886" s="17"/>
      <c r="BB886" s="17"/>
      <c r="BE886" s="17"/>
      <c r="BF886" s="17"/>
      <c r="BG886" s="17"/>
      <c r="BH886" s="17"/>
      <c r="BI886" s="17"/>
      <c r="BJ886" s="17"/>
      <c r="BK886" s="17"/>
      <c r="BL886" s="92"/>
      <c r="BM886" s="92"/>
      <c r="BN886" s="92"/>
      <c r="BO886" s="92"/>
      <c r="BP886" s="92"/>
      <c r="BQ886" s="818"/>
      <c r="BR886" s="54"/>
      <c r="BS886" s="54"/>
      <c r="BT886" s="818"/>
      <c r="BU886" s="818"/>
      <c r="BV886" s="818"/>
      <c r="BW886" s="92"/>
      <c r="BX886" s="92"/>
      <c r="BY886" s="17"/>
      <c r="BZ886" s="17"/>
      <c r="CA886" s="17"/>
      <c r="CB886" s="17"/>
      <c r="CC886" s="17"/>
      <c r="CD886" s="17"/>
    </row>
    <row r="887">
      <c r="A887" s="92"/>
      <c r="B887" s="820"/>
      <c r="O887" s="17"/>
      <c r="P887" s="17"/>
      <c r="Q887" s="17"/>
      <c r="R887" s="17"/>
      <c r="S887" s="813"/>
      <c r="T887" s="17"/>
      <c r="AX887" s="17"/>
      <c r="BB887" s="17"/>
      <c r="BE887" s="17"/>
      <c r="BF887" s="17"/>
      <c r="BG887" s="17"/>
      <c r="BH887" s="17"/>
      <c r="BI887" s="17"/>
      <c r="BJ887" s="17"/>
      <c r="BK887" s="17"/>
      <c r="BL887" s="92"/>
      <c r="BM887" s="92"/>
      <c r="BN887" s="92"/>
      <c r="BO887" s="92"/>
      <c r="BP887" s="92"/>
      <c r="BQ887" s="818"/>
      <c r="BR887" s="54"/>
      <c r="BS887" s="54"/>
      <c r="BT887" s="818"/>
      <c r="BU887" s="818"/>
      <c r="BV887" s="818"/>
      <c r="BW887" s="92"/>
      <c r="BX887" s="92"/>
      <c r="BY887" s="17"/>
      <c r="BZ887" s="17"/>
      <c r="CA887" s="17"/>
      <c r="CB887" s="17"/>
      <c r="CC887" s="17"/>
      <c r="CD887" s="17"/>
    </row>
    <row r="888">
      <c r="A888" s="92"/>
      <c r="B888" s="820"/>
      <c r="O888" s="17"/>
      <c r="P888" s="17"/>
      <c r="Q888" s="17"/>
      <c r="R888" s="17"/>
      <c r="S888" s="813"/>
      <c r="T888" s="17"/>
      <c r="AX888" s="17"/>
      <c r="BB888" s="17"/>
      <c r="BE888" s="17"/>
      <c r="BF888" s="17"/>
      <c r="BG888" s="17"/>
      <c r="BH888" s="17"/>
      <c r="BI888" s="17"/>
      <c r="BJ888" s="17"/>
      <c r="BK888" s="17"/>
      <c r="BL888" s="92"/>
      <c r="BM888" s="92"/>
      <c r="BN888" s="92"/>
      <c r="BO888" s="92"/>
      <c r="BP888" s="92"/>
      <c r="BQ888" s="818"/>
      <c r="BR888" s="54"/>
      <c r="BS888" s="54"/>
      <c r="BT888" s="818"/>
      <c r="BU888" s="818"/>
      <c r="BV888" s="818"/>
      <c r="BW888" s="92"/>
      <c r="BX888" s="92"/>
      <c r="BY888" s="17"/>
      <c r="BZ888" s="17"/>
      <c r="CA888" s="17"/>
      <c r="CB888" s="17"/>
      <c r="CC888" s="17"/>
      <c r="CD888" s="17"/>
    </row>
    <row r="889">
      <c r="A889" s="92"/>
      <c r="B889" s="820"/>
      <c r="O889" s="17"/>
      <c r="P889" s="17"/>
      <c r="Q889" s="17"/>
      <c r="R889" s="17"/>
      <c r="S889" s="813"/>
      <c r="T889" s="17"/>
      <c r="AX889" s="17"/>
      <c r="BB889" s="17"/>
      <c r="BE889" s="17"/>
      <c r="BF889" s="17"/>
      <c r="BG889" s="17"/>
      <c r="BH889" s="17"/>
      <c r="BI889" s="17"/>
      <c r="BJ889" s="17"/>
      <c r="BK889" s="17"/>
      <c r="BL889" s="92"/>
      <c r="BM889" s="92"/>
      <c r="BN889" s="92"/>
      <c r="BO889" s="92"/>
      <c r="BP889" s="92"/>
      <c r="BQ889" s="818"/>
      <c r="BR889" s="54"/>
      <c r="BS889" s="54"/>
      <c r="BT889" s="818"/>
      <c r="BU889" s="818"/>
      <c r="BV889" s="818"/>
      <c r="BW889" s="92"/>
      <c r="BX889" s="92"/>
      <c r="BY889" s="17"/>
      <c r="BZ889" s="17"/>
      <c r="CA889" s="17"/>
      <c r="CB889" s="17"/>
      <c r="CC889" s="17"/>
      <c r="CD889" s="17"/>
    </row>
    <row r="890">
      <c r="A890" s="92"/>
      <c r="B890" s="820"/>
      <c r="O890" s="17"/>
      <c r="P890" s="17"/>
      <c r="Q890" s="17"/>
      <c r="R890" s="17"/>
      <c r="S890" s="813"/>
      <c r="T890" s="17"/>
      <c r="AX890" s="17"/>
      <c r="BB890" s="17"/>
      <c r="BE890" s="17"/>
      <c r="BF890" s="17"/>
      <c r="BG890" s="17"/>
      <c r="BH890" s="17"/>
      <c r="BI890" s="17"/>
      <c r="BJ890" s="17"/>
      <c r="BK890" s="17"/>
      <c r="BL890" s="92"/>
      <c r="BM890" s="92"/>
      <c r="BN890" s="92"/>
      <c r="BO890" s="92"/>
      <c r="BP890" s="92"/>
      <c r="BQ890" s="818"/>
      <c r="BR890" s="54"/>
      <c r="BS890" s="54"/>
      <c r="BT890" s="818"/>
      <c r="BU890" s="818"/>
      <c r="BV890" s="818"/>
      <c r="BW890" s="92"/>
      <c r="BX890" s="92"/>
      <c r="BY890" s="17"/>
      <c r="BZ890" s="17"/>
      <c r="CA890" s="17"/>
      <c r="CB890" s="17"/>
      <c r="CC890" s="17"/>
      <c r="CD890" s="17"/>
    </row>
    <row r="891">
      <c r="A891" s="92"/>
      <c r="B891" s="820"/>
      <c r="O891" s="17"/>
      <c r="P891" s="17"/>
      <c r="Q891" s="17"/>
      <c r="R891" s="17"/>
      <c r="S891" s="813"/>
      <c r="T891" s="17"/>
      <c r="AX891" s="17"/>
      <c r="BB891" s="17"/>
      <c r="BE891" s="17"/>
      <c r="BF891" s="17"/>
      <c r="BG891" s="17"/>
      <c r="BH891" s="17"/>
      <c r="BI891" s="17"/>
      <c r="BJ891" s="17"/>
      <c r="BK891" s="17"/>
      <c r="BL891" s="92"/>
      <c r="BM891" s="92"/>
      <c r="BN891" s="92"/>
      <c r="BO891" s="92"/>
      <c r="BP891" s="92"/>
      <c r="BQ891" s="818"/>
      <c r="BR891" s="54"/>
      <c r="BS891" s="54"/>
      <c r="BT891" s="818"/>
      <c r="BU891" s="818"/>
      <c r="BV891" s="818"/>
      <c r="BW891" s="92"/>
      <c r="BX891" s="92"/>
      <c r="BY891" s="17"/>
      <c r="BZ891" s="17"/>
      <c r="CA891" s="17"/>
      <c r="CB891" s="17"/>
      <c r="CC891" s="17"/>
      <c r="CD891" s="17"/>
    </row>
    <row r="892">
      <c r="A892" s="92"/>
      <c r="B892" s="820"/>
      <c r="O892" s="17"/>
      <c r="P892" s="17"/>
      <c r="Q892" s="17"/>
      <c r="R892" s="17"/>
      <c r="S892" s="813"/>
      <c r="T892" s="17"/>
      <c r="AX892" s="17"/>
      <c r="BB892" s="17"/>
      <c r="BE892" s="17"/>
      <c r="BF892" s="17"/>
      <c r="BG892" s="17"/>
      <c r="BH892" s="17"/>
      <c r="BI892" s="17"/>
      <c r="BJ892" s="17"/>
      <c r="BK892" s="17"/>
      <c r="BL892" s="92"/>
      <c r="BM892" s="92"/>
      <c r="BN892" s="92"/>
      <c r="BO892" s="92"/>
      <c r="BP892" s="92"/>
      <c r="BQ892" s="818"/>
      <c r="BR892" s="54"/>
      <c r="BS892" s="54"/>
      <c r="BT892" s="818"/>
      <c r="BU892" s="818"/>
      <c r="BV892" s="818"/>
      <c r="BW892" s="92"/>
      <c r="BX892" s="92"/>
      <c r="BY892" s="17"/>
      <c r="BZ892" s="17"/>
      <c r="CA892" s="17"/>
      <c r="CB892" s="17"/>
      <c r="CC892" s="17"/>
      <c r="CD892" s="17"/>
    </row>
    <row r="893">
      <c r="A893" s="92"/>
      <c r="B893" s="820"/>
      <c r="O893" s="17"/>
      <c r="P893" s="17"/>
      <c r="Q893" s="17"/>
      <c r="R893" s="17"/>
      <c r="S893" s="813"/>
      <c r="T893" s="17"/>
      <c r="AX893" s="17"/>
      <c r="BB893" s="17"/>
      <c r="BE893" s="17"/>
      <c r="BF893" s="17"/>
      <c r="BG893" s="17"/>
      <c r="BH893" s="17"/>
      <c r="BI893" s="17"/>
      <c r="BJ893" s="17"/>
      <c r="BK893" s="17"/>
      <c r="BL893" s="92"/>
      <c r="BM893" s="92"/>
      <c r="BN893" s="92"/>
      <c r="BO893" s="92"/>
      <c r="BP893" s="92"/>
      <c r="BQ893" s="818"/>
      <c r="BR893" s="54"/>
      <c r="BS893" s="54"/>
      <c r="BT893" s="818"/>
      <c r="BU893" s="818"/>
      <c r="BV893" s="818"/>
      <c r="BW893" s="92"/>
      <c r="BX893" s="92"/>
      <c r="BY893" s="17"/>
      <c r="BZ893" s="17"/>
      <c r="CA893" s="17"/>
      <c r="CB893" s="17"/>
      <c r="CC893" s="17"/>
      <c r="CD893" s="17"/>
    </row>
    <row r="894">
      <c r="A894" s="92"/>
      <c r="B894" s="820"/>
      <c r="O894" s="17"/>
      <c r="P894" s="17"/>
      <c r="Q894" s="17"/>
      <c r="R894" s="17"/>
      <c r="S894" s="813"/>
      <c r="T894" s="17"/>
      <c r="AX894" s="17"/>
      <c r="BB894" s="17"/>
      <c r="BE894" s="17"/>
      <c r="BF894" s="17"/>
      <c r="BG894" s="17"/>
      <c r="BH894" s="17"/>
      <c r="BI894" s="17"/>
      <c r="BJ894" s="17"/>
      <c r="BK894" s="17"/>
      <c r="BL894" s="92"/>
      <c r="BM894" s="92"/>
      <c r="BN894" s="92"/>
      <c r="BO894" s="92"/>
      <c r="BP894" s="92"/>
      <c r="BQ894" s="818"/>
      <c r="BR894" s="54"/>
      <c r="BS894" s="54"/>
      <c r="BT894" s="818"/>
      <c r="BU894" s="818"/>
      <c r="BV894" s="818"/>
      <c r="BW894" s="92"/>
      <c r="BX894" s="92"/>
      <c r="BY894" s="17"/>
      <c r="BZ894" s="17"/>
      <c r="CA894" s="17"/>
      <c r="CB894" s="17"/>
      <c r="CC894" s="17"/>
      <c r="CD894" s="17"/>
    </row>
    <row r="895">
      <c r="A895" s="92"/>
      <c r="B895" s="820"/>
      <c r="O895" s="17"/>
      <c r="P895" s="17"/>
      <c r="Q895" s="17"/>
      <c r="R895" s="17"/>
      <c r="S895" s="813"/>
      <c r="T895" s="17"/>
      <c r="AX895" s="17"/>
      <c r="BB895" s="17"/>
      <c r="BE895" s="17"/>
      <c r="BF895" s="17"/>
      <c r="BG895" s="17"/>
      <c r="BH895" s="17"/>
      <c r="BI895" s="17"/>
      <c r="BJ895" s="17"/>
      <c r="BK895" s="17"/>
      <c r="BL895" s="92"/>
      <c r="BM895" s="92"/>
      <c r="BN895" s="92"/>
      <c r="BO895" s="92"/>
      <c r="BP895" s="92"/>
      <c r="BQ895" s="818"/>
      <c r="BR895" s="54"/>
      <c r="BS895" s="54"/>
      <c r="BT895" s="818"/>
      <c r="BU895" s="818"/>
      <c r="BV895" s="818"/>
      <c r="BW895" s="92"/>
      <c r="BX895" s="92"/>
      <c r="BY895" s="17"/>
      <c r="BZ895" s="17"/>
      <c r="CA895" s="17"/>
      <c r="CB895" s="17"/>
      <c r="CC895" s="17"/>
      <c r="CD895" s="17"/>
    </row>
    <row r="896">
      <c r="A896" s="92"/>
      <c r="B896" s="820"/>
      <c r="O896" s="17"/>
      <c r="P896" s="17"/>
      <c r="Q896" s="17"/>
      <c r="R896" s="17"/>
      <c r="S896" s="813"/>
      <c r="T896" s="17"/>
      <c r="AX896" s="17"/>
      <c r="BB896" s="17"/>
      <c r="BE896" s="17"/>
      <c r="BF896" s="17"/>
      <c r="BG896" s="17"/>
      <c r="BH896" s="17"/>
      <c r="BI896" s="17"/>
      <c r="BJ896" s="17"/>
      <c r="BK896" s="17"/>
      <c r="BL896" s="92"/>
      <c r="BM896" s="92"/>
      <c r="BN896" s="92"/>
      <c r="BO896" s="92"/>
      <c r="BP896" s="92"/>
      <c r="BQ896" s="818"/>
      <c r="BR896" s="54"/>
      <c r="BS896" s="54"/>
      <c r="BT896" s="818"/>
      <c r="BU896" s="818"/>
      <c r="BV896" s="818"/>
      <c r="BW896" s="92"/>
      <c r="BX896" s="92"/>
      <c r="BY896" s="17"/>
      <c r="BZ896" s="17"/>
      <c r="CA896" s="17"/>
      <c r="CB896" s="17"/>
      <c r="CC896" s="17"/>
      <c r="CD896" s="17"/>
    </row>
    <row r="897">
      <c r="A897" s="92"/>
      <c r="B897" s="820"/>
      <c r="O897" s="17"/>
      <c r="P897" s="17"/>
      <c r="Q897" s="17"/>
      <c r="R897" s="17"/>
      <c r="S897" s="813"/>
      <c r="T897" s="17"/>
      <c r="AX897" s="17"/>
      <c r="BB897" s="17"/>
      <c r="BE897" s="17"/>
      <c r="BF897" s="17"/>
      <c r="BG897" s="17"/>
      <c r="BH897" s="17"/>
      <c r="BI897" s="17"/>
      <c r="BJ897" s="17"/>
      <c r="BK897" s="17"/>
      <c r="BL897" s="92"/>
      <c r="BM897" s="92"/>
      <c r="BN897" s="92"/>
      <c r="BO897" s="92"/>
      <c r="BP897" s="92"/>
      <c r="BQ897" s="818"/>
      <c r="BR897" s="54"/>
      <c r="BS897" s="54"/>
      <c r="BT897" s="818"/>
      <c r="BU897" s="818"/>
      <c r="BV897" s="818"/>
      <c r="BW897" s="92"/>
      <c r="BX897" s="92"/>
      <c r="BY897" s="17"/>
      <c r="BZ897" s="17"/>
      <c r="CA897" s="17"/>
      <c r="CB897" s="17"/>
      <c r="CC897" s="17"/>
      <c r="CD897" s="17"/>
    </row>
    <row r="898">
      <c r="A898" s="92"/>
      <c r="B898" s="820"/>
      <c r="O898" s="17"/>
      <c r="P898" s="17"/>
      <c r="Q898" s="17"/>
      <c r="R898" s="17"/>
      <c r="S898" s="813"/>
      <c r="T898" s="17"/>
      <c r="AX898" s="17"/>
      <c r="BB898" s="17"/>
      <c r="BE898" s="17"/>
      <c r="BF898" s="17"/>
      <c r="BG898" s="17"/>
      <c r="BH898" s="17"/>
      <c r="BI898" s="17"/>
      <c r="BJ898" s="17"/>
      <c r="BK898" s="17"/>
      <c r="BL898" s="92"/>
      <c r="BM898" s="92"/>
      <c r="BN898" s="92"/>
      <c r="BO898" s="92"/>
      <c r="BP898" s="92"/>
      <c r="BQ898" s="818"/>
      <c r="BR898" s="54"/>
      <c r="BS898" s="54"/>
      <c r="BT898" s="818"/>
      <c r="BU898" s="818"/>
      <c r="BV898" s="818"/>
      <c r="BW898" s="92"/>
      <c r="BX898" s="92"/>
      <c r="BY898" s="17"/>
      <c r="BZ898" s="17"/>
      <c r="CA898" s="17"/>
      <c r="CB898" s="17"/>
      <c r="CC898" s="17"/>
      <c r="CD898" s="17"/>
    </row>
    <row r="899">
      <c r="A899" s="92"/>
      <c r="B899" s="820"/>
      <c r="O899" s="17"/>
      <c r="P899" s="17"/>
      <c r="Q899" s="17"/>
      <c r="R899" s="17"/>
      <c r="S899" s="813"/>
      <c r="T899" s="17"/>
      <c r="AX899" s="17"/>
      <c r="BB899" s="17"/>
      <c r="BE899" s="17"/>
      <c r="BF899" s="17"/>
      <c r="BG899" s="17"/>
      <c r="BH899" s="17"/>
      <c r="BI899" s="17"/>
      <c r="BJ899" s="17"/>
      <c r="BK899" s="17"/>
      <c r="BL899" s="92"/>
      <c r="BM899" s="92"/>
      <c r="BN899" s="92"/>
      <c r="BO899" s="92"/>
      <c r="BP899" s="92"/>
      <c r="BQ899" s="818"/>
      <c r="BR899" s="54"/>
      <c r="BS899" s="54"/>
      <c r="BT899" s="818"/>
      <c r="BU899" s="818"/>
      <c r="BV899" s="818"/>
      <c r="BW899" s="92"/>
      <c r="BX899" s="92"/>
      <c r="BY899" s="17"/>
      <c r="BZ899" s="17"/>
      <c r="CA899" s="17"/>
      <c r="CB899" s="17"/>
      <c r="CC899" s="17"/>
      <c r="CD899" s="17"/>
    </row>
    <row r="900">
      <c r="A900" s="92"/>
      <c r="B900" s="820"/>
      <c r="O900" s="17"/>
      <c r="P900" s="17"/>
      <c r="Q900" s="17"/>
      <c r="R900" s="17"/>
      <c r="S900" s="813"/>
      <c r="T900" s="17"/>
      <c r="AX900" s="17"/>
      <c r="BB900" s="17"/>
      <c r="BE900" s="17"/>
      <c r="BF900" s="17"/>
      <c r="BG900" s="17"/>
      <c r="BH900" s="17"/>
      <c r="BI900" s="17"/>
      <c r="BJ900" s="17"/>
      <c r="BK900" s="17"/>
      <c r="BL900" s="92"/>
      <c r="BM900" s="92"/>
      <c r="BN900" s="92"/>
      <c r="BO900" s="92"/>
      <c r="BP900" s="92"/>
      <c r="BQ900" s="818"/>
      <c r="BR900" s="54"/>
      <c r="BS900" s="54"/>
      <c r="BT900" s="818"/>
      <c r="BU900" s="818"/>
      <c r="BV900" s="818"/>
      <c r="BW900" s="92"/>
      <c r="BX900" s="92"/>
      <c r="BY900" s="17"/>
      <c r="BZ900" s="17"/>
      <c r="CA900" s="17"/>
      <c r="CB900" s="17"/>
      <c r="CC900" s="17"/>
      <c r="CD900" s="17"/>
    </row>
    <row r="901">
      <c r="A901" s="92"/>
      <c r="B901" s="820"/>
      <c r="O901" s="17"/>
      <c r="P901" s="17"/>
      <c r="Q901" s="17"/>
      <c r="R901" s="17"/>
      <c r="S901" s="813"/>
      <c r="T901" s="17"/>
      <c r="AX901" s="17"/>
      <c r="BB901" s="17"/>
      <c r="BE901" s="17"/>
      <c r="BF901" s="17"/>
      <c r="BG901" s="17"/>
      <c r="BH901" s="17"/>
      <c r="BI901" s="17"/>
      <c r="BJ901" s="17"/>
      <c r="BK901" s="17"/>
      <c r="BL901" s="92"/>
      <c r="BM901" s="92"/>
      <c r="BN901" s="92"/>
      <c r="BO901" s="92"/>
      <c r="BP901" s="92"/>
      <c r="BQ901" s="818"/>
      <c r="BR901" s="54"/>
      <c r="BS901" s="54"/>
      <c r="BT901" s="818"/>
      <c r="BU901" s="818"/>
      <c r="BV901" s="818"/>
      <c r="BW901" s="92"/>
      <c r="BX901" s="92"/>
      <c r="BY901" s="17"/>
      <c r="BZ901" s="17"/>
      <c r="CA901" s="17"/>
      <c r="CB901" s="17"/>
      <c r="CC901" s="17"/>
      <c r="CD901" s="17"/>
    </row>
    <row r="902">
      <c r="A902" s="92"/>
      <c r="B902" s="820"/>
      <c r="O902" s="17"/>
      <c r="P902" s="17"/>
      <c r="Q902" s="17"/>
      <c r="R902" s="17"/>
      <c r="S902" s="813"/>
      <c r="T902" s="17"/>
      <c r="AX902" s="17"/>
      <c r="BB902" s="17"/>
      <c r="BE902" s="17"/>
      <c r="BF902" s="17"/>
      <c r="BG902" s="17"/>
      <c r="BH902" s="17"/>
      <c r="BI902" s="17"/>
      <c r="BJ902" s="17"/>
      <c r="BK902" s="17"/>
      <c r="BL902" s="92"/>
      <c r="BM902" s="92"/>
      <c r="BN902" s="92"/>
      <c r="BO902" s="92"/>
      <c r="BP902" s="92"/>
      <c r="BQ902" s="818"/>
      <c r="BR902" s="54"/>
      <c r="BS902" s="54"/>
      <c r="BT902" s="818"/>
      <c r="BU902" s="818"/>
      <c r="BV902" s="818"/>
      <c r="BW902" s="92"/>
      <c r="BX902" s="92"/>
      <c r="BY902" s="17"/>
      <c r="BZ902" s="17"/>
      <c r="CA902" s="17"/>
      <c r="CB902" s="17"/>
      <c r="CC902" s="17"/>
      <c r="CD902" s="17"/>
    </row>
    <row r="903">
      <c r="A903" s="92"/>
      <c r="B903" s="820"/>
      <c r="O903" s="17"/>
      <c r="P903" s="17"/>
      <c r="Q903" s="17"/>
      <c r="R903" s="17"/>
      <c r="S903" s="813"/>
      <c r="T903" s="17"/>
      <c r="AX903" s="17"/>
      <c r="BB903" s="17"/>
      <c r="BE903" s="17"/>
      <c r="BF903" s="17"/>
      <c r="BG903" s="17"/>
      <c r="BH903" s="17"/>
      <c r="BI903" s="17"/>
      <c r="BJ903" s="17"/>
      <c r="BK903" s="17"/>
      <c r="BL903" s="92"/>
      <c r="BM903" s="92"/>
      <c r="BN903" s="92"/>
      <c r="BO903" s="92"/>
      <c r="BP903" s="92"/>
      <c r="BQ903" s="818"/>
      <c r="BR903" s="54"/>
      <c r="BS903" s="54"/>
      <c r="BT903" s="818"/>
      <c r="BU903" s="818"/>
      <c r="BV903" s="818"/>
      <c r="BW903" s="92"/>
      <c r="BX903" s="92"/>
      <c r="BY903" s="17"/>
      <c r="BZ903" s="17"/>
      <c r="CA903" s="17"/>
      <c r="CB903" s="17"/>
      <c r="CC903" s="17"/>
      <c r="CD903" s="17"/>
    </row>
    <row r="904">
      <c r="A904" s="92"/>
      <c r="B904" s="820"/>
      <c r="O904" s="17"/>
      <c r="P904" s="17"/>
      <c r="Q904" s="17"/>
      <c r="R904" s="17"/>
      <c r="S904" s="813"/>
      <c r="T904" s="17"/>
      <c r="AX904" s="17"/>
      <c r="BB904" s="17"/>
      <c r="BE904" s="17"/>
      <c r="BF904" s="17"/>
      <c r="BG904" s="17"/>
      <c r="BH904" s="17"/>
      <c r="BI904" s="17"/>
      <c r="BJ904" s="17"/>
      <c r="BK904" s="17"/>
      <c r="BL904" s="92"/>
      <c r="BM904" s="92"/>
      <c r="BN904" s="92"/>
      <c r="BO904" s="92"/>
      <c r="BP904" s="92"/>
      <c r="BQ904" s="818"/>
      <c r="BR904" s="54"/>
      <c r="BS904" s="54"/>
      <c r="BT904" s="818"/>
      <c r="BU904" s="818"/>
      <c r="BV904" s="818"/>
      <c r="BW904" s="92"/>
      <c r="BX904" s="92"/>
      <c r="BY904" s="17"/>
      <c r="BZ904" s="17"/>
      <c r="CA904" s="17"/>
      <c r="CB904" s="17"/>
      <c r="CC904" s="17"/>
      <c r="CD904" s="17"/>
    </row>
    <row r="905">
      <c r="A905" s="92"/>
      <c r="B905" s="820"/>
      <c r="O905" s="17"/>
      <c r="P905" s="17"/>
      <c r="Q905" s="17"/>
      <c r="R905" s="17"/>
      <c r="S905" s="813"/>
      <c r="T905" s="17"/>
      <c r="AX905" s="17"/>
      <c r="BB905" s="17"/>
      <c r="BE905" s="17"/>
      <c r="BF905" s="17"/>
      <c r="BG905" s="17"/>
      <c r="BH905" s="17"/>
      <c r="BI905" s="17"/>
      <c r="BJ905" s="17"/>
      <c r="BK905" s="17"/>
      <c r="BL905" s="92"/>
      <c r="BM905" s="92"/>
      <c r="BN905" s="92"/>
      <c r="BO905" s="92"/>
      <c r="BP905" s="92"/>
      <c r="BQ905" s="818"/>
      <c r="BR905" s="54"/>
      <c r="BS905" s="54"/>
      <c r="BT905" s="818"/>
      <c r="BU905" s="818"/>
      <c r="BV905" s="818"/>
      <c r="BW905" s="92"/>
      <c r="BX905" s="92"/>
      <c r="BY905" s="17"/>
      <c r="BZ905" s="17"/>
      <c r="CA905" s="17"/>
      <c r="CB905" s="17"/>
      <c r="CC905" s="17"/>
      <c r="CD905" s="17"/>
    </row>
    <row r="906">
      <c r="A906" s="92"/>
      <c r="B906" s="820"/>
      <c r="O906" s="17"/>
      <c r="P906" s="17"/>
      <c r="Q906" s="17"/>
      <c r="R906" s="17"/>
      <c r="S906" s="813"/>
      <c r="T906" s="17"/>
      <c r="AX906" s="17"/>
      <c r="BB906" s="17"/>
      <c r="BE906" s="17"/>
      <c r="BF906" s="17"/>
      <c r="BG906" s="17"/>
      <c r="BH906" s="17"/>
      <c r="BI906" s="17"/>
      <c r="BJ906" s="17"/>
      <c r="BK906" s="17"/>
      <c r="BL906" s="92"/>
      <c r="BM906" s="92"/>
      <c r="BN906" s="92"/>
      <c r="BO906" s="92"/>
      <c r="BP906" s="92"/>
      <c r="BQ906" s="818"/>
      <c r="BR906" s="54"/>
      <c r="BS906" s="54"/>
      <c r="BT906" s="818"/>
      <c r="BU906" s="818"/>
      <c r="BV906" s="818"/>
      <c r="BW906" s="92"/>
      <c r="BX906" s="92"/>
      <c r="BY906" s="17"/>
      <c r="BZ906" s="17"/>
      <c r="CA906" s="17"/>
      <c r="CB906" s="17"/>
      <c r="CC906" s="17"/>
      <c r="CD906" s="17"/>
    </row>
    <row r="907">
      <c r="A907" s="92"/>
      <c r="B907" s="820"/>
      <c r="O907" s="17"/>
      <c r="P907" s="17"/>
      <c r="Q907" s="17"/>
      <c r="R907" s="17"/>
      <c r="S907" s="813"/>
      <c r="T907" s="17"/>
      <c r="AX907" s="17"/>
      <c r="BB907" s="17"/>
      <c r="BE907" s="17"/>
      <c r="BF907" s="17"/>
      <c r="BG907" s="17"/>
      <c r="BH907" s="17"/>
      <c r="BI907" s="17"/>
      <c r="BJ907" s="17"/>
      <c r="BK907" s="17"/>
      <c r="BL907" s="92"/>
      <c r="BM907" s="92"/>
      <c r="BN907" s="92"/>
      <c r="BO907" s="92"/>
      <c r="BP907" s="92"/>
      <c r="BQ907" s="818"/>
      <c r="BR907" s="54"/>
      <c r="BS907" s="54"/>
      <c r="BT907" s="818"/>
      <c r="BU907" s="818"/>
      <c r="BV907" s="818"/>
      <c r="BW907" s="92"/>
      <c r="BX907" s="92"/>
      <c r="BY907" s="17"/>
      <c r="BZ907" s="17"/>
      <c r="CA907" s="17"/>
      <c r="CB907" s="17"/>
      <c r="CC907" s="17"/>
      <c r="CD907" s="17"/>
    </row>
    <row r="908">
      <c r="A908" s="92"/>
      <c r="B908" s="820"/>
      <c r="O908" s="17"/>
      <c r="P908" s="17"/>
      <c r="Q908" s="17"/>
      <c r="R908" s="17"/>
      <c r="S908" s="813"/>
      <c r="T908" s="17"/>
      <c r="AX908" s="17"/>
      <c r="BB908" s="17"/>
      <c r="BE908" s="17"/>
      <c r="BF908" s="17"/>
      <c r="BG908" s="17"/>
      <c r="BH908" s="17"/>
      <c r="BI908" s="17"/>
      <c r="BJ908" s="17"/>
      <c r="BK908" s="17"/>
      <c r="BL908" s="92"/>
      <c r="BM908" s="92"/>
      <c r="BN908" s="92"/>
      <c r="BO908" s="92"/>
      <c r="BP908" s="92"/>
      <c r="BQ908" s="818"/>
      <c r="BR908" s="54"/>
      <c r="BS908" s="54"/>
      <c r="BT908" s="818"/>
      <c r="BU908" s="818"/>
      <c r="BV908" s="818"/>
      <c r="BW908" s="92"/>
      <c r="BX908" s="92"/>
      <c r="BY908" s="17"/>
      <c r="BZ908" s="17"/>
      <c r="CA908" s="17"/>
      <c r="CB908" s="17"/>
      <c r="CC908" s="17"/>
      <c r="CD908" s="17"/>
    </row>
    <row r="909">
      <c r="A909" s="92"/>
      <c r="B909" s="820"/>
      <c r="O909" s="17"/>
      <c r="P909" s="17"/>
      <c r="Q909" s="17"/>
      <c r="R909" s="17"/>
      <c r="S909" s="813"/>
      <c r="T909" s="17"/>
      <c r="AX909" s="17"/>
      <c r="BB909" s="17"/>
      <c r="BE909" s="17"/>
      <c r="BF909" s="17"/>
      <c r="BG909" s="17"/>
      <c r="BH909" s="17"/>
      <c r="BI909" s="17"/>
      <c r="BJ909" s="17"/>
      <c r="BK909" s="17"/>
      <c r="BL909" s="92"/>
      <c r="BM909" s="92"/>
      <c r="BN909" s="92"/>
      <c r="BO909" s="92"/>
      <c r="BP909" s="92"/>
      <c r="BQ909" s="818"/>
      <c r="BR909" s="54"/>
      <c r="BS909" s="54"/>
      <c r="BT909" s="818"/>
      <c r="BU909" s="818"/>
      <c r="BV909" s="818"/>
      <c r="BW909" s="92"/>
      <c r="BX909" s="92"/>
      <c r="BY909" s="17"/>
      <c r="BZ909" s="17"/>
      <c r="CA909" s="17"/>
      <c r="CB909" s="17"/>
      <c r="CC909" s="17"/>
      <c r="CD909" s="17"/>
    </row>
    <row r="910">
      <c r="A910" s="92"/>
      <c r="B910" s="820"/>
      <c r="O910" s="17"/>
      <c r="P910" s="17"/>
      <c r="Q910" s="17"/>
      <c r="R910" s="17"/>
      <c r="S910" s="813"/>
      <c r="T910" s="17"/>
      <c r="AX910" s="17"/>
      <c r="BB910" s="17"/>
      <c r="BE910" s="17"/>
      <c r="BF910" s="17"/>
      <c r="BG910" s="17"/>
      <c r="BH910" s="17"/>
      <c r="BI910" s="17"/>
      <c r="BJ910" s="17"/>
      <c r="BK910" s="17"/>
      <c r="BL910" s="92"/>
      <c r="BM910" s="92"/>
      <c r="BN910" s="92"/>
      <c r="BO910" s="92"/>
      <c r="BP910" s="92"/>
      <c r="BQ910" s="818"/>
      <c r="BR910" s="54"/>
      <c r="BS910" s="54"/>
      <c r="BT910" s="818"/>
      <c r="BU910" s="818"/>
      <c r="BV910" s="818"/>
      <c r="BW910" s="92"/>
      <c r="BX910" s="92"/>
      <c r="BY910" s="17"/>
      <c r="BZ910" s="17"/>
      <c r="CA910" s="17"/>
      <c r="CB910" s="17"/>
      <c r="CC910" s="17"/>
      <c r="CD910" s="17"/>
    </row>
    <row r="911">
      <c r="A911" s="92"/>
      <c r="B911" s="820"/>
      <c r="O911" s="17"/>
      <c r="P911" s="17"/>
      <c r="Q911" s="17"/>
      <c r="R911" s="17"/>
      <c r="S911" s="813"/>
      <c r="T911" s="17"/>
      <c r="AX911" s="17"/>
      <c r="BB911" s="17"/>
      <c r="BE911" s="17"/>
      <c r="BF911" s="17"/>
      <c r="BG911" s="17"/>
      <c r="BH911" s="17"/>
      <c r="BI911" s="17"/>
      <c r="BJ911" s="17"/>
      <c r="BK911" s="17"/>
      <c r="BL911" s="92"/>
      <c r="BM911" s="92"/>
      <c r="BN911" s="92"/>
      <c r="BO911" s="92"/>
      <c r="BP911" s="92"/>
      <c r="BQ911" s="818"/>
      <c r="BR911" s="54"/>
      <c r="BS911" s="54"/>
      <c r="BT911" s="818"/>
      <c r="BU911" s="818"/>
      <c r="BV911" s="818"/>
      <c r="BW911" s="92"/>
      <c r="BX911" s="92"/>
      <c r="BY911" s="17"/>
      <c r="BZ911" s="17"/>
      <c r="CA911" s="17"/>
      <c r="CB911" s="17"/>
      <c r="CC911" s="17"/>
      <c r="CD911" s="17"/>
    </row>
    <row r="912">
      <c r="A912" s="92"/>
      <c r="B912" s="820"/>
      <c r="O912" s="17"/>
      <c r="P912" s="17"/>
      <c r="Q912" s="17"/>
      <c r="R912" s="17"/>
      <c r="S912" s="813"/>
      <c r="T912" s="17"/>
      <c r="AX912" s="17"/>
      <c r="BB912" s="17"/>
      <c r="BE912" s="17"/>
      <c r="BF912" s="17"/>
      <c r="BG912" s="17"/>
      <c r="BH912" s="17"/>
      <c r="BI912" s="17"/>
      <c r="BJ912" s="17"/>
      <c r="BK912" s="17"/>
      <c r="BL912" s="92"/>
      <c r="BM912" s="92"/>
      <c r="BN912" s="92"/>
      <c r="BO912" s="92"/>
      <c r="BP912" s="92"/>
      <c r="BQ912" s="818"/>
      <c r="BR912" s="54"/>
      <c r="BS912" s="54"/>
      <c r="BT912" s="818"/>
      <c r="BU912" s="818"/>
      <c r="BV912" s="818"/>
      <c r="BW912" s="92"/>
      <c r="BX912" s="92"/>
      <c r="BY912" s="17"/>
      <c r="BZ912" s="17"/>
      <c r="CA912" s="17"/>
      <c r="CB912" s="17"/>
      <c r="CC912" s="17"/>
      <c r="CD912" s="17"/>
    </row>
    <row r="913">
      <c r="A913" s="92"/>
      <c r="B913" s="820"/>
      <c r="O913" s="17"/>
      <c r="P913" s="17"/>
      <c r="Q913" s="17"/>
      <c r="R913" s="17"/>
      <c r="S913" s="813"/>
      <c r="T913" s="17"/>
      <c r="AX913" s="17"/>
      <c r="BB913" s="17"/>
      <c r="BE913" s="17"/>
      <c r="BF913" s="17"/>
      <c r="BG913" s="17"/>
      <c r="BH913" s="17"/>
      <c r="BI913" s="17"/>
      <c r="BJ913" s="17"/>
      <c r="BK913" s="17"/>
      <c r="BL913" s="92"/>
      <c r="BM913" s="92"/>
      <c r="BN913" s="92"/>
      <c r="BO913" s="92"/>
      <c r="BP913" s="92"/>
      <c r="BQ913" s="818"/>
      <c r="BR913" s="54"/>
      <c r="BS913" s="54"/>
      <c r="BT913" s="818"/>
      <c r="BU913" s="818"/>
      <c r="BV913" s="818"/>
      <c r="BW913" s="92"/>
      <c r="BX913" s="92"/>
      <c r="BY913" s="17"/>
      <c r="BZ913" s="17"/>
      <c r="CA913" s="17"/>
      <c r="CB913" s="17"/>
      <c r="CC913" s="17"/>
      <c r="CD913" s="17"/>
    </row>
    <row r="914">
      <c r="A914" s="92"/>
      <c r="B914" s="820"/>
      <c r="O914" s="17"/>
      <c r="P914" s="17"/>
      <c r="Q914" s="17"/>
      <c r="R914" s="17"/>
      <c r="S914" s="813"/>
      <c r="T914" s="17"/>
      <c r="AX914" s="17"/>
      <c r="BB914" s="17"/>
      <c r="BE914" s="17"/>
      <c r="BF914" s="17"/>
      <c r="BG914" s="17"/>
      <c r="BH914" s="17"/>
      <c r="BI914" s="17"/>
      <c r="BJ914" s="17"/>
      <c r="BK914" s="17"/>
      <c r="BL914" s="92"/>
      <c r="BM914" s="92"/>
      <c r="BN914" s="92"/>
      <c r="BO914" s="92"/>
      <c r="BP914" s="92"/>
      <c r="BQ914" s="818"/>
      <c r="BR914" s="54"/>
      <c r="BS914" s="54"/>
      <c r="BT914" s="818"/>
      <c r="BU914" s="818"/>
      <c r="BV914" s="818"/>
      <c r="BW914" s="92"/>
      <c r="BX914" s="92"/>
      <c r="BY914" s="17"/>
      <c r="BZ914" s="17"/>
      <c r="CA914" s="17"/>
      <c r="CB914" s="17"/>
      <c r="CC914" s="17"/>
      <c r="CD914" s="17"/>
    </row>
    <row r="915">
      <c r="A915" s="92"/>
      <c r="B915" s="820"/>
      <c r="O915" s="17"/>
      <c r="P915" s="17"/>
      <c r="Q915" s="17"/>
      <c r="R915" s="17"/>
      <c r="S915" s="813"/>
      <c r="T915" s="17"/>
      <c r="AX915" s="17"/>
      <c r="BB915" s="17"/>
      <c r="BE915" s="17"/>
      <c r="BF915" s="17"/>
      <c r="BG915" s="17"/>
      <c r="BH915" s="17"/>
      <c r="BI915" s="17"/>
      <c r="BJ915" s="17"/>
      <c r="BK915" s="17"/>
      <c r="BL915" s="92"/>
      <c r="BM915" s="92"/>
      <c r="BN915" s="92"/>
      <c r="BO915" s="92"/>
      <c r="BP915" s="92"/>
      <c r="BQ915" s="818"/>
      <c r="BR915" s="54"/>
      <c r="BS915" s="54"/>
      <c r="BT915" s="818"/>
      <c r="BU915" s="818"/>
      <c r="BV915" s="818"/>
      <c r="BW915" s="92"/>
      <c r="BX915" s="92"/>
      <c r="BY915" s="17"/>
      <c r="BZ915" s="17"/>
      <c r="CA915" s="17"/>
      <c r="CB915" s="17"/>
      <c r="CC915" s="17"/>
      <c r="CD915" s="17"/>
    </row>
    <row r="916">
      <c r="A916" s="92"/>
      <c r="B916" s="820"/>
      <c r="O916" s="17"/>
      <c r="P916" s="17"/>
      <c r="Q916" s="17"/>
      <c r="R916" s="17"/>
      <c r="S916" s="813"/>
      <c r="T916" s="17"/>
      <c r="AX916" s="17"/>
      <c r="BB916" s="17"/>
      <c r="BE916" s="17"/>
      <c r="BF916" s="17"/>
      <c r="BG916" s="17"/>
      <c r="BH916" s="17"/>
      <c r="BI916" s="17"/>
      <c r="BJ916" s="17"/>
      <c r="BK916" s="17"/>
      <c r="BL916" s="92"/>
      <c r="BM916" s="92"/>
      <c r="BN916" s="92"/>
      <c r="BO916" s="92"/>
      <c r="BP916" s="92"/>
      <c r="BQ916" s="818"/>
      <c r="BR916" s="54"/>
      <c r="BS916" s="54"/>
      <c r="BT916" s="818"/>
      <c r="BU916" s="818"/>
      <c r="BV916" s="818"/>
      <c r="BW916" s="92"/>
      <c r="BX916" s="92"/>
      <c r="BY916" s="17"/>
      <c r="BZ916" s="17"/>
      <c r="CA916" s="17"/>
      <c r="CB916" s="17"/>
      <c r="CC916" s="17"/>
      <c r="CD916" s="17"/>
    </row>
    <row r="917">
      <c r="A917" s="92"/>
      <c r="B917" s="820"/>
      <c r="O917" s="17"/>
      <c r="P917" s="17"/>
      <c r="Q917" s="17"/>
      <c r="R917" s="17"/>
      <c r="S917" s="813"/>
      <c r="T917" s="17"/>
      <c r="AX917" s="17"/>
      <c r="BB917" s="17"/>
      <c r="BE917" s="17"/>
      <c r="BF917" s="17"/>
      <c r="BG917" s="17"/>
      <c r="BH917" s="17"/>
      <c r="BI917" s="17"/>
      <c r="BJ917" s="17"/>
      <c r="BK917" s="17"/>
      <c r="BL917" s="92"/>
      <c r="BM917" s="92"/>
      <c r="BN917" s="92"/>
      <c r="BO917" s="92"/>
      <c r="BP917" s="92"/>
      <c r="BQ917" s="818"/>
      <c r="BR917" s="54"/>
      <c r="BS917" s="54"/>
      <c r="BT917" s="818"/>
      <c r="BU917" s="818"/>
      <c r="BV917" s="818"/>
      <c r="BW917" s="92"/>
      <c r="BX917" s="92"/>
      <c r="BY917" s="17"/>
      <c r="BZ917" s="17"/>
      <c r="CA917" s="17"/>
      <c r="CB917" s="17"/>
      <c r="CC917" s="17"/>
      <c r="CD917" s="17"/>
    </row>
    <row r="918">
      <c r="A918" s="92"/>
      <c r="B918" s="820"/>
      <c r="O918" s="17"/>
      <c r="P918" s="17"/>
      <c r="Q918" s="17"/>
      <c r="R918" s="17"/>
      <c r="S918" s="813"/>
      <c r="T918" s="17"/>
      <c r="AX918" s="17"/>
      <c r="BB918" s="17"/>
      <c r="BE918" s="17"/>
      <c r="BF918" s="17"/>
      <c r="BG918" s="17"/>
      <c r="BH918" s="17"/>
      <c r="BI918" s="17"/>
      <c r="BJ918" s="17"/>
      <c r="BK918" s="17"/>
      <c r="BL918" s="92"/>
      <c r="BM918" s="92"/>
      <c r="BN918" s="92"/>
      <c r="BO918" s="92"/>
      <c r="BP918" s="92"/>
      <c r="BQ918" s="818"/>
      <c r="BR918" s="54"/>
      <c r="BS918" s="54"/>
      <c r="BT918" s="818"/>
      <c r="BU918" s="818"/>
      <c r="BV918" s="818"/>
      <c r="BW918" s="92"/>
      <c r="BX918" s="92"/>
      <c r="BY918" s="17"/>
      <c r="BZ918" s="17"/>
      <c r="CA918" s="17"/>
      <c r="CB918" s="17"/>
      <c r="CC918" s="17"/>
      <c r="CD918" s="17"/>
    </row>
    <row r="919">
      <c r="A919" s="92"/>
      <c r="B919" s="820"/>
      <c r="O919" s="17"/>
      <c r="P919" s="17"/>
      <c r="Q919" s="17"/>
      <c r="R919" s="17"/>
      <c r="S919" s="813"/>
      <c r="T919" s="17"/>
      <c r="AX919" s="17"/>
      <c r="BB919" s="17"/>
      <c r="BE919" s="17"/>
      <c r="BF919" s="17"/>
      <c r="BG919" s="17"/>
      <c r="BH919" s="17"/>
      <c r="BI919" s="17"/>
      <c r="BJ919" s="17"/>
      <c r="BK919" s="17"/>
      <c r="BL919" s="92"/>
      <c r="BM919" s="92"/>
      <c r="BN919" s="92"/>
      <c r="BO919" s="92"/>
      <c r="BP919" s="92"/>
      <c r="BQ919" s="818"/>
      <c r="BR919" s="54"/>
      <c r="BS919" s="54"/>
      <c r="BT919" s="818"/>
      <c r="BU919" s="818"/>
      <c r="BV919" s="818"/>
      <c r="BW919" s="92"/>
      <c r="BX919" s="92"/>
      <c r="BY919" s="17"/>
      <c r="BZ919" s="17"/>
      <c r="CA919" s="17"/>
      <c r="CB919" s="17"/>
      <c r="CC919" s="17"/>
      <c r="CD919" s="17"/>
    </row>
    <row r="920">
      <c r="A920" s="92"/>
      <c r="B920" s="820"/>
      <c r="O920" s="17"/>
      <c r="P920" s="17"/>
      <c r="Q920" s="17"/>
      <c r="R920" s="17"/>
      <c r="S920" s="813"/>
      <c r="T920" s="17"/>
      <c r="AX920" s="17"/>
      <c r="BB920" s="17"/>
      <c r="BE920" s="17"/>
      <c r="BF920" s="17"/>
      <c r="BG920" s="17"/>
      <c r="BH920" s="17"/>
      <c r="BI920" s="17"/>
      <c r="BJ920" s="17"/>
      <c r="BK920" s="17"/>
      <c r="BL920" s="92"/>
      <c r="BM920" s="92"/>
      <c r="BN920" s="92"/>
      <c r="BO920" s="92"/>
      <c r="BP920" s="92"/>
      <c r="BQ920" s="818"/>
      <c r="BR920" s="54"/>
      <c r="BS920" s="54"/>
      <c r="BT920" s="818"/>
      <c r="BU920" s="818"/>
      <c r="BV920" s="818"/>
      <c r="BW920" s="92"/>
      <c r="BX920" s="92"/>
      <c r="BY920" s="17"/>
      <c r="BZ920" s="17"/>
      <c r="CA920" s="17"/>
      <c r="CB920" s="17"/>
      <c r="CC920" s="17"/>
      <c r="CD920" s="17"/>
    </row>
    <row r="921">
      <c r="A921" s="92"/>
      <c r="B921" s="820"/>
      <c r="O921" s="17"/>
      <c r="P921" s="17"/>
      <c r="Q921" s="17"/>
      <c r="R921" s="17"/>
      <c r="S921" s="813"/>
      <c r="T921" s="17"/>
      <c r="AX921" s="17"/>
      <c r="BB921" s="17"/>
      <c r="BE921" s="17"/>
      <c r="BF921" s="17"/>
      <c r="BG921" s="17"/>
      <c r="BH921" s="17"/>
      <c r="BI921" s="17"/>
      <c r="BJ921" s="17"/>
      <c r="BK921" s="17"/>
      <c r="BL921" s="92"/>
      <c r="BM921" s="92"/>
      <c r="BN921" s="92"/>
      <c r="BO921" s="92"/>
      <c r="BP921" s="92"/>
      <c r="BQ921" s="818"/>
      <c r="BR921" s="54"/>
      <c r="BS921" s="54"/>
      <c r="BT921" s="818"/>
      <c r="BU921" s="818"/>
      <c r="BV921" s="818"/>
      <c r="BW921" s="92"/>
      <c r="BX921" s="92"/>
      <c r="BY921" s="17"/>
      <c r="BZ921" s="17"/>
      <c r="CA921" s="17"/>
      <c r="CB921" s="17"/>
      <c r="CC921" s="17"/>
      <c r="CD921" s="17"/>
    </row>
    <row r="922">
      <c r="A922" s="92"/>
      <c r="B922" s="820"/>
      <c r="O922" s="17"/>
      <c r="P922" s="17"/>
      <c r="Q922" s="17"/>
      <c r="R922" s="17"/>
      <c r="S922" s="813"/>
      <c r="T922" s="17"/>
      <c r="AX922" s="17"/>
      <c r="BB922" s="17"/>
      <c r="BE922" s="17"/>
      <c r="BF922" s="17"/>
      <c r="BG922" s="17"/>
      <c r="BH922" s="17"/>
      <c r="BI922" s="17"/>
      <c r="BJ922" s="17"/>
      <c r="BK922" s="17"/>
      <c r="BL922" s="92"/>
      <c r="BM922" s="92"/>
      <c r="BN922" s="92"/>
      <c r="BO922" s="92"/>
      <c r="BP922" s="92"/>
      <c r="BQ922" s="818"/>
      <c r="BR922" s="54"/>
      <c r="BS922" s="54"/>
      <c r="BT922" s="818"/>
      <c r="BU922" s="818"/>
      <c r="BV922" s="818"/>
      <c r="BW922" s="92"/>
      <c r="BX922" s="92"/>
      <c r="BY922" s="17"/>
      <c r="BZ922" s="17"/>
      <c r="CA922" s="17"/>
      <c r="CB922" s="17"/>
      <c r="CC922" s="17"/>
      <c r="CD922" s="17"/>
    </row>
    <row r="923">
      <c r="A923" s="92"/>
      <c r="B923" s="820"/>
      <c r="O923" s="17"/>
      <c r="P923" s="17"/>
      <c r="Q923" s="17"/>
      <c r="R923" s="17"/>
      <c r="S923" s="813"/>
      <c r="T923" s="17"/>
      <c r="AX923" s="17"/>
      <c r="BB923" s="17"/>
      <c r="BE923" s="17"/>
      <c r="BF923" s="17"/>
      <c r="BG923" s="17"/>
      <c r="BH923" s="17"/>
      <c r="BI923" s="17"/>
      <c r="BJ923" s="17"/>
      <c r="BK923" s="17"/>
      <c r="BL923" s="92"/>
      <c r="BM923" s="92"/>
      <c r="BN923" s="92"/>
      <c r="BO923" s="92"/>
      <c r="BP923" s="92"/>
      <c r="BQ923" s="818"/>
      <c r="BR923" s="54"/>
      <c r="BS923" s="54"/>
      <c r="BT923" s="818"/>
      <c r="BU923" s="818"/>
      <c r="BV923" s="818"/>
      <c r="BW923" s="92"/>
      <c r="BX923" s="92"/>
      <c r="BY923" s="17"/>
      <c r="BZ923" s="17"/>
      <c r="CA923" s="17"/>
      <c r="CB923" s="17"/>
      <c r="CC923" s="17"/>
      <c r="CD923" s="17"/>
    </row>
    <row r="924">
      <c r="A924" s="92"/>
      <c r="B924" s="820"/>
      <c r="O924" s="17"/>
      <c r="P924" s="17"/>
      <c r="Q924" s="17"/>
      <c r="R924" s="17"/>
      <c r="S924" s="813"/>
      <c r="T924" s="17"/>
      <c r="AX924" s="17"/>
      <c r="BB924" s="17"/>
      <c r="BE924" s="17"/>
      <c r="BF924" s="17"/>
      <c r="BG924" s="17"/>
      <c r="BH924" s="17"/>
      <c r="BI924" s="17"/>
      <c r="BJ924" s="17"/>
      <c r="BK924" s="17"/>
      <c r="BL924" s="92"/>
      <c r="BM924" s="92"/>
      <c r="BN924" s="92"/>
      <c r="BO924" s="92"/>
      <c r="BP924" s="92"/>
      <c r="BQ924" s="818"/>
      <c r="BR924" s="54"/>
      <c r="BS924" s="54"/>
      <c r="BT924" s="818"/>
      <c r="BU924" s="818"/>
      <c r="BV924" s="818"/>
      <c r="BW924" s="92"/>
      <c r="BX924" s="92"/>
      <c r="BY924" s="17"/>
      <c r="BZ924" s="17"/>
      <c r="CA924" s="17"/>
      <c r="CB924" s="17"/>
      <c r="CC924" s="17"/>
      <c r="CD924" s="17"/>
    </row>
    <row r="925">
      <c r="A925" s="92"/>
      <c r="B925" s="820"/>
      <c r="O925" s="17"/>
      <c r="P925" s="17"/>
      <c r="Q925" s="17"/>
      <c r="R925" s="17"/>
      <c r="S925" s="813"/>
      <c r="T925" s="17"/>
      <c r="AX925" s="17"/>
      <c r="BB925" s="17"/>
      <c r="BE925" s="17"/>
      <c r="BF925" s="17"/>
      <c r="BG925" s="17"/>
      <c r="BH925" s="17"/>
      <c r="BI925" s="17"/>
      <c r="BJ925" s="17"/>
      <c r="BK925" s="17"/>
      <c r="BL925" s="92"/>
      <c r="BM925" s="92"/>
      <c r="BN925" s="92"/>
      <c r="BO925" s="92"/>
      <c r="BP925" s="92"/>
      <c r="BQ925" s="818"/>
      <c r="BR925" s="54"/>
      <c r="BS925" s="54"/>
      <c r="BT925" s="818"/>
      <c r="BU925" s="818"/>
      <c r="BV925" s="818"/>
      <c r="BW925" s="92"/>
      <c r="BX925" s="92"/>
      <c r="BY925" s="17"/>
      <c r="BZ925" s="17"/>
      <c r="CA925" s="17"/>
      <c r="CB925" s="17"/>
      <c r="CC925" s="17"/>
      <c r="CD925" s="17"/>
    </row>
    <row r="926">
      <c r="A926" s="92"/>
      <c r="B926" s="820"/>
      <c r="O926" s="17"/>
      <c r="P926" s="17"/>
      <c r="Q926" s="17"/>
      <c r="R926" s="17"/>
      <c r="S926" s="813"/>
      <c r="T926" s="17"/>
      <c r="AX926" s="17"/>
      <c r="BB926" s="17"/>
      <c r="BE926" s="17"/>
      <c r="BF926" s="17"/>
      <c r="BG926" s="17"/>
      <c r="BH926" s="17"/>
      <c r="BI926" s="17"/>
      <c r="BJ926" s="17"/>
      <c r="BK926" s="17"/>
      <c r="BL926" s="92"/>
      <c r="BM926" s="92"/>
      <c r="BN926" s="92"/>
      <c r="BO926" s="92"/>
      <c r="BP926" s="92"/>
      <c r="BQ926" s="818"/>
      <c r="BR926" s="54"/>
      <c r="BS926" s="54"/>
      <c r="BT926" s="818"/>
      <c r="BU926" s="818"/>
      <c r="BV926" s="818"/>
      <c r="BW926" s="92"/>
      <c r="BX926" s="92"/>
      <c r="BY926" s="17"/>
      <c r="BZ926" s="17"/>
      <c r="CA926" s="17"/>
      <c r="CB926" s="17"/>
      <c r="CC926" s="17"/>
      <c r="CD926" s="17"/>
    </row>
    <row r="927">
      <c r="A927" s="92"/>
      <c r="B927" s="820"/>
      <c r="O927" s="17"/>
      <c r="P927" s="17"/>
      <c r="Q927" s="17"/>
      <c r="R927" s="17"/>
      <c r="S927" s="813"/>
      <c r="T927" s="17"/>
      <c r="AX927" s="17"/>
      <c r="BB927" s="17"/>
      <c r="BE927" s="17"/>
      <c r="BF927" s="17"/>
      <c r="BG927" s="17"/>
      <c r="BH927" s="17"/>
      <c r="BI927" s="17"/>
      <c r="BJ927" s="17"/>
      <c r="BK927" s="17"/>
      <c r="BL927" s="92"/>
      <c r="BM927" s="92"/>
      <c r="BN927" s="92"/>
      <c r="BO927" s="92"/>
      <c r="BP927" s="92"/>
      <c r="BQ927" s="818"/>
      <c r="BR927" s="54"/>
      <c r="BS927" s="54"/>
      <c r="BT927" s="818"/>
      <c r="BU927" s="818"/>
      <c r="BV927" s="818"/>
      <c r="BW927" s="92"/>
      <c r="BX927" s="92"/>
      <c r="BY927" s="17"/>
      <c r="BZ927" s="17"/>
      <c r="CA927" s="17"/>
      <c r="CB927" s="17"/>
      <c r="CC927" s="17"/>
      <c r="CD927" s="17"/>
    </row>
    <row r="928">
      <c r="A928" s="92"/>
      <c r="B928" s="820"/>
      <c r="O928" s="17"/>
      <c r="P928" s="17"/>
      <c r="Q928" s="17"/>
      <c r="R928" s="17"/>
      <c r="S928" s="813"/>
      <c r="T928" s="17"/>
      <c r="AX928" s="17"/>
      <c r="BB928" s="17"/>
      <c r="BE928" s="17"/>
      <c r="BF928" s="17"/>
      <c r="BG928" s="17"/>
      <c r="BH928" s="17"/>
      <c r="BI928" s="17"/>
      <c r="BJ928" s="17"/>
      <c r="BK928" s="17"/>
      <c r="BL928" s="92"/>
      <c r="BM928" s="92"/>
      <c r="BN928" s="92"/>
      <c r="BO928" s="92"/>
      <c r="BP928" s="92"/>
      <c r="BQ928" s="818"/>
      <c r="BR928" s="54"/>
      <c r="BS928" s="54"/>
      <c r="BT928" s="818"/>
      <c r="BU928" s="818"/>
      <c r="BV928" s="818"/>
      <c r="BW928" s="92"/>
      <c r="BX928" s="92"/>
      <c r="BY928" s="17"/>
      <c r="BZ928" s="17"/>
      <c r="CA928" s="17"/>
      <c r="CB928" s="17"/>
      <c r="CC928" s="17"/>
      <c r="CD928" s="17"/>
    </row>
    <row r="929">
      <c r="A929" s="92"/>
      <c r="B929" s="820"/>
      <c r="O929" s="17"/>
      <c r="P929" s="17"/>
      <c r="Q929" s="17"/>
      <c r="R929" s="17"/>
      <c r="S929" s="813"/>
      <c r="T929" s="17"/>
      <c r="AX929" s="17"/>
      <c r="BB929" s="17"/>
      <c r="BE929" s="17"/>
      <c r="BF929" s="17"/>
      <c r="BG929" s="17"/>
      <c r="BH929" s="17"/>
      <c r="BI929" s="17"/>
      <c r="BJ929" s="17"/>
      <c r="BK929" s="17"/>
      <c r="BL929" s="92"/>
      <c r="BM929" s="92"/>
      <c r="BN929" s="92"/>
      <c r="BO929" s="92"/>
      <c r="BP929" s="92"/>
      <c r="BQ929" s="818"/>
      <c r="BR929" s="54"/>
      <c r="BS929" s="54"/>
      <c r="BT929" s="818"/>
      <c r="BU929" s="818"/>
      <c r="BV929" s="818"/>
      <c r="BW929" s="92"/>
      <c r="BX929" s="92"/>
      <c r="BY929" s="17"/>
      <c r="BZ929" s="17"/>
      <c r="CA929" s="17"/>
      <c r="CB929" s="17"/>
      <c r="CC929" s="17"/>
      <c r="CD929" s="17"/>
    </row>
    <row r="930">
      <c r="A930" s="92"/>
      <c r="B930" s="820"/>
      <c r="O930" s="17"/>
      <c r="P930" s="17"/>
      <c r="Q930" s="17"/>
      <c r="R930" s="17"/>
      <c r="S930" s="813"/>
      <c r="T930" s="17"/>
      <c r="AX930" s="17"/>
      <c r="BB930" s="17"/>
      <c r="BE930" s="17"/>
      <c r="BF930" s="17"/>
      <c r="BG930" s="17"/>
      <c r="BH930" s="17"/>
      <c r="BI930" s="17"/>
      <c r="BJ930" s="17"/>
      <c r="BK930" s="17"/>
      <c r="BL930" s="92"/>
      <c r="BM930" s="92"/>
      <c r="BN930" s="92"/>
      <c r="BO930" s="92"/>
      <c r="BP930" s="92"/>
      <c r="BQ930" s="818"/>
      <c r="BR930" s="54"/>
      <c r="BS930" s="54"/>
      <c r="BT930" s="818"/>
      <c r="BU930" s="818"/>
      <c r="BV930" s="818"/>
      <c r="BW930" s="92"/>
      <c r="BX930" s="92"/>
      <c r="BY930" s="17"/>
      <c r="BZ930" s="17"/>
      <c r="CA930" s="17"/>
      <c r="CB930" s="17"/>
      <c r="CC930" s="17"/>
      <c r="CD930" s="17"/>
    </row>
    <row r="931">
      <c r="A931" s="92"/>
      <c r="B931" s="820"/>
      <c r="O931" s="17"/>
      <c r="P931" s="17"/>
      <c r="Q931" s="17"/>
      <c r="R931" s="17"/>
      <c r="S931" s="813"/>
      <c r="T931" s="17"/>
      <c r="AX931" s="17"/>
      <c r="BB931" s="17"/>
      <c r="BE931" s="17"/>
      <c r="BF931" s="17"/>
      <c r="BG931" s="17"/>
      <c r="BH931" s="17"/>
      <c r="BI931" s="17"/>
      <c r="BJ931" s="17"/>
      <c r="BK931" s="17"/>
      <c r="BL931" s="92"/>
      <c r="BM931" s="92"/>
      <c r="BN931" s="92"/>
      <c r="BO931" s="92"/>
      <c r="BP931" s="92"/>
      <c r="BQ931" s="818"/>
      <c r="BR931" s="54"/>
      <c r="BS931" s="54"/>
      <c r="BT931" s="818"/>
      <c r="BU931" s="818"/>
      <c r="BV931" s="818"/>
      <c r="BW931" s="92"/>
      <c r="BX931" s="92"/>
      <c r="BY931" s="17"/>
      <c r="BZ931" s="17"/>
      <c r="CA931" s="17"/>
      <c r="CB931" s="17"/>
      <c r="CC931" s="17"/>
      <c r="CD931" s="17"/>
    </row>
    <row r="932">
      <c r="A932" s="92"/>
      <c r="B932" s="820"/>
      <c r="O932" s="17"/>
      <c r="P932" s="17"/>
      <c r="Q932" s="17"/>
      <c r="R932" s="17"/>
      <c r="S932" s="813"/>
      <c r="T932" s="17"/>
      <c r="AX932" s="17"/>
      <c r="BB932" s="17"/>
      <c r="BE932" s="17"/>
      <c r="BF932" s="17"/>
      <c r="BG932" s="17"/>
      <c r="BH932" s="17"/>
      <c r="BI932" s="17"/>
      <c r="BJ932" s="17"/>
      <c r="BK932" s="17"/>
      <c r="BL932" s="92"/>
      <c r="BM932" s="92"/>
      <c r="BN932" s="92"/>
      <c r="BO932" s="92"/>
      <c r="BP932" s="92"/>
      <c r="BQ932" s="818"/>
      <c r="BR932" s="54"/>
      <c r="BS932" s="54"/>
      <c r="BT932" s="818"/>
      <c r="BU932" s="818"/>
      <c r="BV932" s="818"/>
      <c r="BW932" s="92"/>
      <c r="BX932" s="92"/>
      <c r="BY932" s="17"/>
      <c r="BZ932" s="17"/>
      <c r="CA932" s="17"/>
      <c r="CB932" s="17"/>
      <c r="CC932" s="17"/>
      <c r="CD932" s="17"/>
    </row>
    <row r="933">
      <c r="A933" s="92"/>
      <c r="B933" s="820"/>
      <c r="O933" s="17"/>
      <c r="P933" s="17"/>
      <c r="Q933" s="17"/>
      <c r="R933" s="17"/>
      <c r="S933" s="813"/>
      <c r="T933" s="17"/>
      <c r="AX933" s="17"/>
      <c r="BB933" s="17"/>
      <c r="BE933" s="17"/>
      <c r="BF933" s="17"/>
      <c r="BG933" s="17"/>
      <c r="BH933" s="17"/>
      <c r="BI933" s="17"/>
      <c r="BJ933" s="17"/>
      <c r="BK933" s="17"/>
      <c r="BL933" s="92"/>
      <c r="BM933" s="92"/>
      <c r="BN933" s="92"/>
      <c r="BO933" s="92"/>
      <c r="BP933" s="92"/>
      <c r="BQ933" s="818"/>
      <c r="BR933" s="54"/>
      <c r="BS933" s="54"/>
      <c r="BT933" s="818"/>
      <c r="BU933" s="818"/>
      <c r="BV933" s="818"/>
      <c r="BW933" s="92"/>
      <c r="BX933" s="92"/>
      <c r="BY933" s="17"/>
      <c r="BZ933" s="17"/>
      <c r="CA933" s="17"/>
      <c r="CB933" s="17"/>
      <c r="CC933" s="17"/>
      <c r="CD933" s="17"/>
    </row>
    <row r="934">
      <c r="A934" s="92"/>
      <c r="B934" s="820"/>
      <c r="O934" s="17"/>
      <c r="P934" s="17"/>
      <c r="Q934" s="17"/>
      <c r="R934" s="17"/>
      <c r="S934" s="813"/>
      <c r="T934" s="17"/>
      <c r="AX934" s="17"/>
      <c r="BB934" s="17"/>
      <c r="BE934" s="17"/>
      <c r="BF934" s="17"/>
      <c r="BG934" s="17"/>
      <c r="BH934" s="17"/>
      <c r="BI934" s="17"/>
      <c r="BJ934" s="17"/>
      <c r="BK934" s="17"/>
      <c r="BL934" s="92"/>
      <c r="BM934" s="92"/>
      <c r="BN934" s="92"/>
      <c r="BO934" s="92"/>
      <c r="BP934" s="92"/>
      <c r="BQ934" s="818"/>
      <c r="BR934" s="54"/>
      <c r="BS934" s="54"/>
      <c r="BT934" s="818"/>
      <c r="BU934" s="818"/>
      <c r="BV934" s="818"/>
      <c r="BW934" s="92"/>
      <c r="BX934" s="92"/>
      <c r="BY934" s="17"/>
      <c r="BZ934" s="17"/>
      <c r="CA934" s="17"/>
      <c r="CB934" s="17"/>
      <c r="CC934" s="17"/>
      <c r="CD934" s="17"/>
    </row>
    <row r="935">
      <c r="A935" s="92"/>
      <c r="B935" s="820"/>
      <c r="O935" s="17"/>
      <c r="P935" s="17"/>
      <c r="Q935" s="17"/>
      <c r="R935" s="17"/>
      <c r="S935" s="813"/>
      <c r="T935" s="17"/>
      <c r="AX935" s="17"/>
      <c r="BB935" s="17"/>
      <c r="BE935" s="17"/>
      <c r="BF935" s="17"/>
      <c r="BG935" s="17"/>
      <c r="BH935" s="17"/>
      <c r="BI935" s="17"/>
      <c r="BJ935" s="17"/>
      <c r="BK935" s="17"/>
      <c r="BL935" s="92"/>
      <c r="BM935" s="92"/>
      <c r="BN935" s="92"/>
      <c r="BO935" s="92"/>
      <c r="BP935" s="92"/>
      <c r="BQ935" s="818"/>
      <c r="BR935" s="54"/>
      <c r="BS935" s="54"/>
      <c r="BT935" s="818"/>
      <c r="BU935" s="818"/>
      <c r="BV935" s="818"/>
      <c r="BW935" s="92"/>
      <c r="BX935" s="92"/>
      <c r="BY935" s="17"/>
      <c r="BZ935" s="17"/>
      <c r="CA935" s="17"/>
      <c r="CB935" s="17"/>
      <c r="CC935" s="17"/>
      <c r="CD935" s="17"/>
    </row>
    <row r="936">
      <c r="A936" s="92"/>
      <c r="B936" s="820"/>
      <c r="O936" s="17"/>
      <c r="P936" s="17"/>
      <c r="Q936" s="17"/>
      <c r="R936" s="17"/>
      <c r="S936" s="813"/>
      <c r="T936" s="17"/>
      <c r="AX936" s="17"/>
      <c r="BB936" s="17"/>
      <c r="BE936" s="17"/>
      <c r="BF936" s="17"/>
      <c r="BG936" s="17"/>
      <c r="BH936" s="17"/>
      <c r="BI936" s="17"/>
      <c r="BJ936" s="17"/>
      <c r="BK936" s="17"/>
      <c r="BL936" s="92"/>
      <c r="BM936" s="92"/>
      <c r="BN936" s="92"/>
      <c r="BO936" s="92"/>
      <c r="BP936" s="92"/>
      <c r="BQ936" s="818"/>
      <c r="BR936" s="54"/>
      <c r="BS936" s="54"/>
      <c r="BT936" s="818"/>
      <c r="BU936" s="818"/>
      <c r="BV936" s="818"/>
      <c r="BW936" s="92"/>
      <c r="BX936" s="92"/>
      <c r="BY936" s="17"/>
      <c r="BZ936" s="17"/>
      <c r="CA936" s="17"/>
      <c r="CB936" s="17"/>
      <c r="CC936" s="17"/>
      <c r="CD936" s="17"/>
    </row>
    <row r="937">
      <c r="A937" s="92"/>
      <c r="B937" s="820"/>
      <c r="O937" s="17"/>
      <c r="P937" s="17"/>
      <c r="Q937" s="17"/>
      <c r="R937" s="17"/>
      <c r="S937" s="813"/>
      <c r="T937" s="17"/>
      <c r="AX937" s="17"/>
      <c r="BB937" s="17"/>
      <c r="BE937" s="17"/>
      <c r="BF937" s="17"/>
      <c r="BG937" s="17"/>
      <c r="BH937" s="17"/>
      <c r="BI937" s="17"/>
      <c r="BJ937" s="17"/>
      <c r="BK937" s="17"/>
      <c r="BL937" s="92"/>
      <c r="BM937" s="92"/>
      <c r="BN937" s="92"/>
      <c r="BO937" s="92"/>
      <c r="BP937" s="92"/>
      <c r="BQ937" s="818"/>
      <c r="BR937" s="54"/>
      <c r="BS937" s="54"/>
      <c r="BT937" s="818"/>
      <c r="BU937" s="818"/>
      <c r="BV937" s="818"/>
      <c r="BW937" s="92"/>
      <c r="BX937" s="92"/>
      <c r="BY937" s="17"/>
      <c r="BZ937" s="17"/>
      <c r="CA937" s="17"/>
      <c r="CB937" s="17"/>
      <c r="CC937" s="17"/>
      <c r="CD937" s="17"/>
    </row>
    <row r="938">
      <c r="A938" s="92"/>
      <c r="B938" s="820"/>
      <c r="O938" s="17"/>
      <c r="P938" s="17"/>
      <c r="Q938" s="17"/>
      <c r="R938" s="17"/>
      <c r="S938" s="813"/>
      <c r="T938" s="17"/>
      <c r="AX938" s="17"/>
      <c r="BB938" s="17"/>
      <c r="BE938" s="17"/>
      <c r="BF938" s="17"/>
      <c r="BG938" s="17"/>
      <c r="BH938" s="17"/>
      <c r="BI938" s="17"/>
      <c r="BJ938" s="17"/>
      <c r="BK938" s="17"/>
      <c r="BL938" s="92"/>
      <c r="BM938" s="92"/>
      <c r="BN938" s="92"/>
      <c r="BO938" s="92"/>
      <c r="BP938" s="92"/>
      <c r="BQ938" s="818"/>
      <c r="BR938" s="54"/>
      <c r="BS938" s="54"/>
      <c r="BT938" s="818"/>
      <c r="BU938" s="818"/>
      <c r="BV938" s="818"/>
      <c r="BW938" s="92"/>
      <c r="BX938" s="92"/>
      <c r="BY938" s="17"/>
      <c r="BZ938" s="17"/>
      <c r="CA938" s="17"/>
      <c r="CB938" s="17"/>
      <c r="CC938" s="17"/>
      <c r="CD938" s="17"/>
    </row>
    <row r="939">
      <c r="A939" s="92"/>
      <c r="B939" s="820"/>
      <c r="O939" s="17"/>
      <c r="P939" s="17"/>
      <c r="Q939" s="17"/>
      <c r="R939" s="17"/>
      <c r="S939" s="813"/>
      <c r="T939" s="17"/>
      <c r="AX939" s="17"/>
      <c r="BB939" s="17"/>
      <c r="BE939" s="17"/>
      <c r="BF939" s="17"/>
      <c r="BG939" s="17"/>
      <c r="BH939" s="17"/>
      <c r="BI939" s="17"/>
      <c r="BJ939" s="17"/>
      <c r="BK939" s="17"/>
      <c r="BL939" s="92"/>
      <c r="BM939" s="92"/>
      <c r="BN939" s="92"/>
      <c r="BO939" s="92"/>
      <c r="BP939" s="92"/>
      <c r="BQ939" s="818"/>
      <c r="BR939" s="54"/>
      <c r="BS939" s="54"/>
      <c r="BT939" s="818"/>
      <c r="BU939" s="818"/>
      <c r="BV939" s="818"/>
      <c r="BW939" s="92"/>
      <c r="BX939" s="92"/>
      <c r="BY939" s="17"/>
      <c r="BZ939" s="17"/>
      <c r="CA939" s="17"/>
      <c r="CB939" s="17"/>
      <c r="CC939" s="17"/>
      <c r="CD939" s="17"/>
    </row>
    <row r="940">
      <c r="A940" s="92"/>
      <c r="B940" s="820"/>
      <c r="O940" s="17"/>
      <c r="P940" s="17"/>
      <c r="Q940" s="17"/>
      <c r="R940" s="17"/>
      <c r="S940" s="813"/>
      <c r="T940" s="17"/>
      <c r="AX940" s="17"/>
      <c r="BB940" s="17"/>
      <c r="BE940" s="17"/>
      <c r="BF940" s="17"/>
      <c r="BG940" s="17"/>
      <c r="BH940" s="17"/>
      <c r="BI940" s="17"/>
      <c r="BJ940" s="17"/>
      <c r="BK940" s="17"/>
      <c r="BL940" s="92"/>
      <c r="BM940" s="92"/>
      <c r="BN940" s="92"/>
      <c r="BO940" s="92"/>
      <c r="BP940" s="92"/>
      <c r="BQ940" s="818"/>
      <c r="BR940" s="54"/>
      <c r="BS940" s="54"/>
      <c r="BT940" s="818"/>
      <c r="BU940" s="818"/>
      <c r="BV940" s="818"/>
      <c r="BW940" s="92"/>
      <c r="BX940" s="92"/>
      <c r="BY940" s="17"/>
      <c r="BZ940" s="17"/>
      <c r="CA940" s="17"/>
      <c r="CB940" s="17"/>
      <c r="CC940" s="17"/>
      <c r="CD940" s="17"/>
    </row>
    <row r="941">
      <c r="A941" s="92"/>
      <c r="B941" s="820"/>
      <c r="O941" s="17"/>
      <c r="P941" s="17"/>
      <c r="Q941" s="17"/>
      <c r="R941" s="17"/>
      <c r="S941" s="813"/>
      <c r="T941" s="17"/>
      <c r="AX941" s="17"/>
      <c r="BB941" s="17"/>
      <c r="BE941" s="17"/>
      <c r="BF941" s="17"/>
      <c r="BG941" s="17"/>
      <c r="BH941" s="17"/>
      <c r="BI941" s="17"/>
      <c r="BJ941" s="17"/>
      <c r="BK941" s="17"/>
      <c r="BL941" s="92"/>
      <c r="BM941" s="92"/>
      <c r="BN941" s="92"/>
      <c r="BO941" s="92"/>
      <c r="BP941" s="92"/>
      <c r="BQ941" s="818"/>
      <c r="BR941" s="54"/>
      <c r="BS941" s="54"/>
      <c r="BT941" s="818"/>
      <c r="BU941" s="818"/>
      <c r="BV941" s="818"/>
      <c r="BW941" s="92"/>
      <c r="BX941" s="92"/>
      <c r="BY941" s="17"/>
      <c r="BZ941" s="17"/>
      <c r="CA941" s="17"/>
      <c r="CB941" s="17"/>
      <c r="CC941" s="17"/>
      <c r="CD941" s="17"/>
    </row>
    <row r="942">
      <c r="A942" s="92"/>
      <c r="B942" s="820"/>
      <c r="O942" s="17"/>
      <c r="P942" s="17"/>
      <c r="Q942" s="17"/>
      <c r="R942" s="17"/>
      <c r="S942" s="813"/>
      <c r="T942" s="17"/>
      <c r="AX942" s="17"/>
      <c r="BB942" s="17"/>
      <c r="BE942" s="17"/>
      <c r="BF942" s="17"/>
      <c r="BG942" s="17"/>
      <c r="BH942" s="17"/>
      <c r="BI942" s="17"/>
      <c r="BJ942" s="17"/>
      <c r="BK942" s="17"/>
      <c r="BL942" s="92"/>
      <c r="BM942" s="92"/>
      <c r="BN942" s="92"/>
      <c r="BO942" s="92"/>
      <c r="BP942" s="92"/>
      <c r="BQ942" s="818"/>
      <c r="BR942" s="54"/>
      <c r="BS942" s="54"/>
      <c r="BT942" s="818"/>
      <c r="BU942" s="818"/>
      <c r="BV942" s="818"/>
      <c r="BW942" s="92"/>
      <c r="BX942" s="92"/>
      <c r="BY942" s="17"/>
      <c r="BZ942" s="17"/>
      <c r="CA942" s="17"/>
      <c r="CB942" s="17"/>
      <c r="CC942" s="17"/>
      <c r="CD942" s="17"/>
    </row>
    <row r="943">
      <c r="A943" s="92"/>
      <c r="B943" s="820"/>
      <c r="O943" s="17"/>
      <c r="P943" s="17"/>
      <c r="Q943" s="17"/>
      <c r="R943" s="17"/>
      <c r="S943" s="813"/>
      <c r="T943" s="17"/>
      <c r="AX943" s="17"/>
      <c r="BB943" s="17"/>
      <c r="BE943" s="17"/>
      <c r="BF943" s="17"/>
      <c r="BG943" s="17"/>
      <c r="BH943" s="17"/>
      <c r="BI943" s="17"/>
      <c r="BJ943" s="17"/>
      <c r="BK943" s="17"/>
      <c r="BL943" s="92"/>
      <c r="BM943" s="92"/>
      <c r="BN943" s="92"/>
      <c r="BO943" s="92"/>
      <c r="BP943" s="92"/>
      <c r="BQ943" s="818"/>
      <c r="BR943" s="54"/>
      <c r="BS943" s="54"/>
      <c r="BT943" s="818"/>
      <c r="BU943" s="818"/>
      <c r="BV943" s="818"/>
      <c r="BW943" s="92"/>
      <c r="BX943" s="92"/>
      <c r="BY943" s="17"/>
      <c r="BZ943" s="17"/>
      <c r="CA943" s="17"/>
      <c r="CB943" s="17"/>
      <c r="CC943" s="17"/>
      <c r="CD943" s="17"/>
    </row>
    <row r="944">
      <c r="A944" s="92"/>
      <c r="B944" s="820"/>
      <c r="O944" s="17"/>
      <c r="P944" s="17"/>
      <c r="Q944" s="17"/>
      <c r="R944" s="17"/>
      <c r="S944" s="813"/>
      <c r="T944" s="17"/>
      <c r="AX944" s="17"/>
      <c r="BB944" s="17"/>
      <c r="BE944" s="17"/>
      <c r="BF944" s="17"/>
      <c r="BG944" s="17"/>
      <c r="BH944" s="17"/>
      <c r="BI944" s="17"/>
      <c r="BJ944" s="17"/>
      <c r="BK944" s="17"/>
      <c r="BL944" s="92"/>
      <c r="BM944" s="92"/>
      <c r="BN944" s="92"/>
      <c r="BO944" s="92"/>
      <c r="BP944" s="92"/>
      <c r="BQ944" s="818"/>
      <c r="BR944" s="54"/>
      <c r="BS944" s="54"/>
      <c r="BT944" s="818"/>
      <c r="BU944" s="818"/>
      <c r="BV944" s="818"/>
      <c r="BW944" s="92"/>
      <c r="BX944" s="92"/>
      <c r="BY944" s="17"/>
      <c r="BZ944" s="17"/>
      <c r="CA944" s="17"/>
      <c r="CB944" s="17"/>
      <c r="CC944" s="17"/>
      <c r="CD944" s="17"/>
    </row>
    <row r="945">
      <c r="A945" s="92"/>
      <c r="B945" s="820"/>
      <c r="O945" s="17"/>
      <c r="P945" s="17"/>
      <c r="Q945" s="17"/>
      <c r="R945" s="17"/>
      <c r="S945" s="813"/>
      <c r="T945" s="17"/>
      <c r="AX945" s="17"/>
      <c r="BB945" s="17"/>
      <c r="BE945" s="17"/>
      <c r="BF945" s="17"/>
      <c r="BG945" s="17"/>
      <c r="BH945" s="17"/>
      <c r="BI945" s="17"/>
      <c r="BJ945" s="17"/>
      <c r="BK945" s="17"/>
      <c r="BL945" s="92"/>
      <c r="BM945" s="92"/>
      <c r="BN945" s="92"/>
      <c r="BO945" s="92"/>
      <c r="BP945" s="92"/>
      <c r="BQ945" s="818"/>
      <c r="BR945" s="54"/>
      <c r="BS945" s="54"/>
      <c r="BT945" s="818"/>
      <c r="BU945" s="818"/>
      <c r="BV945" s="818"/>
      <c r="BW945" s="92"/>
      <c r="BX945" s="92"/>
      <c r="BY945" s="17"/>
      <c r="BZ945" s="17"/>
      <c r="CA945" s="17"/>
      <c r="CB945" s="17"/>
      <c r="CC945" s="17"/>
      <c r="CD945" s="17"/>
    </row>
    <row r="946">
      <c r="A946" s="92"/>
      <c r="B946" s="820"/>
      <c r="O946" s="17"/>
      <c r="P946" s="17"/>
      <c r="Q946" s="17"/>
      <c r="R946" s="17"/>
      <c r="S946" s="813"/>
      <c r="T946" s="17"/>
      <c r="AX946" s="17"/>
      <c r="BB946" s="17"/>
      <c r="BE946" s="17"/>
      <c r="BF946" s="17"/>
      <c r="BG946" s="17"/>
      <c r="BH946" s="17"/>
      <c r="BI946" s="17"/>
      <c r="BJ946" s="17"/>
      <c r="BK946" s="17"/>
      <c r="BL946" s="92"/>
      <c r="BM946" s="92"/>
      <c r="BN946" s="92"/>
      <c r="BO946" s="92"/>
      <c r="BP946" s="92"/>
      <c r="BQ946" s="818"/>
      <c r="BR946" s="54"/>
      <c r="BS946" s="54"/>
      <c r="BT946" s="818"/>
      <c r="BU946" s="818"/>
      <c r="BV946" s="818"/>
      <c r="BW946" s="92"/>
      <c r="BX946" s="92"/>
      <c r="BY946" s="17"/>
      <c r="BZ946" s="17"/>
      <c r="CA946" s="17"/>
      <c r="CB946" s="17"/>
      <c r="CC946" s="17"/>
      <c r="CD946" s="17"/>
    </row>
    <row r="947">
      <c r="A947" s="92"/>
      <c r="B947" s="820"/>
      <c r="O947" s="17"/>
      <c r="P947" s="17"/>
      <c r="Q947" s="17"/>
      <c r="R947" s="17"/>
      <c r="S947" s="813"/>
      <c r="T947" s="17"/>
      <c r="AX947" s="17"/>
      <c r="BB947" s="17"/>
      <c r="BE947" s="17"/>
      <c r="BF947" s="17"/>
      <c r="BG947" s="17"/>
      <c r="BH947" s="17"/>
      <c r="BI947" s="17"/>
      <c r="BJ947" s="17"/>
      <c r="BK947" s="17"/>
      <c r="BL947" s="92"/>
      <c r="BM947" s="92"/>
      <c r="BN947" s="92"/>
      <c r="BO947" s="92"/>
      <c r="BP947" s="92"/>
      <c r="BQ947" s="818"/>
      <c r="BR947" s="54"/>
      <c r="BS947" s="54"/>
      <c r="BT947" s="818"/>
      <c r="BU947" s="818"/>
      <c r="BV947" s="818"/>
      <c r="BW947" s="92"/>
      <c r="BX947" s="92"/>
      <c r="BY947" s="17"/>
      <c r="BZ947" s="17"/>
      <c r="CA947" s="17"/>
      <c r="CB947" s="17"/>
      <c r="CC947" s="17"/>
      <c r="CD947" s="17"/>
    </row>
    <row r="948">
      <c r="A948" s="92"/>
      <c r="B948" s="820"/>
      <c r="O948" s="17"/>
      <c r="P948" s="17"/>
      <c r="Q948" s="17"/>
      <c r="R948" s="17"/>
      <c r="S948" s="813"/>
      <c r="T948" s="17"/>
      <c r="AX948" s="17"/>
      <c r="BB948" s="17"/>
      <c r="BE948" s="17"/>
      <c r="BF948" s="17"/>
      <c r="BG948" s="17"/>
      <c r="BH948" s="17"/>
      <c r="BI948" s="17"/>
      <c r="BJ948" s="17"/>
      <c r="BK948" s="17"/>
      <c r="BL948" s="92"/>
      <c r="BM948" s="92"/>
      <c r="BN948" s="92"/>
      <c r="BO948" s="92"/>
      <c r="BP948" s="92"/>
      <c r="BQ948" s="818"/>
      <c r="BR948" s="54"/>
      <c r="BS948" s="54"/>
      <c r="BT948" s="818"/>
      <c r="BU948" s="818"/>
      <c r="BV948" s="818"/>
      <c r="BW948" s="92"/>
      <c r="BX948" s="92"/>
      <c r="BY948" s="17"/>
      <c r="BZ948" s="17"/>
      <c r="CA948" s="17"/>
      <c r="CB948" s="17"/>
      <c r="CC948" s="17"/>
      <c r="CD948" s="17"/>
    </row>
    <row r="949">
      <c r="A949" s="92"/>
      <c r="B949" s="820"/>
      <c r="O949" s="17"/>
      <c r="P949" s="17"/>
      <c r="Q949" s="17"/>
      <c r="R949" s="17"/>
      <c r="S949" s="813"/>
      <c r="T949" s="17"/>
      <c r="AX949" s="17"/>
      <c r="BB949" s="17"/>
      <c r="BE949" s="17"/>
      <c r="BF949" s="17"/>
      <c r="BG949" s="17"/>
      <c r="BH949" s="17"/>
      <c r="BI949" s="17"/>
      <c r="BJ949" s="17"/>
      <c r="BK949" s="17"/>
      <c r="BL949" s="92"/>
      <c r="BM949" s="92"/>
      <c r="BN949" s="92"/>
      <c r="BO949" s="92"/>
      <c r="BP949" s="92"/>
      <c r="BQ949" s="818"/>
      <c r="BR949" s="54"/>
      <c r="BS949" s="54"/>
      <c r="BT949" s="818"/>
      <c r="BU949" s="818"/>
      <c r="BV949" s="818"/>
      <c r="BW949" s="92"/>
      <c r="BX949" s="92"/>
      <c r="BY949" s="17"/>
      <c r="BZ949" s="17"/>
      <c r="CA949" s="17"/>
      <c r="CB949" s="17"/>
      <c r="CC949" s="17"/>
      <c r="CD949" s="17"/>
    </row>
    <row r="950">
      <c r="A950" s="92"/>
      <c r="B950" s="820"/>
      <c r="O950" s="17"/>
      <c r="P950" s="17"/>
      <c r="Q950" s="17"/>
      <c r="R950" s="17"/>
      <c r="S950" s="813"/>
      <c r="T950" s="17"/>
      <c r="AX950" s="17"/>
      <c r="BB950" s="17"/>
      <c r="BE950" s="17"/>
      <c r="BF950" s="17"/>
      <c r="BG950" s="17"/>
      <c r="BH950" s="17"/>
      <c r="BI950" s="17"/>
      <c r="BJ950" s="17"/>
      <c r="BK950" s="17"/>
      <c r="BL950" s="92"/>
      <c r="BM950" s="92"/>
      <c r="BN950" s="92"/>
      <c r="BO950" s="92"/>
      <c r="BP950" s="92"/>
      <c r="BQ950" s="818"/>
      <c r="BR950" s="54"/>
      <c r="BS950" s="54"/>
      <c r="BT950" s="818"/>
      <c r="BU950" s="818"/>
      <c r="BV950" s="818"/>
      <c r="BW950" s="92"/>
      <c r="BX950" s="92"/>
      <c r="BY950" s="17"/>
      <c r="BZ950" s="17"/>
      <c r="CA950" s="17"/>
      <c r="CB950" s="17"/>
      <c r="CC950" s="17"/>
      <c r="CD950" s="17"/>
    </row>
    <row r="951">
      <c r="A951" s="92"/>
      <c r="B951" s="820"/>
      <c r="O951" s="17"/>
      <c r="P951" s="17"/>
      <c r="Q951" s="17"/>
      <c r="R951" s="17"/>
      <c r="S951" s="813"/>
      <c r="T951" s="17"/>
      <c r="AX951" s="17"/>
      <c r="BB951" s="17"/>
      <c r="BE951" s="17"/>
      <c r="BF951" s="17"/>
      <c r="BG951" s="17"/>
      <c r="BH951" s="17"/>
      <c r="BI951" s="17"/>
      <c r="BJ951" s="17"/>
      <c r="BK951" s="17"/>
      <c r="BL951" s="92"/>
      <c r="BM951" s="92"/>
      <c r="BN951" s="92"/>
      <c r="BO951" s="92"/>
      <c r="BP951" s="92"/>
      <c r="BQ951" s="818"/>
      <c r="BR951" s="54"/>
      <c r="BS951" s="54"/>
      <c r="BT951" s="818"/>
      <c r="BU951" s="818"/>
      <c r="BV951" s="818"/>
      <c r="BW951" s="92"/>
      <c r="BX951" s="92"/>
      <c r="BY951" s="17"/>
      <c r="BZ951" s="17"/>
      <c r="CA951" s="17"/>
      <c r="CB951" s="17"/>
      <c r="CC951" s="17"/>
      <c r="CD951" s="17"/>
    </row>
    <row r="952">
      <c r="A952" s="92"/>
      <c r="B952" s="820"/>
      <c r="O952" s="17"/>
      <c r="P952" s="17"/>
      <c r="Q952" s="17"/>
      <c r="R952" s="17"/>
      <c r="S952" s="813"/>
      <c r="T952" s="17"/>
      <c r="AX952" s="17"/>
      <c r="BB952" s="17"/>
      <c r="BE952" s="17"/>
      <c r="BF952" s="17"/>
      <c r="BG952" s="17"/>
      <c r="BH952" s="17"/>
      <c r="BI952" s="17"/>
      <c r="BJ952" s="17"/>
      <c r="BK952" s="17"/>
      <c r="BL952" s="92"/>
      <c r="BM952" s="92"/>
      <c r="BN952" s="92"/>
      <c r="BO952" s="92"/>
      <c r="BP952" s="92"/>
      <c r="BQ952" s="818"/>
      <c r="BR952" s="54"/>
      <c r="BS952" s="54"/>
      <c r="BT952" s="818"/>
      <c r="BU952" s="818"/>
      <c r="BV952" s="818"/>
      <c r="BW952" s="92"/>
      <c r="BX952" s="92"/>
      <c r="BY952" s="17"/>
      <c r="BZ952" s="17"/>
      <c r="CA952" s="17"/>
      <c r="CB952" s="17"/>
      <c r="CC952" s="17"/>
      <c r="CD952" s="17"/>
    </row>
    <row r="953">
      <c r="A953" s="92"/>
      <c r="B953" s="820"/>
      <c r="O953" s="17"/>
      <c r="P953" s="17"/>
      <c r="Q953" s="17"/>
      <c r="R953" s="17"/>
      <c r="S953" s="813"/>
      <c r="T953" s="17"/>
      <c r="AX953" s="17"/>
      <c r="BB953" s="17"/>
      <c r="BE953" s="17"/>
      <c r="BF953" s="17"/>
      <c r="BG953" s="17"/>
      <c r="BH953" s="17"/>
      <c r="BI953" s="17"/>
      <c r="BJ953" s="17"/>
      <c r="BK953" s="17"/>
      <c r="BL953" s="92"/>
      <c r="BM953" s="92"/>
      <c r="BN953" s="92"/>
      <c r="BO953" s="92"/>
      <c r="BP953" s="92"/>
      <c r="BQ953" s="818"/>
      <c r="BR953" s="54"/>
      <c r="BS953" s="54"/>
      <c r="BT953" s="818"/>
      <c r="BU953" s="818"/>
      <c r="BV953" s="818"/>
      <c r="BW953" s="92"/>
      <c r="BX953" s="92"/>
      <c r="BY953" s="17"/>
      <c r="BZ953" s="17"/>
      <c r="CA953" s="17"/>
      <c r="CB953" s="17"/>
      <c r="CC953" s="17"/>
      <c r="CD953" s="17"/>
    </row>
    <row r="954">
      <c r="A954" s="92"/>
      <c r="B954" s="820"/>
      <c r="O954" s="17"/>
      <c r="P954" s="17"/>
      <c r="Q954" s="17"/>
      <c r="R954" s="17"/>
      <c r="S954" s="813"/>
      <c r="T954" s="17"/>
      <c r="AX954" s="17"/>
      <c r="BB954" s="17"/>
      <c r="BE954" s="17"/>
      <c r="BF954" s="17"/>
      <c r="BG954" s="17"/>
      <c r="BH954" s="17"/>
      <c r="BI954" s="17"/>
      <c r="BJ954" s="17"/>
      <c r="BK954" s="17"/>
      <c r="BL954" s="92"/>
      <c r="BM954" s="92"/>
      <c r="BN954" s="92"/>
      <c r="BO954" s="92"/>
      <c r="BP954" s="92"/>
      <c r="BQ954" s="818"/>
      <c r="BR954" s="54"/>
      <c r="BS954" s="54"/>
      <c r="BT954" s="818"/>
      <c r="BU954" s="818"/>
      <c r="BV954" s="818"/>
      <c r="BW954" s="92"/>
      <c r="BX954" s="92"/>
      <c r="BY954" s="17"/>
      <c r="BZ954" s="17"/>
      <c r="CA954" s="17"/>
      <c r="CB954" s="17"/>
      <c r="CC954" s="17"/>
      <c r="CD954" s="17"/>
    </row>
    <row r="955">
      <c r="A955" s="92"/>
      <c r="B955" s="820"/>
      <c r="O955" s="17"/>
      <c r="P955" s="17"/>
      <c r="Q955" s="17"/>
      <c r="R955" s="17"/>
      <c r="S955" s="813"/>
      <c r="T955" s="17"/>
      <c r="AX955" s="17"/>
      <c r="BB955" s="17"/>
      <c r="BE955" s="17"/>
      <c r="BF955" s="17"/>
      <c r="BG955" s="17"/>
      <c r="BH955" s="17"/>
      <c r="BI955" s="17"/>
      <c r="BJ955" s="17"/>
      <c r="BK955" s="17"/>
      <c r="BL955" s="92"/>
      <c r="BM955" s="92"/>
      <c r="BN955" s="92"/>
      <c r="BO955" s="92"/>
      <c r="BP955" s="92"/>
      <c r="BQ955" s="818"/>
      <c r="BR955" s="54"/>
      <c r="BS955" s="54"/>
      <c r="BT955" s="818"/>
      <c r="BU955" s="818"/>
      <c r="BV955" s="818"/>
      <c r="BW955" s="92"/>
      <c r="BX955" s="92"/>
      <c r="BY955" s="17"/>
      <c r="BZ955" s="17"/>
      <c r="CA955" s="17"/>
      <c r="CB955" s="17"/>
      <c r="CC955" s="17"/>
      <c r="CD955" s="17"/>
    </row>
    <row r="956">
      <c r="A956" s="92"/>
      <c r="B956" s="820"/>
      <c r="O956" s="17"/>
      <c r="P956" s="17"/>
      <c r="Q956" s="17"/>
      <c r="R956" s="17"/>
      <c r="S956" s="813"/>
      <c r="T956" s="17"/>
      <c r="AX956" s="17"/>
      <c r="BB956" s="17"/>
      <c r="BE956" s="17"/>
      <c r="BF956" s="17"/>
      <c r="BG956" s="17"/>
      <c r="BH956" s="17"/>
      <c r="BI956" s="17"/>
      <c r="BJ956" s="17"/>
      <c r="BK956" s="17"/>
      <c r="BL956" s="92"/>
      <c r="BM956" s="92"/>
      <c r="BN956" s="92"/>
      <c r="BO956" s="92"/>
      <c r="BP956" s="92"/>
      <c r="BQ956" s="818"/>
      <c r="BR956" s="54"/>
      <c r="BS956" s="54"/>
      <c r="BT956" s="818"/>
      <c r="BU956" s="818"/>
      <c r="BV956" s="818"/>
      <c r="BW956" s="92"/>
      <c r="BX956" s="92"/>
      <c r="BY956" s="17"/>
      <c r="BZ956" s="17"/>
      <c r="CA956" s="17"/>
      <c r="CB956" s="17"/>
      <c r="CC956" s="17"/>
      <c r="CD956" s="17"/>
    </row>
    <row r="957">
      <c r="A957" s="92"/>
      <c r="B957" s="820"/>
      <c r="O957" s="17"/>
      <c r="P957" s="17"/>
      <c r="Q957" s="17"/>
      <c r="R957" s="17"/>
      <c r="S957" s="813"/>
      <c r="T957" s="17"/>
      <c r="AX957" s="17"/>
      <c r="BB957" s="17"/>
      <c r="BE957" s="17"/>
      <c r="BF957" s="17"/>
      <c r="BG957" s="17"/>
      <c r="BH957" s="17"/>
      <c r="BI957" s="17"/>
      <c r="BJ957" s="17"/>
      <c r="BK957" s="17"/>
      <c r="BL957" s="92"/>
      <c r="BM957" s="92"/>
      <c r="BN957" s="92"/>
      <c r="BO957" s="92"/>
      <c r="BP957" s="92"/>
      <c r="BQ957" s="818"/>
      <c r="BR957" s="54"/>
      <c r="BS957" s="54"/>
      <c r="BT957" s="818"/>
      <c r="BU957" s="818"/>
      <c r="BV957" s="818"/>
      <c r="BW957" s="92"/>
      <c r="BX957" s="92"/>
      <c r="BY957" s="17"/>
      <c r="BZ957" s="17"/>
      <c r="CA957" s="17"/>
      <c r="CB957" s="17"/>
      <c r="CC957" s="17"/>
      <c r="CD957" s="17"/>
    </row>
    <row r="958">
      <c r="A958" s="92"/>
      <c r="B958" s="820"/>
      <c r="O958" s="17"/>
      <c r="P958" s="17"/>
      <c r="Q958" s="17"/>
      <c r="R958" s="17"/>
      <c r="S958" s="813"/>
      <c r="T958" s="17"/>
      <c r="AX958" s="17"/>
      <c r="BB958" s="17"/>
      <c r="BE958" s="17"/>
      <c r="BF958" s="17"/>
      <c r="BG958" s="17"/>
      <c r="BH958" s="17"/>
      <c r="BI958" s="17"/>
      <c r="BJ958" s="17"/>
      <c r="BK958" s="17"/>
      <c r="BL958" s="92"/>
      <c r="BM958" s="92"/>
      <c r="BN958" s="92"/>
      <c r="BO958" s="92"/>
      <c r="BP958" s="92"/>
      <c r="BQ958" s="818"/>
      <c r="BR958" s="54"/>
      <c r="BS958" s="54"/>
      <c r="BT958" s="818"/>
      <c r="BU958" s="818"/>
      <c r="BV958" s="818"/>
      <c r="BW958" s="92"/>
      <c r="BX958" s="92"/>
      <c r="BY958" s="17"/>
      <c r="BZ958" s="17"/>
      <c r="CA958" s="17"/>
      <c r="CB958" s="17"/>
      <c r="CC958" s="17"/>
      <c r="CD958" s="17"/>
    </row>
    <row r="959">
      <c r="A959" s="92"/>
      <c r="B959" s="820"/>
      <c r="O959" s="17"/>
      <c r="P959" s="17"/>
      <c r="Q959" s="17"/>
      <c r="R959" s="17"/>
      <c r="S959" s="813"/>
      <c r="T959" s="17"/>
      <c r="AX959" s="17"/>
      <c r="BB959" s="17"/>
      <c r="BE959" s="17"/>
      <c r="BF959" s="17"/>
      <c r="BG959" s="17"/>
      <c r="BH959" s="17"/>
      <c r="BI959" s="17"/>
      <c r="BJ959" s="17"/>
      <c r="BK959" s="17"/>
      <c r="BL959" s="92"/>
      <c r="BM959" s="92"/>
      <c r="BN959" s="92"/>
      <c r="BO959" s="92"/>
      <c r="BP959" s="92"/>
      <c r="BQ959" s="818"/>
      <c r="BR959" s="54"/>
      <c r="BS959" s="54"/>
      <c r="BT959" s="818"/>
      <c r="BU959" s="818"/>
      <c r="BV959" s="818"/>
      <c r="BW959" s="92"/>
      <c r="BX959" s="92"/>
      <c r="BY959" s="17"/>
      <c r="BZ959" s="17"/>
      <c r="CA959" s="17"/>
      <c r="CB959" s="17"/>
      <c r="CC959" s="17"/>
      <c r="CD959" s="17"/>
    </row>
    <row r="960">
      <c r="A960" s="92"/>
      <c r="B960" s="820"/>
      <c r="O960" s="17"/>
      <c r="P960" s="17"/>
      <c r="Q960" s="17"/>
      <c r="R960" s="17"/>
      <c r="S960" s="813"/>
      <c r="T960" s="17"/>
      <c r="AX960" s="17"/>
      <c r="BB960" s="17"/>
      <c r="BE960" s="17"/>
      <c r="BF960" s="17"/>
      <c r="BG960" s="17"/>
      <c r="BH960" s="17"/>
      <c r="BI960" s="17"/>
      <c r="BJ960" s="17"/>
      <c r="BK960" s="17"/>
      <c r="BL960" s="92"/>
      <c r="BM960" s="92"/>
      <c r="BN960" s="92"/>
      <c r="BO960" s="92"/>
      <c r="BP960" s="92"/>
      <c r="BQ960" s="818"/>
      <c r="BR960" s="54"/>
      <c r="BS960" s="54"/>
      <c r="BT960" s="818"/>
      <c r="BU960" s="818"/>
      <c r="BV960" s="818"/>
      <c r="BW960" s="92"/>
      <c r="BX960" s="92"/>
      <c r="BY960" s="17"/>
      <c r="BZ960" s="17"/>
      <c r="CA960" s="17"/>
      <c r="CB960" s="17"/>
      <c r="CC960" s="17"/>
      <c r="CD960" s="17"/>
    </row>
    <row r="961">
      <c r="A961" s="92"/>
      <c r="B961" s="820"/>
      <c r="O961" s="17"/>
      <c r="P961" s="17"/>
      <c r="Q961" s="17"/>
      <c r="R961" s="17"/>
      <c r="S961" s="813"/>
      <c r="T961" s="17"/>
      <c r="AX961" s="17"/>
      <c r="BB961" s="17"/>
      <c r="BE961" s="17"/>
      <c r="BF961" s="17"/>
      <c r="BG961" s="17"/>
      <c r="BH961" s="17"/>
      <c r="BI961" s="17"/>
      <c r="BJ961" s="17"/>
      <c r="BK961" s="17"/>
      <c r="BL961" s="92"/>
      <c r="BM961" s="92"/>
      <c r="BN961" s="92"/>
      <c r="BO961" s="92"/>
      <c r="BP961" s="92"/>
      <c r="BQ961" s="818"/>
      <c r="BR961" s="54"/>
      <c r="BS961" s="54"/>
      <c r="BT961" s="818"/>
      <c r="BU961" s="818"/>
      <c r="BV961" s="818"/>
      <c r="BW961" s="92"/>
      <c r="BX961" s="92"/>
      <c r="BY961" s="17"/>
      <c r="BZ961" s="17"/>
      <c r="CA961" s="17"/>
      <c r="CB961" s="17"/>
      <c r="CC961" s="17"/>
      <c r="CD961" s="17"/>
    </row>
    <row r="962">
      <c r="A962" s="92"/>
      <c r="B962" s="820"/>
      <c r="O962" s="17"/>
      <c r="P962" s="17"/>
      <c r="Q962" s="17"/>
      <c r="R962" s="17"/>
      <c r="S962" s="813"/>
      <c r="T962" s="17"/>
      <c r="AX962" s="17"/>
      <c r="BB962" s="17"/>
      <c r="BE962" s="17"/>
      <c r="BF962" s="17"/>
      <c r="BG962" s="17"/>
      <c r="BH962" s="17"/>
      <c r="BI962" s="17"/>
      <c r="BJ962" s="17"/>
      <c r="BK962" s="17"/>
      <c r="BL962" s="92"/>
      <c r="BM962" s="92"/>
      <c r="BN962" s="92"/>
      <c r="BO962" s="92"/>
      <c r="BP962" s="92"/>
      <c r="BQ962" s="818"/>
      <c r="BR962" s="54"/>
      <c r="BS962" s="54"/>
      <c r="BT962" s="818"/>
      <c r="BU962" s="818"/>
      <c r="BV962" s="818"/>
      <c r="BW962" s="92"/>
      <c r="BX962" s="92"/>
      <c r="BY962" s="17"/>
      <c r="BZ962" s="17"/>
      <c r="CA962" s="17"/>
      <c r="CB962" s="17"/>
      <c r="CC962" s="17"/>
      <c r="CD962" s="17"/>
    </row>
    <row r="963">
      <c r="A963" s="92"/>
      <c r="B963" s="820"/>
      <c r="O963" s="17"/>
      <c r="P963" s="17"/>
      <c r="Q963" s="17"/>
      <c r="R963" s="17"/>
      <c r="S963" s="813"/>
      <c r="T963" s="17"/>
      <c r="AX963" s="17"/>
      <c r="BB963" s="17"/>
      <c r="BE963" s="17"/>
      <c r="BF963" s="17"/>
      <c r="BG963" s="17"/>
      <c r="BH963" s="17"/>
      <c r="BI963" s="17"/>
      <c r="BJ963" s="17"/>
      <c r="BK963" s="17"/>
      <c r="BL963" s="92"/>
      <c r="BM963" s="92"/>
      <c r="BN963" s="92"/>
      <c r="BO963" s="92"/>
      <c r="BP963" s="92"/>
      <c r="BQ963" s="818"/>
      <c r="BR963" s="54"/>
      <c r="BS963" s="54"/>
      <c r="BT963" s="818"/>
      <c r="BU963" s="818"/>
      <c r="BV963" s="818"/>
      <c r="BW963" s="92"/>
      <c r="BX963" s="92"/>
      <c r="BY963" s="17"/>
      <c r="BZ963" s="17"/>
      <c r="CA963" s="17"/>
      <c r="CB963" s="17"/>
      <c r="CC963" s="17"/>
      <c r="CD963" s="17"/>
    </row>
    <row r="964">
      <c r="A964" s="92"/>
      <c r="B964" s="820"/>
      <c r="O964" s="17"/>
      <c r="P964" s="17"/>
      <c r="Q964" s="17"/>
      <c r="R964" s="17"/>
      <c r="S964" s="813"/>
      <c r="T964" s="17"/>
      <c r="AX964" s="17"/>
      <c r="BB964" s="17"/>
      <c r="BE964" s="17"/>
      <c r="BF964" s="17"/>
      <c r="BG964" s="17"/>
      <c r="BH964" s="17"/>
      <c r="BI964" s="17"/>
      <c r="BJ964" s="17"/>
      <c r="BK964" s="17"/>
      <c r="BL964" s="92"/>
      <c r="BM964" s="92"/>
      <c r="BN964" s="92"/>
      <c r="BO964" s="92"/>
      <c r="BP964" s="92"/>
      <c r="BQ964" s="818"/>
      <c r="BR964" s="54"/>
      <c r="BS964" s="54"/>
      <c r="BT964" s="818"/>
      <c r="BU964" s="818"/>
      <c r="BV964" s="818"/>
      <c r="BW964" s="92"/>
      <c r="BX964" s="92"/>
      <c r="BY964" s="17"/>
      <c r="BZ964" s="17"/>
      <c r="CA964" s="17"/>
      <c r="CB964" s="17"/>
      <c r="CC964" s="17"/>
      <c r="CD964" s="17"/>
    </row>
    <row r="965">
      <c r="A965" s="92"/>
      <c r="B965" s="820"/>
      <c r="O965" s="17"/>
      <c r="P965" s="17"/>
      <c r="Q965" s="17"/>
      <c r="R965" s="17"/>
      <c r="S965" s="813"/>
      <c r="T965" s="17"/>
      <c r="AX965" s="17"/>
      <c r="BB965" s="17"/>
      <c r="BE965" s="17"/>
      <c r="BF965" s="17"/>
      <c r="BG965" s="17"/>
      <c r="BH965" s="17"/>
      <c r="BI965" s="17"/>
      <c r="BJ965" s="17"/>
      <c r="BK965" s="17"/>
      <c r="BL965" s="92"/>
      <c r="BM965" s="92"/>
      <c r="BN965" s="92"/>
      <c r="BO965" s="92"/>
      <c r="BP965" s="92"/>
      <c r="BQ965" s="818"/>
      <c r="BR965" s="54"/>
      <c r="BS965" s="54"/>
      <c r="BT965" s="818"/>
      <c r="BU965" s="818"/>
      <c r="BV965" s="818"/>
      <c r="BW965" s="92"/>
      <c r="BX965" s="92"/>
      <c r="BY965" s="17"/>
      <c r="BZ965" s="17"/>
      <c r="CA965" s="17"/>
      <c r="CB965" s="17"/>
      <c r="CC965" s="17"/>
      <c r="CD965" s="17"/>
    </row>
    <row r="966">
      <c r="A966" s="92"/>
      <c r="B966" s="820"/>
      <c r="O966" s="17"/>
      <c r="P966" s="17"/>
      <c r="Q966" s="17"/>
      <c r="R966" s="17"/>
      <c r="S966" s="813"/>
      <c r="T966" s="17"/>
      <c r="AX966" s="17"/>
      <c r="BB966" s="17"/>
      <c r="BE966" s="17"/>
      <c r="BF966" s="17"/>
      <c r="BG966" s="17"/>
      <c r="BH966" s="17"/>
      <c r="BI966" s="17"/>
      <c r="BJ966" s="17"/>
      <c r="BK966" s="17"/>
      <c r="BL966" s="92"/>
      <c r="BM966" s="92"/>
      <c r="BN966" s="92"/>
      <c r="BO966" s="92"/>
      <c r="BP966" s="92"/>
      <c r="BQ966" s="818"/>
      <c r="BR966" s="54"/>
      <c r="BS966" s="54"/>
      <c r="BT966" s="818"/>
      <c r="BU966" s="818"/>
      <c r="BV966" s="818"/>
      <c r="BW966" s="92"/>
      <c r="BX966" s="92"/>
      <c r="BY966" s="17"/>
      <c r="BZ966" s="17"/>
      <c r="CA966" s="17"/>
      <c r="CB966" s="17"/>
      <c r="CC966" s="17"/>
      <c r="CD966" s="17"/>
    </row>
    <row r="967">
      <c r="A967" s="92"/>
      <c r="B967" s="820"/>
      <c r="O967" s="17"/>
      <c r="P967" s="17"/>
      <c r="Q967" s="17"/>
      <c r="R967" s="17"/>
      <c r="S967" s="813"/>
      <c r="T967" s="17"/>
      <c r="AX967" s="17"/>
      <c r="BB967" s="17"/>
      <c r="BE967" s="17"/>
      <c r="BF967" s="17"/>
      <c r="BG967" s="17"/>
      <c r="BH967" s="17"/>
      <c r="BI967" s="17"/>
      <c r="BJ967" s="17"/>
      <c r="BK967" s="17"/>
      <c r="BL967" s="92"/>
      <c r="BM967" s="92"/>
      <c r="BN967" s="92"/>
      <c r="BO967" s="92"/>
      <c r="BP967" s="92"/>
      <c r="BQ967" s="818"/>
      <c r="BR967" s="54"/>
      <c r="BS967" s="54"/>
      <c r="BT967" s="818"/>
      <c r="BU967" s="818"/>
      <c r="BV967" s="818"/>
      <c r="BW967" s="92"/>
      <c r="BX967" s="92"/>
      <c r="BY967" s="17"/>
      <c r="BZ967" s="17"/>
      <c r="CA967" s="17"/>
      <c r="CB967" s="17"/>
      <c r="CC967" s="17"/>
      <c r="CD967" s="17"/>
    </row>
    <row r="968">
      <c r="A968" s="92"/>
      <c r="B968" s="820"/>
      <c r="O968" s="17"/>
      <c r="P968" s="17"/>
      <c r="Q968" s="17"/>
      <c r="R968" s="17"/>
      <c r="S968" s="813"/>
      <c r="T968" s="17"/>
      <c r="AX968" s="17"/>
      <c r="BB968" s="17"/>
      <c r="BE968" s="17"/>
      <c r="BF968" s="17"/>
      <c r="BG968" s="17"/>
      <c r="BH968" s="17"/>
      <c r="BI968" s="17"/>
      <c r="BJ968" s="17"/>
      <c r="BK968" s="17"/>
      <c r="BL968" s="92"/>
      <c r="BM968" s="92"/>
      <c r="BN968" s="92"/>
      <c r="BO968" s="92"/>
      <c r="BP968" s="92"/>
      <c r="BQ968" s="818"/>
      <c r="BR968" s="54"/>
      <c r="BS968" s="54"/>
      <c r="BT968" s="818"/>
      <c r="BU968" s="818"/>
      <c r="BV968" s="818"/>
      <c r="BW968" s="92"/>
      <c r="BX968" s="92"/>
      <c r="BY968" s="17"/>
      <c r="BZ968" s="17"/>
      <c r="CA968" s="17"/>
      <c r="CB968" s="17"/>
      <c r="CC968" s="17"/>
      <c r="CD968" s="17"/>
    </row>
    <row r="969">
      <c r="A969" s="92"/>
      <c r="B969" s="820"/>
      <c r="O969" s="17"/>
      <c r="P969" s="17"/>
      <c r="Q969" s="17"/>
      <c r="R969" s="17"/>
      <c r="S969" s="813"/>
      <c r="T969" s="17"/>
      <c r="AX969" s="17"/>
      <c r="BB969" s="17"/>
      <c r="BE969" s="17"/>
      <c r="BF969" s="17"/>
      <c r="BG969" s="17"/>
      <c r="BH969" s="17"/>
      <c r="BI969" s="17"/>
      <c r="BJ969" s="17"/>
      <c r="BK969" s="17"/>
      <c r="BL969" s="92"/>
      <c r="BM969" s="92"/>
      <c r="BN969" s="92"/>
      <c r="BO969" s="92"/>
      <c r="BP969" s="92"/>
      <c r="BQ969" s="818"/>
      <c r="BR969" s="54"/>
      <c r="BS969" s="54"/>
      <c r="BT969" s="818"/>
      <c r="BU969" s="818"/>
      <c r="BV969" s="818"/>
      <c r="BW969" s="92"/>
      <c r="BX969" s="92"/>
      <c r="BY969" s="17"/>
      <c r="BZ969" s="17"/>
      <c r="CA969" s="17"/>
      <c r="CB969" s="17"/>
      <c r="CC969" s="17"/>
      <c r="CD969" s="17"/>
    </row>
    <row r="970">
      <c r="A970" s="92"/>
      <c r="B970" s="820"/>
      <c r="O970" s="17"/>
      <c r="P970" s="17"/>
      <c r="Q970" s="17"/>
      <c r="R970" s="17"/>
      <c r="S970" s="813"/>
      <c r="T970" s="17"/>
      <c r="AX970" s="17"/>
      <c r="BB970" s="17"/>
      <c r="BE970" s="17"/>
      <c r="BF970" s="17"/>
      <c r="BG970" s="17"/>
      <c r="BH970" s="17"/>
      <c r="BI970" s="17"/>
      <c r="BJ970" s="17"/>
      <c r="BK970" s="17"/>
      <c r="BL970" s="92"/>
      <c r="BM970" s="92"/>
      <c r="BN970" s="92"/>
      <c r="BO970" s="92"/>
      <c r="BP970" s="92"/>
      <c r="BQ970" s="818"/>
      <c r="BR970" s="54"/>
      <c r="BS970" s="54"/>
      <c r="BT970" s="818"/>
      <c r="BU970" s="818"/>
      <c r="BV970" s="818"/>
      <c r="BW970" s="92"/>
      <c r="BX970" s="92"/>
      <c r="BY970" s="17"/>
      <c r="BZ970" s="17"/>
      <c r="CA970" s="17"/>
      <c r="CB970" s="17"/>
      <c r="CC970" s="17"/>
      <c r="CD970" s="17"/>
    </row>
    <row r="971">
      <c r="A971" s="92"/>
      <c r="B971" s="820"/>
      <c r="O971" s="17"/>
      <c r="P971" s="17"/>
      <c r="Q971" s="17"/>
      <c r="R971" s="17"/>
      <c r="S971" s="813"/>
      <c r="T971" s="17"/>
      <c r="AX971" s="17"/>
      <c r="BB971" s="17"/>
      <c r="BE971" s="17"/>
      <c r="BF971" s="17"/>
      <c r="BG971" s="17"/>
      <c r="BH971" s="17"/>
      <c r="BI971" s="17"/>
      <c r="BJ971" s="17"/>
      <c r="BK971" s="17"/>
      <c r="BL971" s="92"/>
      <c r="BM971" s="92"/>
      <c r="BN971" s="92"/>
      <c r="BO971" s="92"/>
      <c r="BP971" s="92"/>
      <c r="BQ971" s="818"/>
      <c r="BR971" s="54"/>
      <c r="BS971" s="54"/>
      <c r="BT971" s="818"/>
      <c r="BU971" s="818"/>
      <c r="BV971" s="818"/>
      <c r="BW971" s="92"/>
      <c r="BX971" s="92"/>
      <c r="BY971" s="17"/>
      <c r="BZ971" s="17"/>
      <c r="CA971" s="17"/>
      <c r="CB971" s="17"/>
      <c r="CC971" s="17"/>
      <c r="CD971" s="17"/>
    </row>
    <row r="972">
      <c r="A972" s="92"/>
      <c r="B972" s="820"/>
      <c r="O972" s="17"/>
      <c r="P972" s="17"/>
      <c r="Q972" s="17"/>
      <c r="R972" s="17"/>
      <c r="S972" s="813"/>
      <c r="T972" s="17"/>
      <c r="AX972" s="17"/>
      <c r="BB972" s="17"/>
      <c r="BE972" s="17"/>
      <c r="BF972" s="17"/>
      <c r="BG972" s="17"/>
      <c r="BH972" s="17"/>
      <c r="BI972" s="17"/>
      <c r="BJ972" s="17"/>
      <c r="BK972" s="17"/>
      <c r="BL972" s="92"/>
      <c r="BM972" s="92"/>
      <c r="BN972" s="92"/>
      <c r="BO972" s="92"/>
      <c r="BP972" s="92"/>
      <c r="BQ972" s="818"/>
      <c r="BR972" s="54"/>
      <c r="BS972" s="54"/>
      <c r="BT972" s="818"/>
      <c r="BU972" s="818"/>
      <c r="BV972" s="818"/>
      <c r="BW972" s="92"/>
      <c r="BX972" s="92"/>
      <c r="BY972" s="17"/>
      <c r="BZ972" s="17"/>
      <c r="CA972" s="17"/>
      <c r="CB972" s="17"/>
      <c r="CC972" s="17"/>
      <c r="CD972" s="17"/>
    </row>
    <row r="973">
      <c r="A973" s="92"/>
      <c r="B973" s="820"/>
      <c r="O973" s="17"/>
      <c r="P973" s="17"/>
      <c r="Q973" s="17"/>
      <c r="R973" s="17"/>
      <c r="S973" s="813"/>
      <c r="T973" s="17"/>
      <c r="AX973" s="17"/>
      <c r="BB973" s="17"/>
      <c r="BE973" s="17"/>
      <c r="BF973" s="17"/>
      <c r="BG973" s="17"/>
      <c r="BH973" s="17"/>
      <c r="BI973" s="17"/>
      <c r="BJ973" s="17"/>
      <c r="BK973" s="17"/>
      <c r="BL973" s="92"/>
      <c r="BM973" s="92"/>
      <c r="BN973" s="92"/>
      <c r="BO973" s="92"/>
      <c r="BP973" s="92"/>
      <c r="BQ973" s="818"/>
      <c r="BR973" s="54"/>
      <c r="BS973" s="54"/>
      <c r="BT973" s="818"/>
      <c r="BU973" s="818"/>
      <c r="BV973" s="818"/>
      <c r="BW973" s="92"/>
      <c r="BX973" s="92"/>
      <c r="BY973" s="17"/>
      <c r="BZ973" s="17"/>
      <c r="CA973" s="17"/>
      <c r="CB973" s="17"/>
      <c r="CC973" s="17"/>
      <c r="CD973" s="17"/>
    </row>
    <row r="974">
      <c r="A974" s="92"/>
      <c r="B974" s="820"/>
      <c r="O974" s="17"/>
      <c r="P974" s="17"/>
      <c r="Q974" s="17"/>
      <c r="R974" s="17"/>
      <c r="S974" s="813"/>
      <c r="T974" s="17"/>
      <c r="AX974" s="17"/>
      <c r="BB974" s="17"/>
      <c r="BE974" s="17"/>
      <c r="BF974" s="17"/>
      <c r="BG974" s="17"/>
      <c r="BH974" s="17"/>
      <c r="BI974" s="17"/>
      <c r="BJ974" s="17"/>
      <c r="BK974" s="17"/>
      <c r="BL974" s="92"/>
      <c r="BM974" s="92"/>
      <c r="BN974" s="92"/>
      <c r="BO974" s="92"/>
      <c r="BP974" s="92"/>
      <c r="BQ974" s="818"/>
      <c r="BR974" s="54"/>
      <c r="BS974" s="54"/>
      <c r="BT974" s="818"/>
      <c r="BU974" s="818"/>
      <c r="BV974" s="818"/>
      <c r="BW974" s="92"/>
      <c r="BX974" s="92"/>
      <c r="BY974" s="17"/>
      <c r="BZ974" s="17"/>
      <c r="CA974" s="17"/>
      <c r="CB974" s="17"/>
      <c r="CC974" s="17"/>
      <c r="CD974" s="17"/>
    </row>
    <row r="975">
      <c r="A975" s="92"/>
      <c r="B975" s="820"/>
      <c r="O975" s="17"/>
      <c r="P975" s="17"/>
      <c r="Q975" s="17"/>
      <c r="R975" s="17"/>
      <c r="S975" s="813"/>
      <c r="T975" s="17"/>
      <c r="AX975" s="17"/>
      <c r="BB975" s="17"/>
      <c r="BE975" s="17"/>
      <c r="BF975" s="17"/>
      <c r="BG975" s="17"/>
      <c r="BH975" s="17"/>
      <c r="BI975" s="17"/>
      <c r="BJ975" s="17"/>
      <c r="BK975" s="17"/>
      <c r="BL975" s="92"/>
      <c r="BM975" s="92"/>
      <c r="BN975" s="92"/>
      <c r="BO975" s="92"/>
      <c r="BP975" s="92"/>
      <c r="BQ975" s="818"/>
      <c r="BR975" s="54"/>
      <c r="BS975" s="54"/>
      <c r="BT975" s="818"/>
      <c r="BU975" s="818"/>
      <c r="BV975" s="818"/>
      <c r="BW975" s="92"/>
      <c r="BX975" s="92"/>
      <c r="BY975" s="17"/>
      <c r="BZ975" s="17"/>
      <c r="CA975" s="17"/>
      <c r="CB975" s="17"/>
      <c r="CC975" s="17"/>
      <c r="CD975" s="17"/>
    </row>
    <row r="976">
      <c r="A976" s="92"/>
      <c r="B976" s="820"/>
      <c r="O976" s="17"/>
      <c r="P976" s="17"/>
      <c r="Q976" s="17"/>
      <c r="R976" s="17"/>
      <c r="S976" s="813"/>
      <c r="T976" s="17"/>
      <c r="AX976" s="17"/>
      <c r="BB976" s="17"/>
      <c r="BE976" s="17"/>
      <c r="BF976" s="17"/>
      <c r="BG976" s="17"/>
      <c r="BH976" s="17"/>
      <c r="BI976" s="17"/>
      <c r="BJ976" s="17"/>
      <c r="BK976" s="17"/>
      <c r="BL976" s="92"/>
      <c r="BM976" s="92"/>
      <c r="BN976" s="92"/>
      <c r="BO976" s="92"/>
      <c r="BP976" s="92"/>
      <c r="BQ976" s="818"/>
      <c r="BR976" s="54"/>
      <c r="BS976" s="54"/>
      <c r="BT976" s="818"/>
      <c r="BU976" s="818"/>
      <c r="BV976" s="818"/>
      <c r="BW976" s="92"/>
      <c r="BX976" s="92"/>
      <c r="BY976" s="17"/>
      <c r="BZ976" s="17"/>
      <c r="CA976" s="17"/>
      <c r="CB976" s="17"/>
      <c r="CC976" s="17"/>
      <c r="CD976" s="17"/>
    </row>
    <row r="977">
      <c r="A977" s="92"/>
      <c r="B977" s="820"/>
      <c r="O977" s="17"/>
      <c r="P977" s="17"/>
      <c r="Q977" s="17"/>
      <c r="R977" s="17"/>
      <c r="S977" s="813"/>
      <c r="T977" s="17"/>
      <c r="AX977" s="17"/>
      <c r="BB977" s="17"/>
      <c r="BE977" s="17"/>
      <c r="BF977" s="17"/>
      <c r="BG977" s="17"/>
      <c r="BH977" s="17"/>
      <c r="BI977" s="17"/>
      <c r="BJ977" s="17"/>
      <c r="BK977" s="17"/>
      <c r="BL977" s="92"/>
      <c r="BM977" s="92"/>
      <c r="BN977" s="92"/>
      <c r="BO977" s="92"/>
      <c r="BP977" s="92"/>
      <c r="BQ977" s="818"/>
      <c r="BR977" s="54"/>
      <c r="BS977" s="54"/>
      <c r="BT977" s="818"/>
      <c r="BU977" s="818"/>
      <c r="BV977" s="818"/>
      <c r="BW977" s="92"/>
      <c r="BX977" s="92"/>
      <c r="BY977" s="17"/>
      <c r="BZ977" s="17"/>
      <c r="CA977" s="17"/>
      <c r="CB977" s="17"/>
      <c r="CC977" s="17"/>
      <c r="CD977" s="17"/>
    </row>
    <row r="978">
      <c r="A978" s="92"/>
      <c r="B978" s="820"/>
      <c r="O978" s="17"/>
      <c r="P978" s="17"/>
      <c r="Q978" s="17"/>
      <c r="R978" s="17"/>
      <c r="S978" s="813"/>
      <c r="T978" s="17"/>
      <c r="AX978" s="17"/>
      <c r="BB978" s="17"/>
      <c r="BE978" s="17"/>
      <c r="BF978" s="17"/>
      <c r="BG978" s="17"/>
      <c r="BH978" s="17"/>
      <c r="BI978" s="17"/>
      <c r="BJ978" s="17"/>
      <c r="BK978" s="17"/>
      <c r="BL978" s="92"/>
      <c r="BM978" s="92"/>
      <c r="BN978" s="92"/>
      <c r="BO978" s="92"/>
      <c r="BP978" s="92"/>
      <c r="BQ978" s="818"/>
      <c r="BR978" s="54"/>
      <c r="BS978" s="54"/>
      <c r="BT978" s="818"/>
      <c r="BU978" s="818"/>
      <c r="BV978" s="818"/>
      <c r="BW978" s="92"/>
      <c r="BX978" s="92"/>
      <c r="BY978" s="17"/>
      <c r="BZ978" s="17"/>
      <c r="CA978" s="17"/>
      <c r="CB978" s="17"/>
      <c r="CC978" s="17"/>
      <c r="CD978" s="17"/>
    </row>
    <row r="979">
      <c r="A979" s="92"/>
      <c r="B979" s="820"/>
      <c r="O979" s="17"/>
      <c r="P979" s="17"/>
      <c r="Q979" s="17"/>
      <c r="R979" s="17"/>
      <c r="S979" s="813"/>
      <c r="T979" s="17"/>
      <c r="AX979" s="17"/>
      <c r="BB979" s="17"/>
      <c r="BE979" s="17"/>
      <c r="BF979" s="17"/>
      <c r="BG979" s="17"/>
      <c r="BH979" s="17"/>
      <c r="BI979" s="17"/>
      <c r="BJ979" s="17"/>
      <c r="BK979" s="17"/>
      <c r="BL979" s="92"/>
      <c r="BM979" s="92"/>
      <c r="BN979" s="92"/>
      <c r="BO979" s="92"/>
      <c r="BP979" s="92"/>
      <c r="BQ979" s="818"/>
      <c r="BR979" s="54"/>
      <c r="BS979" s="54"/>
      <c r="BT979" s="818"/>
      <c r="BU979" s="818"/>
      <c r="BV979" s="818"/>
      <c r="BW979" s="92"/>
      <c r="BX979" s="92"/>
      <c r="BY979" s="17"/>
      <c r="BZ979" s="17"/>
      <c r="CA979" s="17"/>
      <c r="CB979" s="17"/>
      <c r="CC979" s="17"/>
      <c r="CD979" s="17"/>
    </row>
    <row r="980">
      <c r="A980" s="92"/>
      <c r="B980" s="820"/>
      <c r="O980" s="17"/>
      <c r="P980" s="17"/>
      <c r="Q980" s="17"/>
      <c r="R980" s="17"/>
      <c r="S980" s="813"/>
      <c r="T980" s="17"/>
      <c r="AX980" s="17"/>
      <c r="BB980" s="17"/>
      <c r="BE980" s="17"/>
      <c r="BF980" s="17"/>
      <c r="BG980" s="17"/>
      <c r="BH980" s="17"/>
      <c r="BI980" s="17"/>
      <c r="BJ980" s="17"/>
      <c r="BK980" s="17"/>
      <c r="BL980" s="92"/>
      <c r="BM980" s="92"/>
      <c r="BN980" s="92"/>
      <c r="BO980" s="92"/>
      <c r="BP980" s="92"/>
      <c r="BQ980" s="818"/>
      <c r="BR980" s="54"/>
      <c r="BS980" s="54"/>
      <c r="BT980" s="818"/>
      <c r="BU980" s="818"/>
      <c r="BV980" s="818"/>
      <c r="BW980" s="92"/>
      <c r="BX980" s="92"/>
      <c r="BY980" s="17"/>
      <c r="BZ980" s="17"/>
      <c r="CA980" s="17"/>
      <c r="CB980" s="17"/>
      <c r="CC980" s="17"/>
      <c r="CD980" s="17"/>
    </row>
    <row r="981">
      <c r="A981" s="92"/>
      <c r="B981" s="820"/>
      <c r="O981" s="17"/>
      <c r="P981" s="17"/>
      <c r="Q981" s="17"/>
      <c r="R981" s="17"/>
      <c r="S981" s="813"/>
      <c r="T981" s="17"/>
      <c r="AX981" s="17"/>
      <c r="BB981" s="17"/>
      <c r="BE981" s="17"/>
      <c r="BF981" s="17"/>
      <c r="BG981" s="17"/>
      <c r="BH981" s="17"/>
      <c r="BI981" s="17"/>
      <c r="BJ981" s="17"/>
      <c r="BK981" s="17"/>
      <c r="BL981" s="92"/>
      <c r="BM981" s="92"/>
      <c r="BN981" s="92"/>
      <c r="BO981" s="92"/>
      <c r="BP981" s="92"/>
      <c r="BQ981" s="818"/>
      <c r="BR981" s="54"/>
      <c r="BS981" s="54"/>
      <c r="BT981" s="818"/>
      <c r="BU981" s="818"/>
      <c r="BV981" s="818"/>
      <c r="BW981" s="92"/>
      <c r="BX981" s="92"/>
      <c r="BY981" s="17"/>
      <c r="BZ981" s="17"/>
      <c r="CA981" s="17"/>
      <c r="CB981" s="17"/>
      <c r="CC981" s="17"/>
      <c r="CD981" s="17"/>
    </row>
    <row r="982">
      <c r="A982" s="92"/>
      <c r="B982" s="820"/>
      <c r="O982" s="17"/>
      <c r="P982" s="17"/>
      <c r="Q982" s="17"/>
      <c r="R982" s="17"/>
      <c r="S982" s="813"/>
      <c r="T982" s="17"/>
      <c r="AX982" s="17"/>
      <c r="BB982" s="17"/>
      <c r="BE982" s="17"/>
      <c r="BF982" s="17"/>
      <c r="BG982" s="17"/>
      <c r="BH982" s="17"/>
      <c r="BI982" s="17"/>
      <c r="BJ982" s="17"/>
      <c r="BK982" s="17"/>
      <c r="BL982" s="92"/>
      <c r="BM982" s="92"/>
      <c r="BN982" s="92"/>
      <c r="BO982" s="92"/>
      <c r="BP982" s="92"/>
      <c r="BQ982" s="818"/>
      <c r="BR982" s="54"/>
      <c r="BS982" s="54"/>
      <c r="BT982" s="818"/>
      <c r="BU982" s="818"/>
      <c r="BV982" s="818"/>
      <c r="BW982" s="92"/>
      <c r="BX982" s="92"/>
      <c r="BY982" s="17"/>
      <c r="BZ982" s="17"/>
      <c r="CA982" s="17"/>
      <c r="CB982" s="17"/>
      <c r="CC982" s="17"/>
      <c r="CD982" s="17"/>
    </row>
    <row r="983">
      <c r="A983" s="92"/>
      <c r="B983" s="820"/>
      <c r="O983" s="17"/>
      <c r="P983" s="17"/>
      <c r="Q983" s="17"/>
      <c r="R983" s="17"/>
      <c r="S983" s="813"/>
      <c r="T983" s="17"/>
      <c r="AX983" s="17"/>
      <c r="BB983" s="17"/>
      <c r="BE983" s="17"/>
      <c r="BF983" s="17"/>
      <c r="BG983" s="17"/>
      <c r="BH983" s="17"/>
      <c r="BI983" s="17"/>
      <c r="BJ983" s="17"/>
      <c r="BK983" s="17"/>
      <c r="BL983" s="92"/>
      <c r="BM983" s="92"/>
      <c r="BN983" s="92"/>
      <c r="BO983" s="92"/>
      <c r="BP983" s="92"/>
      <c r="BQ983" s="818"/>
      <c r="BR983" s="54"/>
      <c r="BS983" s="54"/>
      <c r="BT983" s="818"/>
      <c r="BU983" s="818"/>
      <c r="BV983" s="818"/>
      <c r="BW983" s="92"/>
      <c r="BX983" s="92"/>
      <c r="BY983" s="17"/>
      <c r="BZ983" s="17"/>
      <c r="CA983" s="17"/>
      <c r="CB983" s="17"/>
      <c r="CC983" s="17"/>
      <c r="CD983" s="17"/>
    </row>
    <row r="984">
      <c r="A984" s="92"/>
      <c r="B984" s="820"/>
      <c r="O984" s="17"/>
      <c r="P984" s="17"/>
      <c r="Q984" s="17"/>
      <c r="R984" s="17"/>
      <c r="S984" s="813"/>
      <c r="T984" s="17"/>
      <c r="AX984" s="17"/>
      <c r="BB984" s="17"/>
      <c r="BE984" s="17"/>
      <c r="BF984" s="17"/>
      <c r="BG984" s="17"/>
      <c r="BH984" s="17"/>
      <c r="BI984" s="17"/>
      <c r="BJ984" s="17"/>
      <c r="BK984" s="17"/>
      <c r="BL984" s="92"/>
      <c r="BM984" s="92"/>
      <c r="BN984" s="92"/>
      <c r="BO984" s="92"/>
      <c r="BP984" s="92"/>
      <c r="BQ984" s="818"/>
      <c r="BR984" s="54"/>
      <c r="BS984" s="54"/>
      <c r="BT984" s="818"/>
      <c r="BU984" s="818"/>
      <c r="BV984" s="818"/>
      <c r="BW984" s="92"/>
      <c r="BX984" s="92"/>
      <c r="BY984" s="17"/>
      <c r="BZ984" s="17"/>
      <c r="CA984" s="17"/>
      <c r="CB984" s="17"/>
      <c r="CC984" s="17"/>
      <c r="CD984" s="17"/>
    </row>
    <row r="985">
      <c r="A985" s="92"/>
      <c r="B985" s="820"/>
      <c r="O985" s="17"/>
      <c r="P985" s="17"/>
      <c r="Q985" s="17"/>
      <c r="R985" s="17"/>
      <c r="S985" s="813"/>
      <c r="T985" s="17"/>
      <c r="AX985" s="17"/>
      <c r="BB985" s="17"/>
      <c r="BE985" s="17"/>
      <c r="BF985" s="17"/>
      <c r="BG985" s="17"/>
      <c r="BH985" s="17"/>
      <c r="BI985" s="17"/>
      <c r="BJ985" s="17"/>
      <c r="BK985" s="17"/>
      <c r="BL985" s="92"/>
      <c r="BM985" s="92"/>
      <c r="BN985" s="92"/>
      <c r="BO985" s="92"/>
      <c r="BP985" s="92"/>
      <c r="BQ985" s="818"/>
      <c r="BR985" s="54"/>
      <c r="BS985" s="54"/>
      <c r="BT985" s="818"/>
      <c r="BU985" s="818"/>
      <c r="BV985" s="818"/>
      <c r="BW985" s="92"/>
      <c r="BX985" s="92"/>
      <c r="BY985" s="17"/>
      <c r="BZ985" s="17"/>
      <c r="CA985" s="17"/>
      <c r="CB985" s="17"/>
      <c r="CC985" s="17"/>
      <c r="CD985" s="17"/>
    </row>
    <row r="986">
      <c r="A986" s="92"/>
      <c r="B986" s="820"/>
      <c r="O986" s="17"/>
      <c r="P986" s="17"/>
      <c r="Q986" s="17"/>
      <c r="R986" s="17"/>
      <c r="S986" s="813"/>
      <c r="T986" s="17"/>
      <c r="AX986" s="17"/>
      <c r="BB986" s="17"/>
      <c r="BE986" s="17"/>
      <c r="BF986" s="17"/>
      <c r="BG986" s="17"/>
      <c r="BH986" s="17"/>
      <c r="BI986" s="17"/>
      <c r="BJ986" s="17"/>
      <c r="BK986" s="17"/>
      <c r="BL986" s="92"/>
      <c r="BM986" s="92"/>
      <c r="BN986" s="92"/>
      <c r="BO986" s="92"/>
      <c r="BP986" s="92"/>
      <c r="BQ986" s="818"/>
      <c r="BR986" s="54"/>
      <c r="BS986" s="54"/>
      <c r="BT986" s="818"/>
      <c r="BU986" s="818"/>
      <c r="BV986" s="818"/>
      <c r="BW986" s="92"/>
      <c r="BX986" s="92"/>
      <c r="BY986" s="17"/>
      <c r="BZ986" s="17"/>
      <c r="CA986" s="17"/>
      <c r="CB986" s="17"/>
      <c r="CC986" s="17"/>
      <c r="CD986" s="17"/>
    </row>
    <row r="987">
      <c r="A987" s="92"/>
      <c r="B987" s="820"/>
      <c r="O987" s="17"/>
      <c r="P987" s="17"/>
      <c r="Q987" s="17"/>
      <c r="R987" s="17"/>
      <c r="S987" s="813"/>
      <c r="T987" s="17"/>
      <c r="AX987" s="17"/>
      <c r="BB987" s="17"/>
      <c r="BE987" s="17"/>
      <c r="BF987" s="17"/>
      <c r="BG987" s="17"/>
      <c r="BH987" s="17"/>
      <c r="BI987" s="17"/>
      <c r="BJ987" s="17"/>
      <c r="BK987" s="17"/>
      <c r="BL987" s="92"/>
      <c r="BM987" s="92"/>
      <c r="BN987" s="92"/>
      <c r="BO987" s="92"/>
      <c r="BP987" s="92"/>
      <c r="BQ987" s="818"/>
      <c r="BR987" s="54"/>
      <c r="BS987" s="54"/>
      <c r="BT987" s="818"/>
      <c r="BU987" s="818"/>
      <c r="BV987" s="818"/>
      <c r="BW987" s="92"/>
      <c r="BX987" s="92"/>
      <c r="BY987" s="17"/>
      <c r="BZ987" s="17"/>
      <c r="CA987" s="17"/>
      <c r="CB987" s="17"/>
      <c r="CC987" s="17"/>
      <c r="CD987" s="17"/>
    </row>
    <row r="988">
      <c r="A988" s="92"/>
      <c r="B988" s="820"/>
      <c r="O988" s="17"/>
      <c r="P988" s="17"/>
      <c r="Q988" s="17"/>
      <c r="R988" s="17"/>
      <c r="S988" s="813"/>
      <c r="T988" s="17"/>
      <c r="AX988" s="17"/>
      <c r="BB988" s="17"/>
      <c r="BE988" s="17"/>
      <c r="BF988" s="17"/>
      <c r="BG988" s="17"/>
      <c r="BH988" s="17"/>
      <c r="BI988" s="17"/>
      <c r="BJ988" s="17"/>
      <c r="BK988" s="17"/>
      <c r="BL988" s="92"/>
      <c r="BM988" s="92"/>
      <c r="BN988" s="92"/>
      <c r="BO988" s="92"/>
      <c r="BP988" s="92"/>
      <c r="BQ988" s="818"/>
      <c r="BR988" s="54"/>
      <c r="BS988" s="54"/>
      <c r="BT988" s="818"/>
      <c r="BU988" s="818"/>
      <c r="BV988" s="818"/>
      <c r="BW988" s="92"/>
      <c r="BX988" s="92"/>
      <c r="BY988" s="17"/>
      <c r="BZ988" s="17"/>
      <c r="CA988" s="17"/>
      <c r="CB988" s="17"/>
      <c r="CC988" s="17"/>
      <c r="CD988" s="17"/>
    </row>
    <row r="989">
      <c r="A989" s="92"/>
      <c r="B989" s="820"/>
      <c r="O989" s="17"/>
      <c r="P989" s="17"/>
      <c r="Q989" s="17"/>
      <c r="R989" s="17"/>
      <c r="S989" s="813"/>
      <c r="T989" s="17"/>
      <c r="AX989" s="17"/>
      <c r="BB989" s="17"/>
      <c r="BE989" s="17"/>
      <c r="BF989" s="17"/>
      <c r="BG989" s="17"/>
      <c r="BH989" s="17"/>
      <c r="BI989" s="17"/>
      <c r="BJ989" s="17"/>
      <c r="BK989" s="17"/>
      <c r="BL989" s="92"/>
      <c r="BM989" s="92"/>
      <c r="BN989" s="92"/>
      <c r="BO989" s="92"/>
      <c r="BP989" s="92"/>
      <c r="BQ989" s="818"/>
      <c r="BR989" s="54"/>
      <c r="BS989" s="54"/>
      <c r="BT989" s="818"/>
      <c r="BU989" s="818"/>
      <c r="BV989" s="818"/>
      <c r="BW989" s="92"/>
      <c r="BX989" s="92"/>
      <c r="BY989" s="17"/>
      <c r="BZ989" s="17"/>
      <c r="CA989" s="17"/>
      <c r="CB989" s="17"/>
      <c r="CC989" s="17"/>
      <c r="CD989" s="17"/>
    </row>
    <row r="990">
      <c r="A990" s="92"/>
      <c r="B990" s="820"/>
      <c r="O990" s="17"/>
      <c r="P990" s="17"/>
      <c r="Q990" s="17"/>
      <c r="R990" s="17"/>
      <c r="S990" s="813"/>
      <c r="T990" s="17"/>
      <c r="AX990" s="17"/>
      <c r="BB990" s="17"/>
      <c r="BE990" s="17"/>
      <c r="BF990" s="17"/>
      <c r="BG990" s="17"/>
      <c r="BH990" s="17"/>
      <c r="BI990" s="17"/>
      <c r="BJ990" s="17"/>
      <c r="BK990" s="17"/>
      <c r="BL990" s="92"/>
      <c r="BM990" s="92"/>
      <c r="BN990" s="92"/>
      <c r="BO990" s="92"/>
      <c r="BP990" s="92"/>
      <c r="BQ990" s="818"/>
      <c r="BR990" s="54"/>
      <c r="BS990" s="54"/>
      <c r="BT990" s="818"/>
      <c r="BU990" s="818"/>
      <c r="BV990" s="818"/>
      <c r="BW990" s="92"/>
      <c r="BX990" s="92"/>
      <c r="BY990" s="17"/>
      <c r="BZ990" s="17"/>
      <c r="CA990" s="17"/>
      <c r="CB990" s="17"/>
      <c r="CC990" s="17"/>
      <c r="CD990" s="17"/>
    </row>
    <row r="991">
      <c r="A991" s="92"/>
      <c r="B991" s="820"/>
      <c r="O991" s="17"/>
      <c r="P991" s="17"/>
      <c r="Q991" s="17"/>
      <c r="R991" s="17"/>
      <c r="S991" s="813"/>
      <c r="T991" s="17"/>
      <c r="AX991" s="17"/>
      <c r="BB991" s="17"/>
      <c r="BE991" s="17"/>
      <c r="BF991" s="17"/>
      <c r="BG991" s="17"/>
      <c r="BH991" s="17"/>
      <c r="BI991" s="17"/>
      <c r="BJ991" s="17"/>
      <c r="BK991" s="17"/>
      <c r="BL991" s="92"/>
      <c r="BM991" s="92"/>
      <c r="BN991" s="92"/>
      <c r="BO991" s="92"/>
      <c r="BP991" s="92"/>
      <c r="BQ991" s="818"/>
      <c r="BR991" s="54"/>
      <c r="BS991" s="54"/>
      <c r="BT991" s="818"/>
      <c r="BU991" s="818"/>
      <c r="BV991" s="818"/>
      <c r="BW991" s="92"/>
      <c r="BX991" s="92"/>
      <c r="BY991" s="17"/>
      <c r="BZ991" s="17"/>
      <c r="CA991" s="17"/>
      <c r="CB991" s="17"/>
      <c r="CC991" s="17"/>
      <c r="CD991" s="17"/>
    </row>
    <row r="992">
      <c r="A992" s="92"/>
      <c r="B992" s="820"/>
      <c r="O992" s="17"/>
      <c r="P992" s="17"/>
      <c r="Q992" s="17"/>
      <c r="R992" s="17"/>
      <c r="S992" s="813"/>
      <c r="T992" s="17"/>
      <c r="AX992" s="17"/>
      <c r="BB992" s="17"/>
      <c r="BE992" s="17"/>
      <c r="BF992" s="17"/>
      <c r="BG992" s="17"/>
      <c r="BH992" s="17"/>
      <c r="BI992" s="17"/>
      <c r="BJ992" s="17"/>
      <c r="BK992" s="17"/>
      <c r="BL992" s="92"/>
      <c r="BM992" s="92"/>
      <c r="BN992" s="92"/>
      <c r="BO992" s="92"/>
      <c r="BP992" s="92"/>
      <c r="BQ992" s="818"/>
      <c r="BR992" s="54"/>
      <c r="BS992" s="54"/>
      <c r="BT992" s="818"/>
      <c r="BU992" s="818"/>
      <c r="BV992" s="818"/>
      <c r="BW992" s="92"/>
      <c r="BX992" s="92"/>
      <c r="BY992" s="17"/>
      <c r="BZ992" s="17"/>
      <c r="CA992" s="17"/>
      <c r="CB992" s="17"/>
      <c r="CC992" s="17"/>
      <c r="CD992" s="17"/>
    </row>
    <row r="993">
      <c r="A993" s="92"/>
      <c r="B993" s="820"/>
      <c r="O993" s="17"/>
      <c r="P993" s="17"/>
      <c r="Q993" s="17"/>
      <c r="R993" s="17"/>
      <c r="S993" s="813"/>
      <c r="T993" s="17"/>
      <c r="AX993" s="17"/>
      <c r="BB993" s="17"/>
      <c r="BE993" s="17"/>
      <c r="BF993" s="17"/>
      <c r="BG993" s="17"/>
      <c r="BH993" s="17"/>
      <c r="BI993" s="17"/>
      <c r="BJ993" s="17"/>
      <c r="BK993" s="17"/>
      <c r="BL993" s="92"/>
      <c r="BM993" s="92"/>
      <c r="BN993" s="92"/>
      <c r="BO993" s="92"/>
      <c r="BP993" s="92"/>
      <c r="BQ993" s="818"/>
      <c r="BR993" s="54"/>
      <c r="BS993" s="54"/>
      <c r="BT993" s="818"/>
      <c r="BU993" s="818"/>
      <c r="BV993" s="818"/>
      <c r="BW993" s="92"/>
      <c r="BX993" s="92"/>
      <c r="BY993" s="17"/>
      <c r="BZ993" s="17"/>
      <c r="CA993" s="17"/>
      <c r="CB993" s="17"/>
      <c r="CC993" s="17"/>
      <c r="CD993" s="17"/>
    </row>
    <row r="994">
      <c r="A994" s="92"/>
      <c r="B994" s="820"/>
      <c r="O994" s="17"/>
      <c r="P994" s="17"/>
      <c r="Q994" s="17"/>
      <c r="R994" s="17"/>
      <c r="S994" s="813"/>
      <c r="T994" s="17"/>
      <c r="AX994" s="17"/>
      <c r="BB994" s="17"/>
      <c r="BE994" s="17"/>
      <c r="BF994" s="17"/>
      <c r="BG994" s="17"/>
      <c r="BH994" s="17"/>
      <c r="BI994" s="17"/>
      <c r="BJ994" s="17"/>
      <c r="BK994" s="17"/>
      <c r="BL994" s="92"/>
      <c r="BM994" s="92"/>
      <c r="BN994" s="92"/>
      <c r="BO994" s="92"/>
      <c r="BP994" s="92"/>
      <c r="BQ994" s="818"/>
      <c r="BR994" s="54"/>
      <c r="BS994" s="54"/>
      <c r="BT994" s="818"/>
      <c r="BU994" s="818"/>
      <c r="BV994" s="818"/>
      <c r="BW994" s="92"/>
      <c r="BX994" s="92"/>
      <c r="BY994" s="17"/>
      <c r="BZ994" s="17"/>
      <c r="CA994" s="17"/>
      <c r="CB994" s="17"/>
      <c r="CC994" s="17"/>
      <c r="CD994" s="17"/>
    </row>
    <row r="995">
      <c r="A995" s="92"/>
      <c r="B995" s="820"/>
      <c r="O995" s="17"/>
      <c r="P995" s="17"/>
      <c r="Q995" s="17"/>
      <c r="R995" s="17"/>
      <c r="S995" s="813"/>
      <c r="T995" s="17"/>
      <c r="AX995" s="17"/>
      <c r="BB995" s="17"/>
      <c r="BE995" s="17"/>
      <c r="BF995" s="17"/>
      <c r="BG995" s="17"/>
      <c r="BH995" s="17"/>
      <c r="BI995" s="17"/>
      <c r="BJ995" s="17"/>
      <c r="BK995" s="17"/>
      <c r="BL995" s="92"/>
      <c r="BM995" s="92"/>
      <c r="BN995" s="92"/>
      <c r="BO995" s="92"/>
      <c r="BP995" s="92"/>
      <c r="BQ995" s="818"/>
      <c r="BR995" s="54"/>
      <c r="BS995" s="54"/>
      <c r="BT995" s="818"/>
      <c r="BU995" s="818"/>
      <c r="BV995" s="818"/>
      <c r="BW995" s="92"/>
      <c r="BX995" s="92"/>
      <c r="BY995" s="17"/>
      <c r="BZ995" s="17"/>
      <c r="CA995" s="17"/>
      <c r="CB995" s="17"/>
      <c r="CC995" s="17"/>
      <c r="CD995" s="17"/>
    </row>
    <row r="996">
      <c r="A996" s="92"/>
      <c r="B996" s="820"/>
      <c r="O996" s="17"/>
      <c r="P996" s="17"/>
      <c r="Q996" s="17"/>
      <c r="R996" s="17"/>
      <c r="S996" s="813"/>
      <c r="T996" s="17"/>
      <c r="AX996" s="17"/>
      <c r="BB996" s="17"/>
      <c r="BE996" s="17"/>
      <c r="BF996" s="17"/>
      <c r="BG996" s="17"/>
      <c r="BH996" s="17"/>
      <c r="BI996" s="17"/>
      <c r="BJ996" s="17"/>
      <c r="BK996" s="17"/>
      <c r="BL996" s="92"/>
      <c r="BM996" s="92"/>
      <c r="BN996" s="92"/>
      <c r="BO996" s="92"/>
      <c r="BP996" s="92"/>
      <c r="BQ996" s="818"/>
      <c r="BR996" s="54"/>
      <c r="BS996" s="54"/>
      <c r="BT996" s="818"/>
      <c r="BU996" s="818"/>
      <c r="BV996" s="818"/>
      <c r="BW996" s="92"/>
      <c r="BX996" s="92"/>
      <c r="BY996" s="17"/>
      <c r="BZ996" s="17"/>
      <c r="CA996" s="17"/>
      <c r="CB996" s="17"/>
      <c r="CC996" s="17"/>
      <c r="CD996" s="17"/>
    </row>
    <row r="997">
      <c r="A997" s="92"/>
      <c r="B997" s="820"/>
      <c r="O997" s="17"/>
      <c r="P997" s="17"/>
      <c r="Q997" s="17"/>
      <c r="R997" s="17"/>
      <c r="S997" s="813"/>
      <c r="T997" s="17"/>
      <c r="AX997" s="17"/>
      <c r="BB997" s="17"/>
      <c r="BE997" s="17"/>
      <c r="BF997" s="17"/>
      <c r="BG997" s="17"/>
      <c r="BH997" s="17"/>
      <c r="BI997" s="17"/>
      <c r="BJ997" s="17"/>
      <c r="BK997" s="17"/>
      <c r="BL997" s="92"/>
      <c r="BM997" s="92"/>
      <c r="BN997" s="92"/>
      <c r="BO997" s="92"/>
      <c r="BP997" s="92"/>
      <c r="BQ997" s="818"/>
      <c r="BR997" s="54"/>
      <c r="BS997" s="54"/>
      <c r="BT997" s="818"/>
      <c r="BU997" s="818"/>
      <c r="BV997" s="818"/>
      <c r="BW997" s="92"/>
      <c r="BX997" s="92"/>
      <c r="BY997" s="17"/>
      <c r="BZ997" s="17"/>
      <c r="CA997" s="17"/>
      <c r="CB997" s="17"/>
      <c r="CC997" s="17"/>
      <c r="CD997" s="17"/>
    </row>
    <row r="998">
      <c r="A998" s="92"/>
      <c r="B998" s="820"/>
      <c r="O998" s="17"/>
      <c r="P998" s="17"/>
      <c r="Q998" s="17"/>
      <c r="R998" s="17"/>
      <c r="S998" s="813"/>
      <c r="T998" s="17"/>
      <c r="AX998" s="17"/>
      <c r="BB998" s="17"/>
      <c r="BE998" s="17"/>
      <c r="BF998" s="17"/>
      <c r="BG998" s="17"/>
      <c r="BH998" s="17"/>
      <c r="BI998" s="17"/>
      <c r="BJ998" s="17"/>
      <c r="BK998" s="17"/>
      <c r="BL998" s="92"/>
      <c r="BM998" s="92"/>
      <c r="BN998" s="92"/>
      <c r="BO998" s="92"/>
      <c r="BP998" s="92"/>
      <c r="BQ998" s="818"/>
      <c r="BR998" s="54"/>
      <c r="BS998" s="54"/>
      <c r="BT998" s="818"/>
      <c r="BU998" s="818"/>
      <c r="BV998" s="818"/>
      <c r="BW998" s="92"/>
      <c r="BX998" s="92"/>
      <c r="BY998" s="17"/>
      <c r="BZ998" s="17"/>
      <c r="CA998" s="17"/>
      <c r="CB998" s="17"/>
      <c r="CC998" s="17"/>
      <c r="CD998" s="17"/>
    </row>
    <row r="999">
      <c r="A999" s="92"/>
      <c r="B999" s="820"/>
      <c r="O999" s="17"/>
      <c r="P999" s="17"/>
      <c r="Q999" s="17"/>
      <c r="R999" s="17"/>
      <c r="S999" s="813"/>
      <c r="T999" s="17"/>
      <c r="AX999" s="17"/>
      <c r="BB999" s="17"/>
      <c r="BE999" s="17"/>
      <c r="BF999" s="17"/>
      <c r="BG999" s="17"/>
      <c r="BH999" s="17"/>
      <c r="BI999" s="17"/>
      <c r="BJ999" s="17"/>
      <c r="BK999" s="17"/>
      <c r="BL999" s="92"/>
      <c r="BM999" s="92"/>
      <c r="BN999" s="92"/>
      <c r="BO999" s="92"/>
      <c r="BP999" s="92"/>
      <c r="BQ999" s="818"/>
      <c r="BR999" s="54"/>
      <c r="BS999" s="54"/>
      <c r="BT999" s="818"/>
      <c r="BU999" s="818"/>
      <c r="BV999" s="818"/>
      <c r="BW999" s="92"/>
      <c r="BX999" s="92"/>
      <c r="BY999" s="17"/>
      <c r="BZ999" s="17"/>
      <c r="CA999" s="17"/>
      <c r="CB999" s="17"/>
      <c r="CC999" s="17"/>
      <c r="CD999" s="17"/>
    </row>
    <row r="1000">
      <c r="A1000" s="92"/>
      <c r="B1000" s="820"/>
      <c r="O1000" s="17"/>
      <c r="P1000" s="17"/>
      <c r="Q1000" s="17"/>
      <c r="R1000" s="17"/>
      <c r="S1000" s="813"/>
      <c r="T1000" s="17"/>
      <c r="AX1000" s="17"/>
      <c r="BB1000" s="17"/>
      <c r="BE1000" s="17"/>
      <c r="BF1000" s="17"/>
      <c r="BG1000" s="17"/>
      <c r="BH1000" s="17"/>
      <c r="BI1000" s="17"/>
      <c r="BJ1000" s="17"/>
      <c r="BK1000" s="17"/>
      <c r="BL1000" s="92"/>
      <c r="BM1000" s="92"/>
      <c r="BN1000" s="92"/>
      <c r="BO1000" s="92"/>
      <c r="BP1000" s="92"/>
      <c r="BQ1000" s="818"/>
      <c r="BR1000" s="54"/>
      <c r="BS1000" s="54"/>
      <c r="BT1000" s="818"/>
      <c r="BU1000" s="818"/>
      <c r="BV1000" s="818"/>
      <c r="BW1000" s="92"/>
      <c r="BX1000" s="92"/>
      <c r="BY1000" s="17"/>
      <c r="BZ1000" s="17"/>
      <c r="CA1000" s="17"/>
      <c r="CB1000" s="17"/>
      <c r="CC1000" s="17"/>
      <c r="CD1000" s="17"/>
    </row>
    <row r="1001">
      <c r="A1001" s="92"/>
      <c r="B1001" s="820"/>
      <c r="O1001" s="17"/>
      <c r="P1001" s="17"/>
      <c r="Q1001" s="17"/>
      <c r="R1001" s="17"/>
      <c r="S1001" s="813"/>
      <c r="T1001" s="17"/>
      <c r="AX1001" s="17"/>
      <c r="BB1001" s="17"/>
      <c r="BE1001" s="17"/>
      <c r="BF1001" s="17"/>
      <c r="BG1001" s="17"/>
      <c r="BH1001" s="17"/>
      <c r="BI1001" s="17"/>
      <c r="BJ1001" s="17"/>
      <c r="BK1001" s="17"/>
      <c r="BL1001" s="92"/>
      <c r="BM1001" s="92"/>
      <c r="BN1001" s="92"/>
      <c r="BO1001" s="92"/>
      <c r="BP1001" s="92"/>
      <c r="BQ1001" s="818"/>
      <c r="BR1001" s="54"/>
      <c r="BS1001" s="54"/>
      <c r="BT1001" s="818"/>
      <c r="BU1001" s="818"/>
      <c r="BV1001" s="818"/>
      <c r="BW1001" s="92"/>
      <c r="BX1001" s="92"/>
      <c r="BY1001" s="17"/>
      <c r="BZ1001" s="17"/>
      <c r="CA1001" s="17"/>
      <c r="CB1001" s="17"/>
      <c r="CC1001" s="17"/>
      <c r="CD1001" s="17"/>
    </row>
    <row r="1002">
      <c r="A1002" s="92"/>
      <c r="B1002" s="820"/>
      <c r="O1002" s="17"/>
      <c r="P1002" s="17"/>
      <c r="Q1002" s="17"/>
      <c r="R1002" s="17"/>
      <c r="S1002" s="813"/>
      <c r="T1002" s="17"/>
      <c r="AX1002" s="17"/>
      <c r="BB1002" s="17"/>
      <c r="BE1002" s="17"/>
      <c r="BF1002" s="17"/>
      <c r="BG1002" s="17"/>
      <c r="BH1002" s="17"/>
      <c r="BI1002" s="17"/>
      <c r="BJ1002" s="17"/>
      <c r="BK1002" s="17"/>
      <c r="BL1002" s="92"/>
      <c r="BM1002" s="92"/>
      <c r="BN1002" s="92"/>
      <c r="BO1002" s="92"/>
      <c r="BP1002" s="92"/>
      <c r="BQ1002" s="818"/>
      <c r="BR1002" s="54"/>
      <c r="BS1002" s="54"/>
      <c r="BT1002" s="818"/>
      <c r="BU1002" s="818"/>
      <c r="BV1002" s="818"/>
      <c r="BW1002" s="92"/>
      <c r="BX1002" s="92"/>
      <c r="BY1002" s="17"/>
      <c r="BZ1002" s="17"/>
      <c r="CA1002" s="17"/>
      <c r="CB1002" s="17"/>
      <c r="CC1002" s="17"/>
      <c r="CD1002" s="17"/>
    </row>
    <row r="1003">
      <c r="A1003" s="92"/>
      <c r="B1003" s="820"/>
      <c r="O1003" s="17"/>
      <c r="P1003" s="17"/>
      <c r="Q1003" s="17"/>
      <c r="R1003" s="17"/>
      <c r="S1003" s="813"/>
      <c r="T1003" s="17"/>
      <c r="AX1003" s="17"/>
      <c r="BB1003" s="17"/>
      <c r="BE1003" s="17"/>
      <c r="BF1003" s="17"/>
      <c r="BG1003" s="17"/>
      <c r="BH1003" s="17"/>
      <c r="BI1003" s="17"/>
      <c r="BJ1003" s="17"/>
      <c r="BK1003" s="17"/>
      <c r="BL1003" s="92"/>
      <c r="BM1003" s="92"/>
      <c r="BN1003" s="92"/>
      <c r="BO1003" s="92"/>
      <c r="BP1003" s="92"/>
      <c r="BQ1003" s="818"/>
      <c r="BR1003" s="54"/>
      <c r="BS1003" s="54"/>
      <c r="BT1003" s="818"/>
      <c r="BU1003" s="818"/>
      <c r="BV1003" s="818"/>
      <c r="BW1003" s="92"/>
      <c r="BX1003" s="92"/>
      <c r="BY1003" s="17"/>
      <c r="BZ1003" s="17"/>
      <c r="CA1003" s="17"/>
      <c r="CB1003" s="17"/>
      <c r="CC1003" s="17"/>
      <c r="CD1003" s="17"/>
    </row>
    <row r="1004">
      <c r="A1004" s="92"/>
      <c r="B1004" s="820"/>
      <c r="O1004" s="17"/>
      <c r="P1004" s="17"/>
      <c r="Q1004" s="17"/>
      <c r="R1004" s="17"/>
      <c r="S1004" s="813"/>
      <c r="T1004" s="17"/>
      <c r="AX1004" s="17"/>
      <c r="BB1004" s="17"/>
      <c r="BE1004" s="17"/>
      <c r="BF1004" s="17"/>
      <c r="BG1004" s="17"/>
      <c r="BH1004" s="17"/>
      <c r="BI1004" s="17"/>
      <c r="BJ1004" s="17"/>
      <c r="BK1004" s="17"/>
      <c r="BL1004" s="92"/>
      <c r="BM1004" s="92"/>
      <c r="BN1004" s="92"/>
      <c r="BO1004" s="92"/>
      <c r="BP1004" s="92"/>
      <c r="BQ1004" s="818"/>
      <c r="BR1004" s="54"/>
      <c r="BS1004" s="54"/>
      <c r="BT1004" s="818"/>
      <c r="BU1004" s="818"/>
      <c r="BV1004" s="818"/>
      <c r="BW1004" s="92"/>
      <c r="BX1004" s="92"/>
      <c r="BY1004" s="17"/>
      <c r="BZ1004" s="17"/>
      <c r="CA1004" s="17"/>
      <c r="CB1004" s="17"/>
      <c r="CC1004" s="17"/>
      <c r="CD1004" s="17"/>
    </row>
    <row r="1005">
      <c r="A1005" s="92"/>
      <c r="B1005" s="820"/>
      <c r="O1005" s="17"/>
      <c r="P1005" s="17"/>
      <c r="Q1005" s="17"/>
      <c r="R1005" s="17"/>
      <c r="S1005" s="813"/>
      <c r="T1005" s="17"/>
      <c r="AX1005" s="17"/>
      <c r="BB1005" s="17"/>
      <c r="BE1005" s="17"/>
      <c r="BF1005" s="17"/>
      <c r="BG1005" s="17"/>
      <c r="BH1005" s="17"/>
      <c r="BI1005" s="17"/>
      <c r="BJ1005" s="17"/>
      <c r="BK1005" s="17"/>
      <c r="BL1005" s="92"/>
      <c r="BM1005" s="92"/>
      <c r="BN1005" s="92"/>
      <c r="BO1005" s="92"/>
      <c r="BP1005" s="92"/>
      <c r="BQ1005" s="818"/>
      <c r="BR1005" s="54"/>
      <c r="BS1005" s="54"/>
      <c r="BT1005" s="818"/>
      <c r="BU1005" s="818"/>
      <c r="BV1005" s="818"/>
      <c r="BW1005" s="92"/>
      <c r="BX1005" s="92"/>
      <c r="BY1005" s="17"/>
      <c r="BZ1005" s="17"/>
      <c r="CA1005" s="17"/>
      <c r="CB1005" s="17"/>
      <c r="CC1005" s="17"/>
      <c r="CD1005" s="17"/>
    </row>
    <row r="1006">
      <c r="A1006" s="92"/>
      <c r="B1006" s="820"/>
      <c r="O1006" s="17"/>
      <c r="P1006" s="17"/>
      <c r="Q1006" s="17"/>
      <c r="R1006" s="17"/>
      <c r="S1006" s="813"/>
      <c r="T1006" s="17"/>
      <c r="AX1006" s="17"/>
      <c r="BB1006" s="17"/>
      <c r="BE1006" s="17"/>
      <c r="BF1006" s="17"/>
      <c r="BG1006" s="17"/>
      <c r="BH1006" s="17"/>
      <c r="BI1006" s="17"/>
      <c r="BJ1006" s="17"/>
      <c r="BK1006" s="17"/>
      <c r="BL1006" s="92"/>
      <c r="BM1006" s="92"/>
      <c r="BN1006" s="92"/>
      <c r="BO1006" s="92"/>
      <c r="BP1006" s="92"/>
      <c r="BQ1006" s="818"/>
      <c r="BR1006" s="54"/>
      <c r="BS1006" s="54"/>
      <c r="BT1006" s="818"/>
      <c r="BU1006" s="818"/>
      <c r="BV1006" s="818"/>
      <c r="BW1006" s="92"/>
      <c r="BX1006" s="92"/>
      <c r="BY1006" s="17"/>
      <c r="BZ1006" s="17"/>
      <c r="CA1006" s="17"/>
      <c r="CB1006" s="17"/>
      <c r="CC1006" s="17"/>
      <c r="CD1006" s="17"/>
    </row>
    <row r="1007">
      <c r="A1007" s="92"/>
      <c r="B1007" s="820"/>
      <c r="O1007" s="17"/>
      <c r="P1007" s="17"/>
      <c r="Q1007" s="17"/>
      <c r="R1007" s="17"/>
      <c r="S1007" s="813"/>
      <c r="T1007" s="17"/>
      <c r="AX1007" s="17"/>
      <c r="BB1007" s="17"/>
      <c r="BE1007" s="17"/>
      <c r="BF1007" s="17"/>
      <c r="BG1007" s="17"/>
      <c r="BH1007" s="17"/>
      <c r="BI1007" s="17"/>
      <c r="BJ1007" s="17"/>
      <c r="BK1007" s="17"/>
      <c r="BL1007" s="92"/>
      <c r="BM1007" s="92"/>
      <c r="BN1007" s="92"/>
      <c r="BO1007" s="92"/>
      <c r="BP1007" s="92"/>
      <c r="BQ1007" s="818"/>
      <c r="BR1007" s="54"/>
      <c r="BS1007" s="54"/>
      <c r="BT1007" s="818"/>
      <c r="BU1007" s="818"/>
      <c r="BV1007" s="818"/>
      <c r="BW1007" s="92"/>
      <c r="BX1007" s="92"/>
      <c r="BY1007" s="17"/>
      <c r="BZ1007" s="17"/>
      <c r="CA1007" s="17"/>
      <c r="CB1007" s="17"/>
      <c r="CC1007" s="17"/>
      <c r="CD1007" s="17"/>
    </row>
    <row r="1008">
      <c r="A1008" s="92"/>
      <c r="B1008" s="820"/>
      <c r="O1008" s="17"/>
      <c r="P1008" s="17"/>
      <c r="Q1008" s="17"/>
      <c r="R1008" s="17"/>
      <c r="S1008" s="813"/>
      <c r="T1008" s="17"/>
      <c r="AX1008" s="17"/>
      <c r="BB1008" s="17"/>
      <c r="BE1008" s="17"/>
      <c r="BF1008" s="17"/>
      <c r="BG1008" s="17"/>
      <c r="BH1008" s="17"/>
      <c r="BI1008" s="17"/>
      <c r="BJ1008" s="17"/>
      <c r="BK1008" s="17"/>
      <c r="BL1008" s="92"/>
      <c r="BM1008" s="92"/>
      <c r="BN1008" s="92"/>
      <c r="BO1008" s="92"/>
      <c r="BP1008" s="92"/>
      <c r="BQ1008" s="818"/>
      <c r="BR1008" s="54"/>
      <c r="BS1008" s="54"/>
      <c r="BT1008" s="818"/>
      <c r="BU1008" s="818"/>
      <c r="BV1008" s="818"/>
      <c r="BW1008" s="92"/>
      <c r="BX1008" s="92"/>
      <c r="BY1008" s="17"/>
      <c r="BZ1008" s="17"/>
      <c r="CA1008" s="17"/>
      <c r="CB1008" s="17"/>
      <c r="CC1008" s="17"/>
      <c r="CD1008" s="17"/>
    </row>
    <row r="1009">
      <c r="A1009" s="92"/>
      <c r="B1009" s="820"/>
      <c r="O1009" s="17"/>
      <c r="P1009" s="17"/>
      <c r="Q1009" s="17"/>
      <c r="R1009" s="17"/>
      <c r="S1009" s="813"/>
      <c r="T1009" s="17"/>
      <c r="AX1009" s="17"/>
      <c r="BB1009" s="17"/>
      <c r="BE1009" s="17"/>
      <c r="BF1009" s="17"/>
      <c r="BG1009" s="17"/>
      <c r="BH1009" s="17"/>
      <c r="BI1009" s="17"/>
      <c r="BJ1009" s="17"/>
      <c r="BK1009" s="17"/>
      <c r="BL1009" s="92"/>
      <c r="BM1009" s="92"/>
      <c r="BN1009" s="92"/>
      <c r="BO1009" s="92"/>
      <c r="BP1009" s="92"/>
      <c r="BQ1009" s="818"/>
      <c r="BR1009" s="54"/>
      <c r="BS1009" s="54"/>
      <c r="BT1009" s="818"/>
      <c r="BU1009" s="818"/>
      <c r="BV1009" s="818"/>
      <c r="BW1009" s="92"/>
      <c r="BX1009" s="92"/>
      <c r="BY1009" s="17"/>
      <c r="BZ1009" s="17"/>
      <c r="CA1009" s="17"/>
      <c r="CB1009" s="17"/>
      <c r="CC1009" s="17"/>
      <c r="CD1009" s="17"/>
    </row>
    <row r="1010">
      <c r="A1010" s="92"/>
      <c r="B1010" s="820"/>
      <c r="O1010" s="17"/>
      <c r="P1010" s="17"/>
      <c r="Q1010" s="17"/>
      <c r="R1010" s="17"/>
      <c r="S1010" s="813"/>
      <c r="T1010" s="17"/>
      <c r="AX1010" s="17"/>
      <c r="BB1010" s="17"/>
      <c r="BE1010" s="17"/>
      <c r="BF1010" s="17"/>
      <c r="BG1010" s="17"/>
      <c r="BH1010" s="17"/>
      <c r="BI1010" s="17"/>
      <c r="BJ1010" s="17"/>
      <c r="BK1010" s="17"/>
      <c r="BL1010" s="92"/>
      <c r="BM1010" s="92"/>
      <c r="BN1010" s="92"/>
      <c r="BO1010" s="92"/>
      <c r="BP1010" s="92"/>
      <c r="BQ1010" s="818"/>
      <c r="BR1010" s="54"/>
      <c r="BS1010" s="54"/>
      <c r="BT1010" s="818"/>
      <c r="BU1010" s="818"/>
      <c r="BV1010" s="818"/>
      <c r="BW1010" s="92"/>
      <c r="BX1010" s="92"/>
      <c r="BY1010" s="17"/>
      <c r="BZ1010" s="17"/>
      <c r="CA1010" s="17"/>
      <c r="CB1010" s="17"/>
      <c r="CC1010" s="17"/>
      <c r="CD1010" s="17"/>
    </row>
    <row r="1011">
      <c r="A1011" s="92"/>
      <c r="B1011" s="820"/>
      <c r="O1011" s="17"/>
      <c r="P1011" s="17"/>
      <c r="Q1011" s="17"/>
      <c r="R1011" s="17"/>
      <c r="S1011" s="813"/>
      <c r="T1011" s="17"/>
      <c r="AX1011" s="17"/>
      <c r="BB1011" s="17"/>
      <c r="BE1011" s="17"/>
      <c r="BF1011" s="17"/>
      <c r="BG1011" s="17"/>
      <c r="BH1011" s="17"/>
      <c r="BI1011" s="17"/>
      <c r="BJ1011" s="17"/>
      <c r="BK1011" s="17"/>
      <c r="BL1011" s="92"/>
      <c r="BM1011" s="92"/>
      <c r="BN1011" s="92"/>
      <c r="BO1011" s="92"/>
      <c r="BP1011" s="92"/>
      <c r="BQ1011" s="818"/>
      <c r="BR1011" s="54"/>
      <c r="BS1011" s="54"/>
      <c r="BT1011" s="818"/>
      <c r="BU1011" s="818"/>
      <c r="BV1011" s="818"/>
      <c r="BW1011" s="92"/>
      <c r="BX1011" s="92"/>
      <c r="BY1011" s="17"/>
      <c r="BZ1011" s="17"/>
      <c r="CA1011" s="17"/>
      <c r="CB1011" s="17"/>
      <c r="CC1011" s="17"/>
      <c r="CD1011" s="17"/>
    </row>
    <row r="1012">
      <c r="A1012" s="92"/>
      <c r="B1012" s="820"/>
      <c r="O1012" s="17"/>
      <c r="P1012" s="17"/>
      <c r="Q1012" s="17"/>
      <c r="R1012" s="17"/>
      <c r="S1012" s="813"/>
      <c r="T1012" s="17"/>
      <c r="AX1012" s="17"/>
      <c r="BB1012" s="17"/>
      <c r="BE1012" s="17"/>
      <c r="BF1012" s="17"/>
      <c r="BG1012" s="17"/>
      <c r="BH1012" s="17"/>
      <c r="BI1012" s="17"/>
      <c r="BJ1012" s="17"/>
      <c r="BK1012" s="17"/>
      <c r="BL1012" s="92"/>
      <c r="BM1012" s="92"/>
      <c r="BN1012" s="92"/>
      <c r="BO1012" s="92"/>
      <c r="BP1012" s="92"/>
      <c r="BQ1012" s="818"/>
      <c r="BR1012" s="54"/>
      <c r="BS1012" s="54"/>
      <c r="BT1012" s="818"/>
      <c r="BU1012" s="818"/>
      <c r="BV1012" s="818"/>
      <c r="BW1012" s="92"/>
      <c r="BX1012" s="92"/>
      <c r="BY1012" s="17"/>
      <c r="BZ1012" s="17"/>
      <c r="CA1012" s="17"/>
      <c r="CB1012" s="17"/>
      <c r="CC1012" s="17"/>
      <c r="CD1012" s="17"/>
    </row>
    <row r="1013">
      <c r="A1013" s="92"/>
      <c r="B1013" s="820"/>
      <c r="O1013" s="17"/>
      <c r="P1013" s="17"/>
      <c r="Q1013" s="17"/>
      <c r="R1013" s="17"/>
      <c r="S1013" s="813"/>
      <c r="T1013" s="17"/>
      <c r="AX1013" s="17"/>
      <c r="BB1013" s="17"/>
      <c r="BE1013" s="17"/>
      <c r="BF1013" s="17"/>
      <c r="BG1013" s="17"/>
      <c r="BH1013" s="17"/>
      <c r="BI1013" s="17"/>
      <c r="BJ1013" s="17"/>
      <c r="BK1013" s="17"/>
      <c r="BL1013" s="92"/>
      <c r="BM1013" s="92"/>
      <c r="BN1013" s="92"/>
      <c r="BO1013" s="92"/>
      <c r="BP1013" s="92"/>
      <c r="BQ1013" s="818"/>
      <c r="BR1013" s="54"/>
      <c r="BS1013" s="54"/>
      <c r="BT1013" s="818"/>
      <c r="BU1013" s="818"/>
      <c r="BV1013" s="818"/>
      <c r="BW1013" s="92"/>
      <c r="BX1013" s="92"/>
      <c r="BY1013" s="17"/>
      <c r="BZ1013" s="17"/>
      <c r="CA1013" s="17"/>
      <c r="CB1013" s="17"/>
      <c r="CC1013" s="17"/>
      <c r="CD1013" s="17"/>
    </row>
    <row r="1014">
      <c r="A1014" s="92"/>
      <c r="B1014" s="820"/>
      <c r="O1014" s="17"/>
      <c r="P1014" s="17"/>
      <c r="Q1014" s="17"/>
      <c r="R1014" s="17"/>
      <c r="S1014" s="813"/>
      <c r="T1014" s="17"/>
      <c r="AX1014" s="17"/>
      <c r="BB1014" s="17"/>
      <c r="BE1014" s="17"/>
      <c r="BF1014" s="17"/>
      <c r="BG1014" s="17"/>
      <c r="BH1014" s="17"/>
      <c r="BI1014" s="17"/>
      <c r="BJ1014" s="17"/>
      <c r="BK1014" s="17"/>
      <c r="BL1014" s="92"/>
      <c r="BM1014" s="92"/>
      <c r="BN1014" s="92"/>
      <c r="BO1014" s="92"/>
      <c r="BP1014" s="92"/>
      <c r="BQ1014" s="818"/>
      <c r="BR1014" s="54"/>
      <c r="BS1014" s="54"/>
      <c r="BT1014" s="818"/>
      <c r="BU1014" s="818"/>
      <c r="BV1014" s="818"/>
      <c r="BW1014" s="92"/>
      <c r="BX1014" s="92"/>
      <c r="BY1014" s="17"/>
      <c r="BZ1014" s="17"/>
      <c r="CA1014" s="17"/>
      <c r="CB1014" s="17"/>
      <c r="CC1014" s="17"/>
      <c r="CD1014" s="17"/>
    </row>
    <row r="1015">
      <c r="A1015" s="92"/>
      <c r="B1015" s="820"/>
      <c r="O1015" s="17"/>
      <c r="P1015" s="17"/>
      <c r="Q1015" s="17"/>
      <c r="R1015" s="17"/>
      <c r="S1015" s="813"/>
      <c r="T1015" s="17"/>
      <c r="AX1015" s="17"/>
      <c r="BB1015" s="17"/>
      <c r="BE1015" s="17"/>
      <c r="BF1015" s="17"/>
      <c r="BG1015" s="17"/>
      <c r="BH1015" s="17"/>
      <c r="BI1015" s="17"/>
      <c r="BJ1015" s="17"/>
      <c r="BK1015" s="17"/>
      <c r="BL1015" s="92"/>
      <c r="BM1015" s="92"/>
      <c r="BN1015" s="92"/>
      <c r="BO1015" s="92"/>
      <c r="BP1015" s="92"/>
      <c r="BQ1015" s="818"/>
      <c r="BR1015" s="54"/>
      <c r="BS1015" s="54"/>
      <c r="BT1015" s="818"/>
      <c r="BU1015" s="818"/>
      <c r="BV1015" s="818"/>
      <c r="BW1015" s="92"/>
      <c r="BX1015" s="92"/>
      <c r="BY1015" s="17"/>
      <c r="BZ1015" s="17"/>
      <c r="CA1015" s="17"/>
      <c r="CB1015" s="17"/>
      <c r="CC1015" s="17"/>
      <c r="CD1015" s="17"/>
    </row>
    <row r="1016">
      <c r="A1016" s="92"/>
      <c r="B1016" s="820"/>
      <c r="O1016" s="17"/>
      <c r="P1016" s="17"/>
      <c r="Q1016" s="17"/>
      <c r="R1016" s="17"/>
      <c r="S1016" s="813"/>
      <c r="T1016" s="17"/>
      <c r="AX1016" s="17"/>
      <c r="BB1016" s="17"/>
      <c r="BE1016" s="17"/>
      <c r="BF1016" s="17"/>
      <c r="BG1016" s="17"/>
      <c r="BH1016" s="17"/>
      <c r="BI1016" s="17"/>
      <c r="BJ1016" s="17"/>
      <c r="BK1016" s="17"/>
      <c r="BL1016" s="92"/>
      <c r="BM1016" s="92"/>
      <c r="BN1016" s="92"/>
      <c r="BO1016" s="92"/>
      <c r="BP1016" s="92"/>
      <c r="BQ1016" s="818"/>
      <c r="BR1016" s="54"/>
      <c r="BS1016" s="54"/>
      <c r="BT1016" s="818"/>
      <c r="BU1016" s="818"/>
      <c r="BV1016" s="818"/>
      <c r="BW1016" s="92"/>
      <c r="BX1016" s="92"/>
      <c r="BY1016" s="17"/>
      <c r="BZ1016" s="17"/>
      <c r="CA1016" s="17"/>
      <c r="CB1016" s="17"/>
      <c r="CC1016" s="17"/>
      <c r="CD1016" s="17"/>
    </row>
    <row r="1017">
      <c r="A1017" s="92"/>
      <c r="B1017" s="820"/>
      <c r="O1017" s="17"/>
      <c r="P1017" s="17"/>
      <c r="Q1017" s="17"/>
      <c r="R1017" s="17"/>
      <c r="S1017" s="813"/>
      <c r="T1017" s="17"/>
      <c r="AX1017" s="17"/>
      <c r="BB1017" s="17"/>
      <c r="BE1017" s="17"/>
      <c r="BF1017" s="17"/>
      <c r="BG1017" s="17"/>
      <c r="BH1017" s="17"/>
      <c r="BI1017" s="17"/>
      <c r="BJ1017" s="17"/>
      <c r="BK1017" s="17"/>
      <c r="BL1017" s="92"/>
      <c r="BM1017" s="92"/>
      <c r="BN1017" s="92"/>
      <c r="BO1017" s="92"/>
      <c r="BP1017" s="92"/>
      <c r="BQ1017" s="818"/>
      <c r="BR1017" s="54"/>
      <c r="BS1017" s="54"/>
      <c r="BT1017" s="818"/>
      <c r="BU1017" s="818"/>
      <c r="BV1017" s="818"/>
      <c r="BW1017" s="92"/>
      <c r="BX1017" s="92"/>
      <c r="BY1017" s="17"/>
      <c r="BZ1017" s="17"/>
      <c r="CA1017" s="17"/>
      <c r="CB1017" s="17"/>
      <c r="CC1017" s="17"/>
      <c r="CD1017" s="17"/>
    </row>
    <row r="1018">
      <c r="A1018" s="92"/>
      <c r="B1018" s="820"/>
      <c r="O1018" s="17"/>
      <c r="P1018" s="17"/>
      <c r="Q1018" s="17"/>
      <c r="R1018" s="17"/>
      <c r="S1018" s="813"/>
      <c r="T1018" s="17"/>
      <c r="AX1018" s="17"/>
      <c r="BB1018" s="17"/>
      <c r="BE1018" s="17"/>
      <c r="BF1018" s="17"/>
      <c r="BG1018" s="17"/>
      <c r="BH1018" s="17"/>
      <c r="BI1018" s="17"/>
      <c r="BJ1018" s="17"/>
      <c r="BK1018" s="17"/>
      <c r="BL1018" s="92"/>
      <c r="BM1018" s="92"/>
      <c r="BN1018" s="92"/>
      <c r="BO1018" s="92"/>
      <c r="BP1018" s="92"/>
      <c r="BQ1018" s="818"/>
      <c r="BR1018" s="54"/>
      <c r="BS1018" s="54"/>
      <c r="BT1018" s="818"/>
      <c r="BU1018" s="818"/>
      <c r="BV1018" s="818"/>
      <c r="BW1018" s="92"/>
      <c r="BX1018" s="92"/>
      <c r="BY1018" s="17"/>
      <c r="BZ1018" s="17"/>
      <c r="CA1018" s="17"/>
      <c r="CB1018" s="17"/>
      <c r="CC1018" s="17"/>
      <c r="CD1018" s="17"/>
    </row>
    <row r="1019">
      <c r="A1019" s="92"/>
      <c r="B1019" s="820"/>
      <c r="O1019" s="17"/>
      <c r="P1019" s="17"/>
      <c r="Q1019" s="17"/>
      <c r="R1019" s="17"/>
      <c r="S1019" s="813"/>
      <c r="T1019" s="17"/>
      <c r="AX1019" s="17"/>
      <c r="BB1019" s="17"/>
      <c r="BE1019" s="17"/>
      <c r="BF1019" s="17"/>
      <c r="BG1019" s="17"/>
      <c r="BH1019" s="17"/>
      <c r="BI1019" s="17"/>
      <c r="BJ1019" s="17"/>
      <c r="BK1019" s="17"/>
      <c r="BL1019" s="92"/>
      <c r="BM1019" s="92"/>
      <c r="BN1019" s="92"/>
      <c r="BO1019" s="92"/>
      <c r="BP1019" s="92"/>
      <c r="BQ1019" s="818"/>
      <c r="BR1019" s="54"/>
      <c r="BS1019" s="54"/>
      <c r="BT1019" s="818"/>
      <c r="BU1019" s="818"/>
      <c r="BV1019" s="818"/>
      <c r="BW1019" s="92"/>
      <c r="BX1019" s="92"/>
      <c r="BY1019" s="17"/>
      <c r="BZ1019" s="17"/>
      <c r="CA1019" s="17"/>
      <c r="CB1019" s="17"/>
      <c r="CC1019" s="17"/>
      <c r="CD1019" s="17"/>
    </row>
    <row r="1020">
      <c r="A1020" s="92"/>
      <c r="B1020" s="820"/>
      <c r="O1020" s="17"/>
      <c r="P1020" s="17"/>
      <c r="Q1020" s="17"/>
      <c r="R1020" s="17"/>
      <c r="S1020" s="813"/>
      <c r="T1020" s="17"/>
      <c r="AX1020" s="17"/>
      <c r="BB1020" s="17"/>
      <c r="BE1020" s="17"/>
      <c r="BF1020" s="17"/>
      <c r="BG1020" s="17"/>
      <c r="BH1020" s="17"/>
      <c r="BI1020" s="17"/>
      <c r="BJ1020" s="17"/>
      <c r="BK1020" s="17"/>
      <c r="BL1020" s="92"/>
      <c r="BM1020" s="92"/>
      <c r="BN1020" s="92"/>
      <c r="BO1020" s="92"/>
      <c r="BP1020" s="92"/>
      <c r="BQ1020" s="818"/>
      <c r="BR1020" s="54"/>
      <c r="BS1020" s="54"/>
      <c r="BT1020" s="818"/>
      <c r="BU1020" s="818"/>
      <c r="BV1020" s="818"/>
      <c r="BW1020" s="92"/>
      <c r="BX1020" s="92"/>
      <c r="BY1020" s="17"/>
      <c r="BZ1020" s="17"/>
      <c r="CA1020" s="17"/>
      <c r="CB1020" s="17"/>
      <c r="CC1020" s="17"/>
      <c r="CD1020" s="17"/>
    </row>
    <row r="1021">
      <c r="A1021" s="92"/>
      <c r="B1021" s="820"/>
      <c r="O1021" s="17"/>
      <c r="P1021" s="17"/>
      <c r="Q1021" s="17"/>
      <c r="R1021" s="17"/>
      <c r="S1021" s="813"/>
      <c r="T1021" s="17"/>
      <c r="AX1021" s="17"/>
      <c r="BB1021" s="17"/>
      <c r="BE1021" s="17"/>
      <c r="BF1021" s="17"/>
      <c r="BG1021" s="17"/>
      <c r="BH1021" s="17"/>
      <c r="BI1021" s="17"/>
      <c r="BJ1021" s="17"/>
      <c r="BK1021" s="17"/>
      <c r="BL1021" s="92"/>
      <c r="BM1021" s="92"/>
      <c r="BN1021" s="92"/>
      <c r="BO1021" s="92"/>
      <c r="BP1021" s="92"/>
      <c r="BQ1021" s="818"/>
      <c r="BR1021" s="54"/>
      <c r="BS1021" s="54"/>
      <c r="BT1021" s="818"/>
      <c r="BU1021" s="818"/>
      <c r="BV1021" s="818"/>
      <c r="BW1021" s="92"/>
      <c r="BX1021" s="92"/>
      <c r="BY1021" s="17"/>
      <c r="BZ1021" s="17"/>
      <c r="CA1021" s="17"/>
      <c r="CB1021" s="17"/>
      <c r="CC1021" s="17"/>
      <c r="CD1021" s="17"/>
    </row>
    <row r="1022">
      <c r="A1022" s="92"/>
      <c r="B1022" s="820"/>
      <c r="O1022" s="17"/>
      <c r="P1022" s="17"/>
      <c r="Q1022" s="17"/>
      <c r="R1022" s="17"/>
      <c r="S1022" s="813"/>
      <c r="T1022" s="17"/>
      <c r="AX1022" s="17"/>
      <c r="BB1022" s="17"/>
      <c r="BE1022" s="17"/>
      <c r="BF1022" s="17"/>
      <c r="BG1022" s="17"/>
      <c r="BH1022" s="17"/>
      <c r="BI1022" s="17"/>
      <c r="BJ1022" s="17"/>
      <c r="BK1022" s="17"/>
      <c r="BL1022" s="92"/>
      <c r="BM1022" s="92"/>
      <c r="BN1022" s="92"/>
      <c r="BO1022" s="92"/>
      <c r="BP1022" s="92"/>
      <c r="BQ1022" s="818"/>
      <c r="BR1022" s="54"/>
      <c r="BS1022" s="54"/>
      <c r="BT1022" s="818"/>
      <c r="BU1022" s="818"/>
      <c r="BV1022" s="818"/>
      <c r="BW1022" s="92"/>
      <c r="BX1022" s="92"/>
      <c r="BY1022" s="17"/>
      <c r="BZ1022" s="17"/>
      <c r="CA1022" s="17"/>
      <c r="CB1022" s="17"/>
      <c r="CC1022" s="17"/>
      <c r="CD1022" s="17"/>
    </row>
    <row r="1023">
      <c r="A1023" s="92"/>
      <c r="B1023" s="820"/>
      <c r="O1023" s="17"/>
      <c r="P1023" s="17"/>
      <c r="Q1023" s="17"/>
      <c r="R1023" s="17"/>
      <c r="S1023" s="813"/>
      <c r="T1023" s="17"/>
      <c r="AX1023" s="17"/>
      <c r="BB1023" s="17"/>
      <c r="BE1023" s="17"/>
      <c r="BF1023" s="17"/>
      <c r="BG1023" s="17"/>
      <c r="BH1023" s="17"/>
      <c r="BI1023" s="17"/>
      <c r="BJ1023" s="17"/>
      <c r="BK1023" s="17"/>
      <c r="BL1023" s="92"/>
      <c r="BM1023" s="92"/>
      <c r="BN1023" s="92"/>
      <c r="BO1023" s="92"/>
      <c r="BP1023" s="92"/>
      <c r="BQ1023" s="818"/>
      <c r="BR1023" s="54"/>
      <c r="BS1023" s="54"/>
      <c r="BT1023" s="818"/>
      <c r="BU1023" s="818"/>
      <c r="BV1023" s="818"/>
      <c r="BW1023" s="92"/>
      <c r="BX1023" s="92"/>
      <c r="BY1023" s="17"/>
      <c r="BZ1023" s="17"/>
      <c r="CA1023" s="17"/>
      <c r="CB1023" s="17"/>
      <c r="CC1023" s="17"/>
      <c r="CD1023" s="17"/>
    </row>
    <row r="1024">
      <c r="A1024" s="92"/>
      <c r="B1024" s="820"/>
      <c r="O1024" s="17"/>
      <c r="P1024" s="17"/>
      <c r="Q1024" s="17"/>
      <c r="R1024" s="17"/>
      <c r="S1024" s="813"/>
      <c r="T1024" s="17"/>
      <c r="AX1024" s="17"/>
      <c r="BB1024" s="17"/>
      <c r="BE1024" s="17"/>
      <c r="BF1024" s="17"/>
      <c r="BG1024" s="17"/>
      <c r="BH1024" s="17"/>
      <c r="BI1024" s="17"/>
      <c r="BJ1024" s="17"/>
      <c r="BK1024" s="17"/>
      <c r="BL1024" s="92"/>
      <c r="BM1024" s="92"/>
      <c r="BN1024" s="92"/>
      <c r="BO1024" s="92"/>
      <c r="BP1024" s="92"/>
      <c r="BQ1024" s="818"/>
      <c r="BR1024" s="54"/>
      <c r="BS1024" s="54"/>
      <c r="BT1024" s="818"/>
      <c r="BU1024" s="818"/>
      <c r="BV1024" s="818"/>
      <c r="BW1024" s="92"/>
      <c r="BX1024" s="92"/>
      <c r="BY1024" s="17"/>
      <c r="BZ1024" s="17"/>
      <c r="CA1024" s="17"/>
      <c r="CB1024" s="17"/>
      <c r="CC1024" s="17"/>
      <c r="CD1024" s="17"/>
    </row>
    <row r="1025">
      <c r="A1025" s="92"/>
      <c r="B1025" s="820"/>
      <c r="O1025" s="17"/>
      <c r="P1025" s="17"/>
      <c r="Q1025" s="17"/>
      <c r="R1025" s="17"/>
      <c r="S1025" s="813"/>
      <c r="T1025" s="17"/>
      <c r="AX1025" s="17"/>
      <c r="BB1025" s="17"/>
      <c r="BE1025" s="17"/>
      <c r="BF1025" s="17"/>
      <c r="BG1025" s="17"/>
      <c r="BH1025" s="17"/>
      <c r="BI1025" s="17"/>
      <c r="BJ1025" s="17"/>
      <c r="BK1025" s="17"/>
      <c r="BL1025" s="92"/>
      <c r="BM1025" s="92"/>
      <c r="BN1025" s="92"/>
      <c r="BO1025" s="92"/>
      <c r="BP1025" s="92"/>
      <c r="BQ1025" s="818"/>
      <c r="BR1025" s="54"/>
      <c r="BS1025" s="54"/>
      <c r="BT1025" s="818"/>
      <c r="BU1025" s="818"/>
      <c r="BV1025" s="818"/>
      <c r="BW1025" s="92"/>
      <c r="BX1025" s="92"/>
      <c r="BY1025" s="17"/>
      <c r="BZ1025" s="17"/>
      <c r="CA1025" s="17"/>
      <c r="CB1025" s="17"/>
      <c r="CC1025" s="17"/>
      <c r="CD1025" s="17"/>
    </row>
    <row r="1026">
      <c r="A1026" s="92"/>
      <c r="B1026" s="820"/>
      <c r="O1026" s="17"/>
      <c r="P1026" s="17"/>
      <c r="Q1026" s="17"/>
      <c r="R1026" s="17"/>
      <c r="S1026" s="813"/>
      <c r="T1026" s="17"/>
      <c r="AX1026" s="17"/>
      <c r="BB1026" s="17"/>
      <c r="BE1026" s="17"/>
      <c r="BF1026" s="17"/>
      <c r="BG1026" s="17"/>
      <c r="BH1026" s="17"/>
      <c r="BI1026" s="17"/>
      <c r="BJ1026" s="17"/>
      <c r="BK1026" s="17"/>
      <c r="BL1026" s="92"/>
      <c r="BM1026" s="92"/>
      <c r="BN1026" s="92"/>
      <c r="BO1026" s="92"/>
      <c r="BP1026" s="92"/>
      <c r="BQ1026" s="818"/>
      <c r="BR1026" s="54"/>
      <c r="BS1026" s="54"/>
      <c r="BT1026" s="818"/>
      <c r="BU1026" s="818"/>
      <c r="BV1026" s="818"/>
      <c r="BW1026" s="92"/>
      <c r="BX1026" s="92"/>
      <c r="BY1026" s="17"/>
      <c r="BZ1026" s="17"/>
      <c r="CA1026" s="17"/>
      <c r="CB1026" s="17"/>
      <c r="CC1026" s="17"/>
      <c r="CD1026" s="17"/>
    </row>
    <row r="1027">
      <c r="A1027" s="92"/>
      <c r="B1027" s="820"/>
      <c r="O1027" s="17"/>
      <c r="P1027" s="17"/>
      <c r="Q1027" s="17"/>
      <c r="R1027" s="17"/>
      <c r="S1027" s="813"/>
      <c r="T1027" s="17"/>
      <c r="AX1027" s="17"/>
      <c r="BB1027" s="17"/>
      <c r="BE1027" s="17"/>
      <c r="BF1027" s="17"/>
      <c r="BG1027" s="17"/>
      <c r="BH1027" s="17"/>
      <c r="BI1027" s="17"/>
      <c r="BJ1027" s="17"/>
      <c r="BK1027" s="17"/>
      <c r="BL1027" s="92"/>
      <c r="BM1027" s="92"/>
      <c r="BN1027" s="92"/>
      <c r="BO1027" s="92"/>
      <c r="BP1027" s="92"/>
      <c r="BQ1027" s="818"/>
      <c r="BR1027" s="54"/>
      <c r="BS1027" s="54"/>
      <c r="BT1027" s="818"/>
      <c r="BU1027" s="818"/>
      <c r="BV1027" s="818"/>
      <c r="BW1027" s="92"/>
      <c r="BX1027" s="92"/>
      <c r="BY1027" s="17"/>
      <c r="BZ1027" s="17"/>
      <c r="CA1027" s="17"/>
      <c r="CB1027" s="17"/>
      <c r="CC1027" s="17"/>
      <c r="CD1027" s="17"/>
    </row>
    <row r="1028">
      <c r="A1028" s="92"/>
      <c r="B1028" s="820"/>
      <c r="O1028" s="17"/>
      <c r="P1028" s="17"/>
      <c r="Q1028" s="17"/>
      <c r="R1028" s="17"/>
      <c r="S1028" s="813"/>
      <c r="T1028" s="17"/>
      <c r="AX1028" s="17"/>
      <c r="BB1028" s="17"/>
      <c r="BE1028" s="17"/>
      <c r="BF1028" s="17"/>
      <c r="BG1028" s="17"/>
      <c r="BH1028" s="17"/>
      <c r="BI1028" s="17"/>
      <c r="BJ1028" s="17"/>
      <c r="BK1028" s="17"/>
      <c r="BL1028" s="92"/>
      <c r="BM1028" s="92"/>
      <c r="BN1028" s="92"/>
      <c r="BO1028" s="92"/>
      <c r="BP1028" s="92"/>
      <c r="BQ1028" s="818"/>
      <c r="BR1028" s="54"/>
      <c r="BS1028" s="54"/>
      <c r="BT1028" s="818"/>
      <c r="BU1028" s="818"/>
      <c r="BV1028" s="818"/>
      <c r="BW1028" s="92"/>
      <c r="BX1028" s="92"/>
      <c r="BY1028" s="17"/>
      <c r="BZ1028" s="17"/>
      <c r="CA1028" s="17"/>
      <c r="CB1028" s="17"/>
      <c r="CC1028" s="17"/>
      <c r="CD1028" s="17"/>
    </row>
    <row r="1029">
      <c r="A1029" s="92"/>
      <c r="B1029" s="820"/>
      <c r="O1029" s="17"/>
      <c r="P1029" s="17"/>
      <c r="Q1029" s="17"/>
      <c r="R1029" s="17"/>
      <c r="S1029" s="813"/>
      <c r="T1029" s="17"/>
      <c r="AX1029" s="17"/>
      <c r="BB1029" s="17"/>
      <c r="BE1029" s="17"/>
      <c r="BF1029" s="17"/>
      <c r="BG1029" s="17"/>
      <c r="BH1029" s="17"/>
      <c r="BI1029" s="17"/>
      <c r="BJ1029" s="17"/>
      <c r="BK1029" s="17"/>
      <c r="BL1029" s="92"/>
      <c r="BM1029" s="92"/>
      <c r="BN1029" s="92"/>
      <c r="BO1029" s="92"/>
      <c r="BP1029" s="92"/>
      <c r="BQ1029" s="818"/>
      <c r="BR1029" s="54"/>
      <c r="BS1029" s="54"/>
      <c r="BT1029" s="818"/>
      <c r="BU1029" s="818"/>
      <c r="BV1029" s="818"/>
      <c r="BW1029" s="92"/>
      <c r="BX1029" s="92"/>
      <c r="BY1029" s="17"/>
      <c r="BZ1029" s="17"/>
      <c r="CA1029" s="17"/>
      <c r="CB1029" s="17"/>
      <c r="CC1029" s="17"/>
      <c r="CD1029" s="17"/>
    </row>
    <row r="1030">
      <c r="A1030" s="92"/>
      <c r="B1030" s="820"/>
      <c r="O1030" s="17"/>
      <c r="P1030" s="17"/>
      <c r="Q1030" s="17"/>
      <c r="R1030" s="17"/>
      <c r="S1030" s="813"/>
      <c r="T1030" s="17"/>
      <c r="AX1030" s="17"/>
      <c r="BB1030" s="17"/>
      <c r="BE1030" s="17"/>
      <c r="BF1030" s="17"/>
      <c r="BG1030" s="17"/>
      <c r="BH1030" s="17"/>
      <c r="BI1030" s="17"/>
      <c r="BJ1030" s="17"/>
      <c r="BK1030" s="17"/>
      <c r="BL1030" s="92"/>
      <c r="BM1030" s="92"/>
      <c r="BN1030" s="92"/>
      <c r="BO1030" s="92"/>
      <c r="BP1030" s="92"/>
      <c r="BQ1030" s="818"/>
      <c r="BR1030" s="54"/>
      <c r="BS1030" s="54"/>
      <c r="BT1030" s="818"/>
      <c r="BU1030" s="818"/>
      <c r="BV1030" s="818"/>
      <c r="BW1030" s="92"/>
      <c r="BX1030" s="92"/>
      <c r="BY1030" s="17"/>
      <c r="BZ1030" s="17"/>
      <c r="CA1030" s="17"/>
      <c r="CB1030" s="17"/>
      <c r="CC1030" s="17"/>
      <c r="CD1030" s="17"/>
    </row>
    <row r="1031">
      <c r="A1031" s="92"/>
      <c r="B1031" s="820"/>
      <c r="O1031" s="17"/>
      <c r="P1031" s="17"/>
      <c r="Q1031" s="17"/>
      <c r="R1031" s="17"/>
      <c r="S1031" s="813"/>
      <c r="T1031" s="17"/>
      <c r="AX1031" s="17"/>
      <c r="BB1031" s="17"/>
      <c r="BE1031" s="17"/>
      <c r="BF1031" s="17"/>
      <c r="BG1031" s="17"/>
      <c r="BH1031" s="17"/>
      <c r="BI1031" s="17"/>
      <c r="BJ1031" s="17"/>
      <c r="BK1031" s="17"/>
      <c r="BL1031" s="92"/>
      <c r="BM1031" s="92"/>
      <c r="BN1031" s="92"/>
      <c r="BO1031" s="92"/>
      <c r="BP1031" s="92"/>
      <c r="BQ1031" s="818"/>
      <c r="BR1031" s="54"/>
      <c r="BS1031" s="54"/>
      <c r="BT1031" s="818"/>
      <c r="BU1031" s="818"/>
      <c r="BV1031" s="818"/>
      <c r="BW1031" s="92"/>
      <c r="BX1031" s="92"/>
      <c r="BY1031" s="17"/>
      <c r="BZ1031" s="17"/>
      <c r="CA1031" s="17"/>
      <c r="CB1031" s="17"/>
      <c r="CC1031" s="17"/>
      <c r="CD1031" s="17"/>
    </row>
    <row r="1032">
      <c r="A1032" s="92"/>
      <c r="B1032" s="820"/>
      <c r="O1032" s="17"/>
      <c r="P1032" s="17"/>
      <c r="Q1032" s="17"/>
      <c r="R1032" s="17"/>
      <c r="S1032" s="813"/>
      <c r="T1032" s="17"/>
      <c r="AX1032" s="17"/>
      <c r="BB1032" s="17"/>
      <c r="BE1032" s="17"/>
      <c r="BF1032" s="17"/>
      <c r="BG1032" s="17"/>
      <c r="BH1032" s="17"/>
      <c r="BI1032" s="17"/>
      <c r="BJ1032" s="17"/>
      <c r="BK1032" s="17"/>
      <c r="BL1032" s="92"/>
      <c r="BM1032" s="92"/>
      <c r="BN1032" s="92"/>
      <c r="BO1032" s="92"/>
      <c r="BP1032" s="92"/>
      <c r="BQ1032" s="818"/>
      <c r="BR1032" s="54"/>
      <c r="BS1032" s="54"/>
      <c r="BT1032" s="818"/>
      <c r="BU1032" s="818"/>
      <c r="BV1032" s="818"/>
      <c r="BW1032" s="92"/>
      <c r="BX1032" s="92"/>
      <c r="BY1032" s="17"/>
      <c r="BZ1032" s="17"/>
      <c r="CA1032" s="17"/>
      <c r="CB1032" s="17"/>
      <c r="CC1032" s="17"/>
      <c r="CD1032" s="17"/>
    </row>
    <row r="1033">
      <c r="A1033" s="92"/>
      <c r="B1033" s="820"/>
      <c r="O1033" s="17"/>
      <c r="P1033" s="17"/>
      <c r="Q1033" s="17"/>
      <c r="R1033" s="17"/>
      <c r="S1033" s="813"/>
      <c r="T1033" s="17"/>
      <c r="AX1033" s="17"/>
      <c r="BB1033" s="17"/>
      <c r="BE1033" s="17"/>
      <c r="BF1033" s="17"/>
      <c r="BG1033" s="17"/>
      <c r="BH1033" s="17"/>
      <c r="BI1033" s="17"/>
      <c r="BJ1033" s="17"/>
      <c r="BK1033" s="17"/>
      <c r="BL1033" s="92"/>
      <c r="BM1033" s="92"/>
      <c r="BN1033" s="92"/>
      <c r="BO1033" s="92"/>
      <c r="BP1033" s="92"/>
      <c r="BQ1033" s="818"/>
      <c r="BR1033" s="54"/>
      <c r="BS1033" s="54"/>
      <c r="BT1033" s="818"/>
      <c r="BU1033" s="818"/>
      <c r="BV1033" s="818"/>
      <c r="BW1033" s="92"/>
      <c r="BX1033" s="92"/>
      <c r="BY1033" s="17"/>
      <c r="BZ1033" s="17"/>
      <c r="CA1033" s="17"/>
      <c r="CB1033" s="17"/>
      <c r="CC1033" s="17"/>
      <c r="CD1033" s="17"/>
    </row>
    <row r="1034">
      <c r="A1034" s="92"/>
      <c r="B1034" s="820"/>
      <c r="O1034" s="17"/>
      <c r="P1034" s="17"/>
      <c r="Q1034" s="17"/>
      <c r="R1034" s="17"/>
      <c r="S1034" s="813"/>
      <c r="T1034" s="17"/>
      <c r="AX1034" s="17"/>
      <c r="BB1034" s="17"/>
      <c r="BE1034" s="17"/>
      <c r="BF1034" s="17"/>
      <c r="BG1034" s="17"/>
      <c r="BH1034" s="17"/>
      <c r="BI1034" s="17"/>
      <c r="BJ1034" s="17"/>
      <c r="BK1034" s="17"/>
      <c r="BL1034" s="92"/>
      <c r="BM1034" s="92"/>
      <c r="BN1034" s="92"/>
      <c r="BO1034" s="92"/>
      <c r="BP1034" s="92"/>
      <c r="BQ1034" s="818"/>
      <c r="BR1034" s="54"/>
      <c r="BS1034" s="54"/>
      <c r="BT1034" s="818"/>
      <c r="BU1034" s="818"/>
      <c r="BV1034" s="818"/>
      <c r="BW1034" s="92"/>
      <c r="BX1034" s="92"/>
      <c r="BY1034" s="17"/>
      <c r="BZ1034" s="17"/>
      <c r="CA1034" s="17"/>
      <c r="CB1034" s="17"/>
      <c r="CC1034" s="17"/>
      <c r="CD1034" s="17"/>
    </row>
    <row r="1035">
      <c r="A1035" s="92"/>
      <c r="B1035" s="820"/>
      <c r="O1035" s="17"/>
      <c r="P1035" s="17"/>
      <c r="Q1035" s="17"/>
      <c r="R1035" s="17"/>
      <c r="S1035" s="813"/>
      <c r="T1035" s="17"/>
      <c r="AX1035" s="17"/>
      <c r="BB1035" s="17"/>
      <c r="BE1035" s="17"/>
      <c r="BF1035" s="17"/>
      <c r="BG1035" s="17"/>
      <c r="BH1035" s="17"/>
      <c r="BI1035" s="17"/>
      <c r="BJ1035" s="17"/>
      <c r="BK1035" s="17"/>
      <c r="BL1035" s="92"/>
      <c r="BM1035" s="92"/>
      <c r="BN1035" s="92"/>
      <c r="BO1035" s="92"/>
      <c r="BP1035" s="92"/>
      <c r="BQ1035" s="818"/>
      <c r="BR1035" s="54"/>
      <c r="BS1035" s="54"/>
      <c r="BT1035" s="818"/>
      <c r="BU1035" s="818"/>
      <c r="BV1035" s="818"/>
      <c r="BW1035" s="92"/>
      <c r="BX1035" s="92"/>
      <c r="BY1035" s="17"/>
      <c r="BZ1035" s="17"/>
      <c r="CA1035" s="17"/>
      <c r="CB1035" s="17"/>
      <c r="CC1035" s="17"/>
      <c r="CD1035" s="17"/>
    </row>
    <row r="1036">
      <c r="A1036" s="92"/>
      <c r="B1036" s="820"/>
      <c r="O1036" s="17"/>
      <c r="P1036" s="17"/>
      <c r="Q1036" s="17"/>
      <c r="R1036" s="17"/>
      <c r="S1036" s="813"/>
      <c r="T1036" s="17"/>
      <c r="AX1036" s="17"/>
      <c r="BB1036" s="17"/>
      <c r="BE1036" s="17"/>
      <c r="BF1036" s="17"/>
      <c r="BG1036" s="17"/>
      <c r="BH1036" s="17"/>
      <c r="BI1036" s="17"/>
      <c r="BJ1036" s="17"/>
      <c r="BK1036" s="17"/>
      <c r="BL1036" s="92"/>
      <c r="BM1036" s="92"/>
      <c r="BN1036" s="92"/>
      <c r="BO1036" s="92"/>
      <c r="BP1036" s="92"/>
      <c r="BQ1036" s="818"/>
      <c r="BR1036" s="54"/>
      <c r="BS1036" s="54"/>
      <c r="BT1036" s="818"/>
      <c r="BU1036" s="818"/>
      <c r="BV1036" s="818"/>
      <c r="BW1036" s="92"/>
      <c r="BX1036" s="92"/>
      <c r="BY1036" s="17"/>
      <c r="BZ1036" s="17"/>
      <c r="CA1036" s="17"/>
      <c r="CB1036" s="17"/>
      <c r="CC1036" s="17"/>
      <c r="CD1036" s="17"/>
    </row>
    <row r="1037">
      <c r="A1037" s="92"/>
      <c r="B1037" s="820"/>
      <c r="O1037" s="17"/>
      <c r="P1037" s="17"/>
      <c r="Q1037" s="17"/>
      <c r="R1037" s="17"/>
      <c r="S1037" s="813"/>
      <c r="T1037" s="17"/>
      <c r="AX1037" s="17"/>
      <c r="BB1037" s="17"/>
      <c r="BE1037" s="17"/>
      <c r="BF1037" s="17"/>
      <c r="BG1037" s="17"/>
      <c r="BH1037" s="17"/>
      <c r="BI1037" s="17"/>
      <c r="BJ1037" s="17"/>
      <c r="BK1037" s="17"/>
      <c r="BL1037" s="92"/>
      <c r="BM1037" s="92"/>
      <c r="BN1037" s="92"/>
      <c r="BO1037" s="92"/>
      <c r="BP1037" s="92"/>
      <c r="BQ1037" s="818"/>
      <c r="BR1037" s="54"/>
      <c r="BS1037" s="54"/>
      <c r="BT1037" s="818"/>
      <c r="BU1037" s="818"/>
      <c r="BV1037" s="818"/>
      <c r="BW1037" s="92"/>
      <c r="BX1037" s="92"/>
      <c r="BY1037" s="17"/>
      <c r="BZ1037" s="17"/>
      <c r="CA1037" s="17"/>
      <c r="CB1037" s="17"/>
      <c r="CC1037" s="17"/>
      <c r="CD1037" s="17"/>
    </row>
    <row r="1038">
      <c r="A1038" s="92"/>
      <c r="B1038" s="820"/>
      <c r="O1038" s="17"/>
      <c r="P1038" s="17"/>
      <c r="Q1038" s="17"/>
      <c r="R1038" s="17"/>
      <c r="S1038" s="813"/>
      <c r="T1038" s="17"/>
      <c r="AX1038" s="17"/>
      <c r="BB1038" s="17"/>
      <c r="BE1038" s="17"/>
      <c r="BF1038" s="17"/>
      <c r="BG1038" s="17"/>
      <c r="BH1038" s="17"/>
      <c r="BI1038" s="17"/>
      <c r="BJ1038" s="17"/>
      <c r="BK1038" s="17"/>
      <c r="BL1038" s="92"/>
      <c r="BM1038" s="92"/>
      <c r="BN1038" s="92"/>
      <c r="BO1038" s="92"/>
      <c r="BP1038" s="92"/>
      <c r="BQ1038" s="818"/>
      <c r="BR1038" s="54"/>
      <c r="BS1038" s="54"/>
      <c r="BT1038" s="818"/>
      <c r="BU1038" s="818"/>
      <c r="BV1038" s="818"/>
      <c r="BW1038" s="92"/>
      <c r="BX1038" s="92"/>
      <c r="BY1038" s="17"/>
      <c r="BZ1038" s="17"/>
      <c r="CA1038" s="17"/>
      <c r="CB1038" s="17"/>
      <c r="CC1038" s="17"/>
      <c r="CD1038" s="17"/>
    </row>
    <row r="1039">
      <c r="A1039" s="92"/>
      <c r="B1039" s="820"/>
      <c r="O1039" s="17"/>
      <c r="P1039" s="17"/>
      <c r="Q1039" s="17"/>
      <c r="R1039" s="17"/>
      <c r="S1039" s="813"/>
      <c r="T1039" s="17"/>
      <c r="AX1039" s="17"/>
      <c r="BB1039" s="17"/>
      <c r="BE1039" s="17"/>
      <c r="BF1039" s="17"/>
      <c r="BG1039" s="17"/>
      <c r="BH1039" s="17"/>
      <c r="BI1039" s="17"/>
      <c r="BJ1039" s="17"/>
      <c r="BK1039" s="17"/>
      <c r="BL1039" s="92"/>
      <c r="BM1039" s="92"/>
      <c r="BN1039" s="92"/>
      <c r="BO1039" s="92"/>
      <c r="BP1039" s="92"/>
      <c r="BQ1039" s="818"/>
      <c r="BR1039" s="54"/>
      <c r="BS1039" s="54"/>
      <c r="BT1039" s="818"/>
      <c r="BU1039" s="818"/>
      <c r="BV1039" s="818"/>
      <c r="BW1039" s="92"/>
      <c r="BX1039" s="92"/>
      <c r="BY1039" s="17"/>
      <c r="BZ1039" s="17"/>
      <c r="CA1039" s="17"/>
      <c r="CB1039" s="17"/>
      <c r="CC1039" s="17"/>
      <c r="CD1039" s="17"/>
    </row>
    <row r="1040">
      <c r="A1040" s="92"/>
      <c r="B1040" s="820"/>
      <c r="O1040" s="17"/>
      <c r="P1040" s="17"/>
      <c r="Q1040" s="17"/>
      <c r="R1040" s="17"/>
      <c r="S1040" s="813"/>
      <c r="T1040" s="17"/>
      <c r="AX1040" s="17"/>
      <c r="BB1040" s="17"/>
      <c r="BE1040" s="17"/>
      <c r="BF1040" s="17"/>
      <c r="BG1040" s="17"/>
      <c r="BH1040" s="17"/>
      <c r="BI1040" s="17"/>
      <c r="BJ1040" s="17"/>
      <c r="BK1040" s="17"/>
      <c r="BL1040" s="92"/>
      <c r="BM1040" s="92"/>
      <c r="BN1040" s="92"/>
      <c r="BO1040" s="92"/>
      <c r="BP1040" s="92"/>
      <c r="BQ1040" s="818"/>
      <c r="BR1040" s="54"/>
      <c r="BS1040" s="54"/>
      <c r="BT1040" s="818"/>
      <c r="BU1040" s="818"/>
      <c r="BV1040" s="818"/>
      <c r="BW1040" s="92"/>
      <c r="BX1040" s="92"/>
      <c r="BY1040" s="17"/>
      <c r="BZ1040" s="17"/>
      <c r="CA1040" s="17"/>
      <c r="CB1040" s="17"/>
      <c r="CC1040" s="17"/>
      <c r="CD1040" s="17"/>
    </row>
    <row r="1041">
      <c r="A1041" s="92"/>
      <c r="B1041" s="820"/>
      <c r="O1041" s="17"/>
      <c r="P1041" s="17"/>
      <c r="Q1041" s="17"/>
      <c r="R1041" s="17"/>
      <c r="S1041" s="813"/>
      <c r="T1041" s="17"/>
      <c r="AX1041" s="17"/>
      <c r="BB1041" s="17"/>
      <c r="BE1041" s="17"/>
      <c r="BF1041" s="17"/>
      <c r="BG1041" s="17"/>
      <c r="BH1041" s="17"/>
      <c r="BI1041" s="17"/>
      <c r="BJ1041" s="17"/>
      <c r="BK1041" s="17"/>
      <c r="BL1041" s="92"/>
      <c r="BM1041" s="92"/>
      <c r="BN1041" s="92"/>
      <c r="BO1041" s="92"/>
      <c r="BP1041" s="92"/>
      <c r="BQ1041" s="818"/>
      <c r="BR1041" s="54"/>
      <c r="BS1041" s="54"/>
      <c r="BT1041" s="818"/>
      <c r="BU1041" s="818"/>
      <c r="BV1041" s="818"/>
      <c r="BW1041" s="92"/>
      <c r="BX1041" s="92"/>
      <c r="BY1041" s="17"/>
      <c r="BZ1041" s="17"/>
      <c r="CA1041" s="17"/>
      <c r="CB1041" s="17"/>
      <c r="CC1041" s="17"/>
      <c r="CD1041" s="17"/>
    </row>
    <row r="1042">
      <c r="A1042" s="92"/>
      <c r="B1042" s="820"/>
      <c r="O1042" s="17"/>
      <c r="P1042" s="17"/>
      <c r="Q1042" s="17"/>
      <c r="R1042" s="17"/>
      <c r="S1042" s="813"/>
      <c r="T1042" s="17"/>
      <c r="AX1042" s="17"/>
      <c r="BB1042" s="17"/>
      <c r="BE1042" s="17"/>
      <c r="BF1042" s="17"/>
      <c r="BG1042" s="17"/>
      <c r="BH1042" s="17"/>
      <c r="BI1042" s="17"/>
      <c r="BJ1042" s="17"/>
      <c r="BK1042" s="17"/>
      <c r="BL1042" s="92"/>
      <c r="BM1042" s="92"/>
      <c r="BN1042" s="92"/>
      <c r="BO1042" s="92"/>
      <c r="BP1042" s="92"/>
      <c r="BQ1042" s="818"/>
      <c r="BR1042" s="54"/>
      <c r="BS1042" s="54"/>
      <c r="BT1042" s="818"/>
      <c r="BU1042" s="818"/>
      <c r="BV1042" s="818"/>
      <c r="BW1042" s="92"/>
      <c r="BX1042" s="92"/>
      <c r="BY1042" s="17"/>
      <c r="BZ1042" s="17"/>
      <c r="CA1042" s="17"/>
      <c r="CB1042" s="17"/>
      <c r="CC1042" s="17"/>
      <c r="CD1042" s="17"/>
    </row>
    <row r="1043">
      <c r="A1043" s="92"/>
      <c r="B1043" s="820"/>
      <c r="O1043" s="17"/>
      <c r="P1043" s="17"/>
      <c r="Q1043" s="17"/>
      <c r="R1043" s="17"/>
      <c r="S1043" s="813"/>
      <c r="T1043" s="17"/>
      <c r="AX1043" s="17"/>
      <c r="BB1043" s="17"/>
      <c r="BE1043" s="17"/>
      <c r="BF1043" s="17"/>
      <c r="BG1043" s="17"/>
      <c r="BH1043" s="17"/>
      <c r="BI1043" s="17"/>
      <c r="BJ1043" s="17"/>
      <c r="BK1043" s="17"/>
      <c r="BL1043" s="92"/>
      <c r="BM1043" s="92"/>
      <c r="BN1043" s="92"/>
      <c r="BO1043" s="92"/>
      <c r="BP1043" s="92"/>
      <c r="BQ1043" s="818"/>
      <c r="BR1043" s="54"/>
      <c r="BS1043" s="54"/>
      <c r="BT1043" s="818"/>
      <c r="BU1043" s="818"/>
      <c r="BV1043" s="818"/>
      <c r="BW1043" s="92"/>
      <c r="BX1043" s="92"/>
      <c r="BY1043" s="17"/>
      <c r="BZ1043" s="17"/>
      <c r="CA1043" s="17"/>
      <c r="CB1043" s="17"/>
      <c r="CC1043" s="17"/>
      <c r="CD1043" s="17"/>
    </row>
    <row r="1044">
      <c r="A1044" s="92"/>
      <c r="B1044" s="820"/>
      <c r="O1044" s="17"/>
      <c r="P1044" s="17"/>
      <c r="Q1044" s="17"/>
      <c r="R1044" s="17"/>
      <c r="S1044" s="813"/>
      <c r="T1044" s="17"/>
      <c r="AX1044" s="17"/>
      <c r="BB1044" s="17"/>
      <c r="BE1044" s="17"/>
      <c r="BF1044" s="17"/>
      <c r="BG1044" s="17"/>
      <c r="BH1044" s="17"/>
      <c r="BI1044" s="17"/>
      <c r="BJ1044" s="17"/>
      <c r="BK1044" s="17"/>
      <c r="BL1044" s="92"/>
      <c r="BM1044" s="92"/>
      <c r="BN1044" s="92"/>
      <c r="BO1044" s="92"/>
      <c r="BP1044" s="92"/>
      <c r="BQ1044" s="818"/>
      <c r="BR1044" s="54"/>
      <c r="BS1044" s="54"/>
      <c r="BT1044" s="818"/>
      <c r="BU1044" s="818"/>
      <c r="BV1044" s="818"/>
      <c r="BW1044" s="92"/>
      <c r="BX1044" s="92"/>
      <c r="BY1044" s="17"/>
      <c r="BZ1044" s="17"/>
      <c r="CA1044" s="17"/>
      <c r="CB1044" s="17"/>
      <c r="CC1044" s="17"/>
      <c r="CD1044" s="17"/>
    </row>
    <row r="1045">
      <c r="A1045" s="92"/>
      <c r="B1045" s="820"/>
      <c r="O1045" s="17"/>
      <c r="P1045" s="17"/>
      <c r="Q1045" s="17"/>
      <c r="R1045" s="17"/>
      <c r="S1045" s="813"/>
      <c r="T1045" s="17"/>
      <c r="AX1045" s="17"/>
      <c r="BB1045" s="17"/>
      <c r="BE1045" s="17"/>
      <c r="BF1045" s="17"/>
      <c r="BG1045" s="17"/>
      <c r="BH1045" s="17"/>
      <c r="BI1045" s="17"/>
      <c r="BJ1045" s="17"/>
      <c r="BK1045" s="17"/>
      <c r="BL1045" s="92"/>
      <c r="BM1045" s="92"/>
      <c r="BN1045" s="92"/>
      <c r="BO1045" s="92"/>
      <c r="BP1045" s="92"/>
      <c r="BQ1045" s="818"/>
      <c r="BR1045" s="54"/>
      <c r="BS1045" s="54"/>
      <c r="BT1045" s="818"/>
      <c r="BU1045" s="818"/>
      <c r="BV1045" s="818"/>
      <c r="BW1045" s="92"/>
      <c r="BX1045" s="92"/>
      <c r="BY1045" s="17"/>
      <c r="BZ1045" s="17"/>
      <c r="CA1045" s="17"/>
      <c r="CB1045" s="17"/>
      <c r="CC1045" s="17"/>
      <c r="CD1045" s="17"/>
    </row>
    <row r="1046">
      <c r="A1046" s="92"/>
      <c r="B1046" s="820"/>
      <c r="O1046" s="17"/>
      <c r="P1046" s="17"/>
      <c r="Q1046" s="17"/>
      <c r="R1046" s="17"/>
      <c r="S1046" s="813"/>
      <c r="T1046" s="17"/>
      <c r="AX1046" s="17"/>
      <c r="BB1046" s="17"/>
      <c r="BE1046" s="17"/>
      <c r="BF1046" s="17"/>
      <c r="BG1046" s="17"/>
      <c r="BH1046" s="17"/>
      <c r="BI1046" s="17"/>
      <c r="BJ1046" s="17"/>
      <c r="BK1046" s="17"/>
      <c r="BL1046" s="92"/>
      <c r="BM1046" s="92"/>
      <c r="BN1046" s="92"/>
      <c r="BO1046" s="92"/>
      <c r="BP1046" s="92"/>
      <c r="BQ1046" s="818"/>
      <c r="BR1046" s="54"/>
      <c r="BS1046" s="54"/>
      <c r="BT1046" s="818"/>
      <c r="BU1046" s="818"/>
      <c r="BV1046" s="818"/>
      <c r="BW1046" s="92"/>
      <c r="BX1046" s="92"/>
      <c r="BY1046" s="17"/>
      <c r="BZ1046" s="17"/>
      <c r="CA1046" s="17"/>
      <c r="CB1046" s="17"/>
      <c r="CC1046" s="17"/>
      <c r="CD1046" s="17"/>
    </row>
    <row r="1047">
      <c r="A1047" s="92"/>
      <c r="B1047" s="820"/>
      <c r="O1047" s="17"/>
      <c r="P1047" s="17"/>
      <c r="Q1047" s="17"/>
      <c r="R1047" s="17"/>
      <c r="S1047" s="813"/>
      <c r="T1047" s="17"/>
      <c r="AX1047" s="17"/>
      <c r="BB1047" s="17"/>
      <c r="BE1047" s="17"/>
      <c r="BF1047" s="17"/>
      <c r="BG1047" s="17"/>
      <c r="BH1047" s="17"/>
      <c r="BI1047" s="17"/>
      <c r="BJ1047" s="17"/>
      <c r="BK1047" s="17"/>
      <c r="BL1047" s="92"/>
      <c r="BM1047" s="92"/>
      <c r="BN1047" s="92"/>
      <c r="BO1047" s="92"/>
      <c r="BP1047" s="92"/>
      <c r="BQ1047" s="818"/>
      <c r="BR1047" s="54"/>
      <c r="BS1047" s="54"/>
      <c r="BT1047" s="818"/>
      <c r="BU1047" s="818"/>
      <c r="BV1047" s="818"/>
      <c r="BW1047" s="92"/>
      <c r="BX1047" s="92"/>
      <c r="BY1047" s="17"/>
      <c r="BZ1047" s="17"/>
      <c r="CA1047" s="17"/>
      <c r="CB1047" s="17"/>
      <c r="CC1047" s="17"/>
      <c r="CD1047" s="17"/>
    </row>
    <row r="1048">
      <c r="A1048" s="92"/>
      <c r="B1048" s="820"/>
      <c r="O1048" s="17"/>
      <c r="P1048" s="17"/>
      <c r="Q1048" s="17"/>
      <c r="R1048" s="17"/>
      <c r="S1048" s="813"/>
      <c r="T1048" s="17"/>
      <c r="AX1048" s="17"/>
      <c r="BB1048" s="17"/>
      <c r="BE1048" s="17"/>
      <c r="BF1048" s="17"/>
      <c r="BG1048" s="17"/>
      <c r="BH1048" s="17"/>
      <c r="BI1048" s="17"/>
      <c r="BJ1048" s="17"/>
      <c r="BK1048" s="17"/>
      <c r="BL1048" s="92"/>
      <c r="BM1048" s="92"/>
      <c r="BN1048" s="92"/>
      <c r="BO1048" s="92"/>
      <c r="BP1048" s="92"/>
      <c r="BQ1048" s="818"/>
      <c r="BR1048" s="54"/>
      <c r="BS1048" s="54"/>
      <c r="BT1048" s="818"/>
      <c r="BU1048" s="818"/>
      <c r="BV1048" s="818"/>
      <c r="BW1048" s="92"/>
      <c r="BX1048" s="92"/>
      <c r="BY1048" s="17"/>
      <c r="BZ1048" s="17"/>
      <c r="CA1048" s="17"/>
      <c r="CB1048" s="17"/>
      <c r="CC1048" s="17"/>
      <c r="CD1048" s="17"/>
    </row>
    <row r="1049">
      <c r="A1049" s="92"/>
      <c r="B1049" s="820"/>
      <c r="O1049" s="17"/>
      <c r="P1049" s="17"/>
      <c r="Q1049" s="17"/>
      <c r="R1049" s="17"/>
      <c r="S1049" s="813"/>
      <c r="T1049" s="17"/>
      <c r="AX1049" s="17"/>
      <c r="BB1049" s="17"/>
      <c r="BE1049" s="17"/>
      <c r="BF1049" s="17"/>
      <c r="BG1049" s="17"/>
      <c r="BH1049" s="17"/>
      <c r="BI1049" s="17"/>
      <c r="BJ1049" s="17"/>
      <c r="BK1049" s="17"/>
      <c r="BL1049" s="92"/>
      <c r="BM1049" s="92"/>
      <c r="BN1049" s="92"/>
      <c r="BO1049" s="92"/>
      <c r="BP1049" s="92"/>
      <c r="BQ1049" s="818"/>
      <c r="BR1049" s="54"/>
      <c r="BS1049" s="54"/>
      <c r="BT1049" s="818"/>
      <c r="BU1049" s="818"/>
      <c r="BV1049" s="818"/>
      <c r="BW1049" s="92"/>
      <c r="BX1049" s="92"/>
      <c r="BY1049" s="17"/>
      <c r="BZ1049" s="17"/>
      <c r="CA1049" s="17"/>
      <c r="CB1049" s="17"/>
      <c r="CC1049" s="17"/>
      <c r="CD1049" s="17"/>
    </row>
    <row r="1050">
      <c r="A1050" s="92"/>
      <c r="B1050" s="820"/>
      <c r="O1050" s="17"/>
      <c r="P1050" s="17"/>
      <c r="Q1050" s="17"/>
      <c r="R1050" s="17"/>
      <c r="S1050" s="813"/>
      <c r="T1050" s="17"/>
      <c r="AX1050" s="17"/>
      <c r="BB1050" s="17"/>
      <c r="BE1050" s="17"/>
      <c r="BF1050" s="17"/>
      <c r="BG1050" s="17"/>
      <c r="BH1050" s="17"/>
      <c r="BI1050" s="17"/>
      <c r="BJ1050" s="17"/>
      <c r="BK1050" s="17"/>
      <c r="BL1050" s="92"/>
      <c r="BM1050" s="92"/>
      <c r="BN1050" s="92"/>
      <c r="BO1050" s="92"/>
      <c r="BP1050" s="92"/>
      <c r="BQ1050" s="818"/>
      <c r="BR1050" s="54"/>
      <c r="BS1050" s="54"/>
      <c r="BT1050" s="818"/>
      <c r="BU1050" s="818"/>
      <c r="BV1050" s="818"/>
      <c r="BW1050" s="92"/>
      <c r="BX1050" s="92"/>
      <c r="BY1050" s="17"/>
      <c r="BZ1050" s="17"/>
      <c r="CA1050" s="17"/>
      <c r="CB1050" s="17"/>
      <c r="CC1050" s="17"/>
      <c r="CD1050" s="17"/>
    </row>
    <row r="1051">
      <c r="A1051" s="92"/>
      <c r="B1051" s="820"/>
      <c r="O1051" s="17"/>
      <c r="P1051" s="17"/>
      <c r="Q1051" s="17"/>
      <c r="R1051" s="17"/>
      <c r="S1051" s="813"/>
      <c r="T1051" s="17"/>
      <c r="AX1051" s="17"/>
      <c r="BB1051" s="17"/>
      <c r="BE1051" s="17"/>
      <c r="BF1051" s="17"/>
      <c r="BG1051" s="17"/>
      <c r="BH1051" s="17"/>
      <c r="BI1051" s="17"/>
      <c r="BJ1051" s="17"/>
      <c r="BK1051" s="17"/>
      <c r="BL1051" s="92"/>
      <c r="BM1051" s="92"/>
      <c r="BN1051" s="92"/>
      <c r="BO1051" s="92"/>
      <c r="BP1051" s="92"/>
      <c r="BQ1051" s="818"/>
      <c r="BR1051" s="54"/>
      <c r="BS1051" s="54"/>
      <c r="BT1051" s="818"/>
      <c r="BU1051" s="818"/>
      <c r="BV1051" s="818"/>
      <c r="BW1051" s="92"/>
      <c r="BX1051" s="92"/>
      <c r="BY1051" s="17"/>
      <c r="BZ1051" s="17"/>
      <c r="CA1051" s="17"/>
      <c r="CB1051" s="17"/>
      <c r="CC1051" s="17"/>
      <c r="CD1051" s="17"/>
    </row>
    <row r="1052">
      <c r="A1052" s="92"/>
      <c r="B1052" s="820"/>
      <c r="O1052" s="17"/>
      <c r="P1052" s="17"/>
      <c r="Q1052" s="17"/>
      <c r="R1052" s="17"/>
      <c r="S1052" s="813"/>
      <c r="T1052" s="17"/>
      <c r="AX1052" s="17"/>
      <c r="BB1052" s="17"/>
      <c r="BE1052" s="17"/>
      <c r="BF1052" s="17"/>
      <c r="BG1052" s="17"/>
      <c r="BH1052" s="17"/>
      <c r="BI1052" s="17"/>
      <c r="BJ1052" s="17"/>
      <c r="BK1052" s="17"/>
      <c r="BL1052" s="92"/>
      <c r="BM1052" s="92"/>
      <c r="BN1052" s="92"/>
      <c r="BO1052" s="92"/>
      <c r="BP1052" s="92"/>
      <c r="BQ1052" s="818"/>
      <c r="BR1052" s="54"/>
      <c r="BS1052" s="54"/>
      <c r="BT1052" s="818"/>
      <c r="BU1052" s="818"/>
      <c r="BV1052" s="818"/>
      <c r="BW1052" s="92"/>
      <c r="BX1052" s="92"/>
      <c r="BY1052" s="17"/>
      <c r="BZ1052" s="17"/>
      <c r="CA1052" s="17"/>
      <c r="CB1052" s="17"/>
      <c r="CC1052" s="17"/>
      <c r="CD1052" s="17"/>
    </row>
    <row r="1053">
      <c r="A1053" s="92"/>
      <c r="B1053" s="820"/>
      <c r="O1053" s="17"/>
      <c r="P1053" s="17"/>
      <c r="Q1053" s="17"/>
      <c r="R1053" s="17"/>
      <c r="S1053" s="813"/>
      <c r="T1053" s="17"/>
      <c r="AX1053" s="17"/>
      <c r="BB1053" s="17"/>
      <c r="BE1053" s="17"/>
      <c r="BF1053" s="17"/>
      <c r="BG1053" s="17"/>
      <c r="BH1053" s="17"/>
      <c r="BI1053" s="17"/>
      <c r="BJ1053" s="17"/>
      <c r="BK1053" s="17"/>
      <c r="BL1053" s="92"/>
      <c r="BM1053" s="92"/>
      <c r="BN1053" s="92"/>
      <c r="BO1053" s="92"/>
      <c r="BP1053" s="92"/>
      <c r="BQ1053" s="818"/>
      <c r="BR1053" s="54"/>
      <c r="BS1053" s="54"/>
      <c r="BT1053" s="818"/>
      <c r="BU1053" s="818"/>
      <c r="BV1053" s="818"/>
      <c r="BW1053" s="92"/>
      <c r="BX1053" s="92"/>
      <c r="BY1053" s="17"/>
      <c r="BZ1053" s="17"/>
      <c r="CA1053" s="17"/>
      <c r="CB1053" s="17"/>
      <c r="CC1053" s="17"/>
      <c r="CD1053" s="17"/>
    </row>
    <row r="1054">
      <c r="A1054" s="92"/>
      <c r="B1054" s="820"/>
      <c r="O1054" s="17"/>
      <c r="P1054" s="17"/>
      <c r="Q1054" s="17"/>
      <c r="R1054" s="17"/>
      <c r="S1054" s="813"/>
      <c r="T1054" s="17"/>
      <c r="AX1054" s="17"/>
      <c r="BB1054" s="17"/>
      <c r="BE1054" s="17"/>
      <c r="BF1054" s="17"/>
      <c r="BG1054" s="17"/>
      <c r="BH1054" s="17"/>
      <c r="BI1054" s="17"/>
      <c r="BJ1054" s="17"/>
      <c r="BK1054" s="17"/>
      <c r="BL1054" s="92"/>
      <c r="BM1054" s="92"/>
      <c r="BN1054" s="92"/>
      <c r="BO1054" s="92"/>
      <c r="BP1054" s="92"/>
      <c r="BQ1054" s="818"/>
      <c r="BR1054" s="54"/>
      <c r="BS1054" s="54"/>
      <c r="BT1054" s="818"/>
      <c r="BU1054" s="818"/>
      <c r="BV1054" s="818"/>
      <c r="BW1054" s="92"/>
      <c r="BX1054" s="92"/>
      <c r="BY1054" s="17"/>
      <c r="BZ1054" s="17"/>
      <c r="CA1054" s="17"/>
      <c r="CB1054" s="17"/>
      <c r="CC1054" s="17"/>
      <c r="CD1054" s="17"/>
    </row>
    <row r="1055">
      <c r="A1055" s="92"/>
      <c r="B1055" s="820"/>
      <c r="O1055" s="17"/>
      <c r="P1055" s="17"/>
      <c r="Q1055" s="17"/>
      <c r="R1055" s="17"/>
      <c r="S1055" s="813"/>
      <c r="T1055" s="17"/>
      <c r="AX1055" s="17"/>
      <c r="BB1055" s="17"/>
      <c r="BE1055" s="17"/>
      <c r="BF1055" s="17"/>
      <c r="BG1055" s="17"/>
      <c r="BH1055" s="17"/>
      <c r="BI1055" s="17"/>
      <c r="BJ1055" s="17"/>
      <c r="BK1055" s="17"/>
      <c r="BL1055" s="92"/>
      <c r="BM1055" s="92"/>
      <c r="BN1055" s="92"/>
      <c r="BO1055" s="92"/>
      <c r="BP1055" s="92"/>
      <c r="BQ1055" s="818"/>
      <c r="BR1055" s="54"/>
      <c r="BS1055" s="54"/>
      <c r="BT1055" s="818"/>
      <c r="BU1055" s="818"/>
      <c r="BV1055" s="818"/>
      <c r="BW1055" s="92"/>
      <c r="BX1055" s="92"/>
      <c r="BY1055" s="17"/>
      <c r="BZ1055" s="17"/>
      <c r="CA1055" s="17"/>
      <c r="CB1055" s="17"/>
      <c r="CC1055" s="17"/>
      <c r="CD1055" s="17"/>
    </row>
    <row r="1056">
      <c r="A1056" s="92"/>
      <c r="B1056" s="820"/>
      <c r="O1056" s="17"/>
      <c r="P1056" s="17"/>
      <c r="Q1056" s="17"/>
      <c r="R1056" s="17"/>
      <c r="S1056" s="813"/>
      <c r="T1056" s="17"/>
      <c r="AX1056" s="17"/>
      <c r="BB1056" s="17"/>
      <c r="BE1056" s="17"/>
      <c r="BF1056" s="17"/>
      <c r="BG1056" s="17"/>
      <c r="BH1056" s="17"/>
      <c r="BI1056" s="17"/>
      <c r="BJ1056" s="17"/>
      <c r="BK1056" s="17"/>
      <c r="BL1056" s="92"/>
      <c r="BM1056" s="92"/>
      <c r="BN1056" s="92"/>
      <c r="BO1056" s="92"/>
      <c r="BP1056" s="92"/>
      <c r="BQ1056" s="818"/>
      <c r="BR1056" s="54"/>
      <c r="BS1056" s="54"/>
      <c r="BT1056" s="818"/>
      <c r="BU1056" s="818"/>
      <c r="BV1056" s="818"/>
      <c r="BW1056" s="92"/>
      <c r="BX1056" s="92"/>
      <c r="BY1056" s="17"/>
      <c r="BZ1056" s="17"/>
      <c r="CA1056" s="17"/>
      <c r="CB1056" s="17"/>
      <c r="CC1056" s="17"/>
      <c r="CD1056" s="17"/>
    </row>
    <row r="1057">
      <c r="A1057" s="92"/>
      <c r="B1057" s="820"/>
      <c r="O1057" s="17"/>
      <c r="P1057" s="17"/>
      <c r="Q1057" s="17"/>
      <c r="R1057" s="17"/>
      <c r="S1057" s="813"/>
      <c r="T1057" s="17"/>
      <c r="AX1057" s="17"/>
      <c r="BB1057" s="17"/>
      <c r="BE1057" s="17"/>
      <c r="BF1057" s="17"/>
      <c r="BG1057" s="17"/>
      <c r="BH1057" s="17"/>
      <c r="BI1057" s="17"/>
      <c r="BJ1057" s="17"/>
      <c r="BK1057" s="17"/>
      <c r="BL1057" s="92"/>
      <c r="BM1057" s="92"/>
      <c r="BN1057" s="92"/>
      <c r="BO1057" s="92"/>
      <c r="BP1057" s="92"/>
      <c r="BQ1057" s="818"/>
      <c r="BR1057" s="54"/>
      <c r="BS1057" s="54"/>
      <c r="BT1057" s="818"/>
      <c r="BU1057" s="818"/>
      <c r="BV1057" s="818"/>
      <c r="BW1057" s="92"/>
      <c r="BX1057" s="92"/>
      <c r="BY1057" s="17"/>
      <c r="BZ1057" s="17"/>
      <c r="CA1057" s="17"/>
      <c r="CB1057" s="17"/>
      <c r="CC1057" s="17"/>
      <c r="CD1057" s="17"/>
    </row>
    <row r="1058">
      <c r="A1058" s="92"/>
      <c r="B1058" s="820"/>
      <c r="O1058" s="17"/>
      <c r="P1058" s="17"/>
      <c r="Q1058" s="17"/>
      <c r="R1058" s="17"/>
      <c r="S1058" s="813"/>
      <c r="T1058" s="17"/>
      <c r="AX1058" s="17"/>
      <c r="BB1058" s="17"/>
      <c r="BE1058" s="17"/>
      <c r="BF1058" s="17"/>
      <c r="BG1058" s="17"/>
      <c r="BH1058" s="17"/>
      <c r="BI1058" s="17"/>
      <c r="BJ1058" s="17"/>
      <c r="BK1058" s="17"/>
      <c r="BL1058" s="92"/>
      <c r="BM1058" s="92"/>
      <c r="BN1058" s="92"/>
      <c r="BO1058" s="92"/>
      <c r="BP1058" s="92"/>
      <c r="BQ1058" s="818"/>
      <c r="BR1058" s="54"/>
      <c r="BS1058" s="54"/>
      <c r="BT1058" s="818"/>
      <c r="BU1058" s="818"/>
      <c r="BV1058" s="818"/>
      <c r="BW1058" s="92"/>
      <c r="BX1058" s="92"/>
      <c r="BY1058" s="17"/>
      <c r="BZ1058" s="17"/>
      <c r="CA1058" s="17"/>
      <c r="CB1058" s="17"/>
      <c r="CC1058" s="17"/>
      <c r="CD1058" s="17"/>
    </row>
    <row r="1059">
      <c r="A1059" s="92"/>
      <c r="B1059" s="820"/>
      <c r="O1059" s="17"/>
      <c r="P1059" s="17"/>
      <c r="Q1059" s="17"/>
      <c r="R1059" s="17"/>
      <c r="S1059" s="813"/>
      <c r="T1059" s="17"/>
      <c r="AX1059" s="17"/>
      <c r="BB1059" s="17"/>
      <c r="BE1059" s="17"/>
      <c r="BF1059" s="17"/>
      <c r="BG1059" s="17"/>
      <c r="BH1059" s="17"/>
      <c r="BI1059" s="17"/>
      <c r="BJ1059" s="17"/>
      <c r="BK1059" s="17"/>
      <c r="BL1059" s="92"/>
      <c r="BM1059" s="92"/>
      <c r="BN1059" s="92"/>
      <c r="BO1059" s="92"/>
      <c r="BP1059" s="92"/>
      <c r="BQ1059" s="818"/>
      <c r="BR1059" s="54"/>
      <c r="BS1059" s="54"/>
      <c r="BT1059" s="818"/>
      <c r="BU1059" s="818"/>
      <c r="BV1059" s="818"/>
      <c r="BW1059" s="92"/>
      <c r="BX1059" s="92"/>
      <c r="BY1059" s="17"/>
      <c r="BZ1059" s="17"/>
      <c r="CA1059" s="17"/>
      <c r="CB1059" s="17"/>
      <c r="CC1059" s="17"/>
      <c r="CD1059" s="17"/>
    </row>
    <row r="1060">
      <c r="A1060" s="92"/>
      <c r="B1060" s="820"/>
      <c r="O1060" s="17"/>
      <c r="P1060" s="17"/>
      <c r="Q1060" s="17"/>
      <c r="R1060" s="17"/>
      <c r="S1060" s="813"/>
      <c r="T1060" s="17"/>
      <c r="AX1060" s="17"/>
      <c r="BB1060" s="17"/>
      <c r="BE1060" s="17"/>
      <c r="BF1060" s="17"/>
      <c r="BG1060" s="17"/>
      <c r="BH1060" s="17"/>
      <c r="BI1060" s="17"/>
      <c r="BJ1060" s="17"/>
      <c r="BK1060" s="17"/>
      <c r="BL1060" s="92"/>
      <c r="BM1060" s="92"/>
      <c r="BN1060" s="92"/>
      <c r="BO1060" s="92"/>
      <c r="BP1060" s="92"/>
      <c r="BQ1060" s="818"/>
      <c r="BR1060" s="54"/>
      <c r="BS1060" s="54"/>
      <c r="BT1060" s="818"/>
      <c r="BU1060" s="818"/>
      <c r="BV1060" s="818"/>
      <c r="BW1060" s="92"/>
      <c r="BX1060" s="92"/>
      <c r="BY1060" s="17"/>
      <c r="BZ1060" s="17"/>
      <c r="CA1060" s="17"/>
      <c r="CB1060" s="17"/>
      <c r="CC1060" s="17"/>
      <c r="CD1060" s="17"/>
    </row>
    <row r="1061">
      <c r="A1061" s="92"/>
      <c r="B1061" s="820"/>
      <c r="O1061" s="17"/>
      <c r="P1061" s="17"/>
      <c r="Q1061" s="17"/>
      <c r="R1061" s="17"/>
      <c r="S1061" s="813"/>
      <c r="T1061" s="17"/>
      <c r="AX1061" s="17"/>
      <c r="BB1061" s="17"/>
      <c r="BE1061" s="17"/>
      <c r="BF1061" s="17"/>
      <c r="BG1061" s="17"/>
      <c r="BH1061" s="17"/>
      <c r="BI1061" s="17"/>
      <c r="BJ1061" s="17"/>
      <c r="BK1061" s="17"/>
      <c r="BL1061" s="92"/>
      <c r="BM1061" s="92"/>
      <c r="BN1061" s="92"/>
      <c r="BO1061" s="92"/>
      <c r="BP1061" s="92"/>
      <c r="BQ1061" s="818"/>
      <c r="BR1061" s="54"/>
      <c r="BS1061" s="54"/>
      <c r="BT1061" s="818"/>
      <c r="BU1061" s="818"/>
      <c r="BV1061" s="818"/>
      <c r="BW1061" s="92"/>
      <c r="BX1061" s="92"/>
      <c r="BY1061" s="17"/>
      <c r="BZ1061" s="17"/>
      <c r="CA1061" s="17"/>
      <c r="CB1061" s="17"/>
      <c r="CC1061" s="17"/>
      <c r="CD1061" s="17"/>
    </row>
    <row r="1062">
      <c r="A1062" s="92"/>
      <c r="B1062" s="820"/>
      <c r="O1062" s="17"/>
      <c r="P1062" s="17"/>
      <c r="Q1062" s="17"/>
      <c r="R1062" s="17"/>
      <c r="S1062" s="813"/>
      <c r="T1062" s="17"/>
      <c r="AX1062" s="17"/>
      <c r="BB1062" s="17"/>
      <c r="BE1062" s="17"/>
      <c r="BF1062" s="17"/>
      <c r="BG1062" s="17"/>
      <c r="BH1062" s="17"/>
      <c r="BI1062" s="17"/>
      <c r="BJ1062" s="17"/>
      <c r="BK1062" s="17"/>
      <c r="BL1062" s="92"/>
      <c r="BM1062" s="92"/>
      <c r="BN1062" s="92"/>
      <c r="BO1062" s="92"/>
      <c r="BP1062" s="92"/>
      <c r="BQ1062" s="818"/>
      <c r="BR1062" s="54"/>
      <c r="BS1062" s="54"/>
      <c r="BT1062" s="818"/>
      <c r="BU1062" s="818"/>
      <c r="BV1062" s="818"/>
      <c r="BW1062" s="92"/>
      <c r="BX1062" s="92"/>
      <c r="BY1062" s="17"/>
      <c r="BZ1062" s="17"/>
      <c r="CA1062" s="17"/>
      <c r="CB1062" s="17"/>
      <c r="CC1062" s="17"/>
      <c r="CD1062" s="17"/>
    </row>
    <row r="1063">
      <c r="A1063" s="92"/>
      <c r="B1063" s="820"/>
      <c r="O1063" s="17"/>
      <c r="P1063" s="17"/>
      <c r="Q1063" s="17"/>
      <c r="R1063" s="17"/>
      <c r="S1063" s="813"/>
      <c r="T1063" s="17"/>
      <c r="AX1063" s="17"/>
      <c r="BB1063" s="17"/>
      <c r="BE1063" s="17"/>
      <c r="BF1063" s="17"/>
      <c r="BG1063" s="17"/>
      <c r="BH1063" s="17"/>
      <c r="BI1063" s="17"/>
      <c r="BJ1063" s="17"/>
      <c r="BK1063" s="17"/>
      <c r="BL1063" s="92"/>
      <c r="BM1063" s="92"/>
      <c r="BN1063" s="92"/>
      <c r="BO1063" s="92"/>
      <c r="BP1063" s="92"/>
      <c r="BQ1063" s="818"/>
      <c r="BR1063" s="54"/>
      <c r="BS1063" s="54"/>
      <c r="BT1063" s="818"/>
      <c r="BU1063" s="818"/>
      <c r="BV1063" s="818"/>
      <c r="BW1063" s="92"/>
      <c r="BX1063" s="92"/>
      <c r="BY1063" s="17"/>
      <c r="BZ1063" s="17"/>
      <c r="CA1063" s="17"/>
      <c r="CB1063" s="17"/>
      <c r="CC1063" s="17"/>
      <c r="CD1063" s="17"/>
    </row>
    <row r="1064">
      <c r="A1064" s="92"/>
      <c r="B1064" s="820"/>
      <c r="O1064" s="17"/>
      <c r="P1064" s="17"/>
      <c r="Q1064" s="17"/>
      <c r="R1064" s="17"/>
      <c r="S1064" s="813"/>
      <c r="T1064" s="17"/>
      <c r="AX1064" s="17"/>
      <c r="BB1064" s="17"/>
      <c r="BE1064" s="17"/>
      <c r="BF1064" s="17"/>
      <c r="BG1064" s="17"/>
      <c r="BH1064" s="17"/>
      <c r="BI1064" s="17"/>
      <c r="BJ1064" s="17"/>
      <c r="BK1064" s="17"/>
      <c r="BL1064" s="92"/>
      <c r="BM1064" s="92"/>
      <c r="BN1064" s="92"/>
      <c r="BO1064" s="92"/>
      <c r="BP1064" s="92"/>
      <c r="BQ1064" s="818"/>
      <c r="BR1064" s="54"/>
      <c r="BS1064" s="54"/>
      <c r="BT1064" s="818"/>
      <c r="BU1064" s="818"/>
      <c r="BV1064" s="818"/>
      <c r="BW1064" s="92"/>
      <c r="BX1064" s="92"/>
      <c r="BY1064" s="17"/>
      <c r="BZ1064" s="17"/>
      <c r="CA1064" s="17"/>
      <c r="CB1064" s="17"/>
      <c r="CC1064" s="17"/>
      <c r="CD1064" s="17"/>
    </row>
    <row r="1065">
      <c r="A1065" s="92"/>
      <c r="B1065" s="820"/>
      <c r="O1065" s="17"/>
      <c r="P1065" s="17"/>
      <c r="Q1065" s="17"/>
      <c r="R1065" s="17"/>
      <c r="S1065" s="813"/>
      <c r="T1065" s="17"/>
      <c r="AX1065" s="17"/>
      <c r="BB1065" s="17"/>
      <c r="BE1065" s="17"/>
      <c r="BF1065" s="17"/>
      <c r="BG1065" s="17"/>
      <c r="BH1065" s="17"/>
      <c r="BI1065" s="17"/>
      <c r="BJ1065" s="17"/>
      <c r="BK1065" s="17"/>
      <c r="BL1065" s="92"/>
      <c r="BM1065" s="92"/>
      <c r="BN1065" s="92"/>
      <c r="BO1065" s="92"/>
      <c r="BP1065" s="92"/>
      <c r="BQ1065" s="818"/>
      <c r="BR1065" s="54"/>
      <c r="BS1065" s="54"/>
      <c r="BT1065" s="818"/>
      <c r="BU1065" s="818"/>
      <c r="BV1065" s="818"/>
      <c r="BW1065" s="92"/>
      <c r="BX1065" s="92"/>
      <c r="BY1065" s="17"/>
      <c r="BZ1065" s="17"/>
      <c r="CA1065" s="17"/>
      <c r="CB1065" s="17"/>
      <c r="CC1065" s="17"/>
      <c r="CD1065" s="17"/>
    </row>
    <row r="1066">
      <c r="A1066" s="92"/>
      <c r="B1066" s="820"/>
      <c r="O1066" s="17"/>
      <c r="P1066" s="17"/>
      <c r="Q1066" s="17"/>
      <c r="R1066" s="17"/>
      <c r="S1066" s="813"/>
      <c r="T1066" s="17"/>
      <c r="AX1066" s="17"/>
      <c r="BB1066" s="17"/>
      <c r="BE1066" s="17"/>
      <c r="BF1066" s="17"/>
      <c r="BG1066" s="17"/>
      <c r="BH1066" s="17"/>
      <c r="BI1066" s="17"/>
      <c r="BJ1066" s="17"/>
      <c r="BK1066" s="17"/>
      <c r="BL1066" s="92"/>
      <c r="BM1066" s="92"/>
      <c r="BN1066" s="92"/>
      <c r="BO1066" s="92"/>
      <c r="BP1066" s="92"/>
      <c r="BQ1066" s="818"/>
      <c r="BR1066" s="54"/>
      <c r="BS1066" s="54"/>
      <c r="BT1066" s="818"/>
      <c r="BU1066" s="818"/>
      <c r="BV1066" s="818"/>
      <c r="BW1066" s="92"/>
      <c r="BX1066" s="92"/>
      <c r="BY1066" s="17"/>
      <c r="BZ1066" s="17"/>
      <c r="CA1066" s="17"/>
      <c r="CB1066" s="17"/>
      <c r="CC1066" s="17"/>
      <c r="CD1066" s="17"/>
    </row>
    <row r="1067">
      <c r="A1067" s="92"/>
      <c r="B1067" s="820"/>
      <c r="O1067" s="17"/>
      <c r="P1067" s="17"/>
      <c r="Q1067" s="17"/>
      <c r="R1067" s="17"/>
      <c r="S1067" s="813"/>
      <c r="T1067" s="17"/>
      <c r="AX1067" s="17"/>
      <c r="BB1067" s="17"/>
      <c r="BE1067" s="17"/>
      <c r="BF1067" s="17"/>
      <c r="BG1067" s="17"/>
      <c r="BH1067" s="17"/>
      <c r="BI1067" s="17"/>
      <c r="BJ1067" s="17"/>
      <c r="BK1067" s="17"/>
      <c r="BL1067" s="92"/>
      <c r="BM1067" s="92"/>
      <c r="BN1067" s="92"/>
      <c r="BO1067" s="92"/>
      <c r="BP1067" s="92"/>
      <c r="BQ1067" s="818"/>
      <c r="BR1067" s="54"/>
      <c r="BS1067" s="54"/>
      <c r="BT1067" s="818"/>
      <c r="BU1067" s="818"/>
      <c r="BV1067" s="818"/>
      <c r="BW1067" s="92"/>
      <c r="BX1067" s="92"/>
      <c r="BY1067" s="17"/>
      <c r="BZ1067" s="17"/>
      <c r="CA1067" s="17"/>
      <c r="CB1067" s="17"/>
      <c r="CC1067" s="17"/>
      <c r="CD1067" s="17"/>
    </row>
    <row r="1068">
      <c r="A1068" s="92"/>
      <c r="B1068" s="820"/>
      <c r="O1068" s="17"/>
      <c r="P1068" s="17"/>
      <c r="Q1068" s="17"/>
      <c r="R1068" s="17"/>
      <c r="S1068" s="813"/>
      <c r="T1068" s="17"/>
      <c r="AX1068" s="17"/>
      <c r="BB1068" s="17"/>
      <c r="BE1068" s="17"/>
      <c r="BF1068" s="17"/>
      <c r="BG1068" s="17"/>
      <c r="BH1068" s="17"/>
      <c r="BI1068" s="17"/>
      <c r="BJ1068" s="17"/>
      <c r="BK1068" s="17"/>
      <c r="BL1068" s="92"/>
      <c r="BM1068" s="92"/>
      <c r="BN1068" s="92"/>
      <c r="BO1068" s="92"/>
      <c r="BP1068" s="92"/>
      <c r="BQ1068" s="818"/>
      <c r="BR1068" s="54"/>
      <c r="BS1068" s="54"/>
      <c r="BT1068" s="818"/>
      <c r="BU1068" s="818"/>
      <c r="BV1068" s="818"/>
      <c r="BW1068" s="92"/>
      <c r="BX1068" s="92"/>
      <c r="BY1068" s="17"/>
      <c r="BZ1068" s="17"/>
      <c r="CA1068" s="17"/>
      <c r="CB1068" s="17"/>
      <c r="CC1068" s="17"/>
      <c r="CD1068" s="17"/>
    </row>
    <row r="1069">
      <c r="A1069" s="92"/>
      <c r="B1069" s="820"/>
      <c r="O1069" s="17"/>
      <c r="P1069" s="17"/>
      <c r="Q1069" s="17"/>
      <c r="R1069" s="17"/>
      <c r="S1069" s="813"/>
      <c r="T1069" s="17"/>
      <c r="AX1069" s="17"/>
      <c r="BB1069" s="17"/>
      <c r="BE1069" s="17"/>
      <c r="BF1069" s="17"/>
      <c r="BG1069" s="17"/>
      <c r="BH1069" s="17"/>
      <c r="BI1069" s="17"/>
      <c r="BJ1069" s="17"/>
      <c r="BK1069" s="17"/>
      <c r="BL1069" s="92"/>
      <c r="BM1069" s="92"/>
      <c r="BN1069" s="92"/>
      <c r="BO1069" s="92"/>
      <c r="BP1069" s="92"/>
      <c r="BQ1069" s="818"/>
      <c r="BR1069" s="54"/>
      <c r="BS1069" s="54"/>
      <c r="BT1069" s="818"/>
      <c r="BU1069" s="818"/>
      <c r="BV1069" s="818"/>
      <c r="BW1069" s="92"/>
      <c r="BX1069" s="92"/>
      <c r="BY1069" s="17"/>
      <c r="BZ1069" s="17"/>
      <c r="CA1069" s="17"/>
      <c r="CB1069" s="17"/>
      <c r="CC1069" s="17"/>
      <c r="CD1069" s="17"/>
    </row>
    <row r="1070">
      <c r="A1070" s="92"/>
      <c r="B1070" s="820"/>
      <c r="O1070" s="17"/>
      <c r="P1070" s="17"/>
      <c r="Q1070" s="17"/>
      <c r="R1070" s="17"/>
      <c r="S1070" s="813"/>
      <c r="T1070" s="17"/>
      <c r="AX1070" s="17"/>
      <c r="BB1070" s="17"/>
      <c r="BE1070" s="17"/>
      <c r="BF1070" s="17"/>
      <c r="BG1070" s="17"/>
      <c r="BH1070" s="17"/>
      <c r="BI1070" s="17"/>
      <c r="BJ1070" s="17"/>
      <c r="BK1070" s="17"/>
      <c r="BL1070" s="92"/>
      <c r="BM1070" s="92"/>
      <c r="BN1070" s="92"/>
      <c r="BO1070" s="92"/>
      <c r="BP1070" s="92"/>
      <c r="BQ1070" s="818"/>
      <c r="BR1070" s="54"/>
      <c r="BS1070" s="54"/>
      <c r="BT1070" s="818"/>
      <c r="BU1070" s="818"/>
      <c r="BV1070" s="818"/>
      <c r="BW1070" s="92"/>
      <c r="BX1070" s="92"/>
      <c r="BY1070" s="17"/>
      <c r="BZ1070" s="17"/>
      <c r="CA1070" s="17"/>
      <c r="CB1070" s="17"/>
      <c r="CC1070" s="17"/>
      <c r="CD1070" s="17"/>
    </row>
    <row r="1071">
      <c r="A1071" s="92"/>
      <c r="B1071" s="820"/>
      <c r="O1071" s="17"/>
      <c r="P1071" s="17"/>
      <c r="Q1071" s="17"/>
      <c r="R1071" s="17"/>
      <c r="S1071" s="813"/>
      <c r="T1071" s="17"/>
      <c r="AX1071" s="17"/>
      <c r="BB1071" s="17"/>
      <c r="BE1071" s="17"/>
      <c r="BF1071" s="17"/>
      <c r="BG1071" s="17"/>
      <c r="BH1071" s="17"/>
      <c r="BI1071" s="17"/>
      <c r="BJ1071" s="17"/>
      <c r="BK1071" s="17"/>
      <c r="BL1071" s="92"/>
      <c r="BM1071" s="92"/>
      <c r="BN1071" s="92"/>
      <c r="BO1071" s="92"/>
      <c r="BP1071" s="92"/>
      <c r="BQ1071" s="818"/>
      <c r="BR1071" s="54"/>
      <c r="BS1071" s="54"/>
      <c r="BT1071" s="818"/>
      <c r="BU1071" s="818"/>
      <c r="BV1071" s="818"/>
      <c r="BW1071" s="92"/>
      <c r="BX1071" s="92"/>
      <c r="BY1071" s="17"/>
      <c r="BZ1071" s="17"/>
      <c r="CA1071" s="17"/>
      <c r="CB1071" s="17"/>
      <c r="CC1071" s="17"/>
      <c r="CD1071" s="17"/>
    </row>
    <row r="1072">
      <c r="A1072" s="92"/>
      <c r="B1072" s="820"/>
      <c r="O1072" s="17"/>
      <c r="P1072" s="17"/>
      <c r="Q1072" s="17"/>
      <c r="R1072" s="17"/>
      <c r="S1072" s="813"/>
      <c r="T1072" s="17"/>
      <c r="AX1072" s="17"/>
      <c r="BB1072" s="17"/>
      <c r="BE1072" s="17"/>
      <c r="BF1072" s="17"/>
      <c r="BG1072" s="17"/>
      <c r="BH1072" s="17"/>
      <c r="BI1072" s="17"/>
      <c r="BJ1072" s="17"/>
      <c r="BK1072" s="17"/>
      <c r="BL1072" s="92"/>
      <c r="BM1072" s="92"/>
      <c r="BN1072" s="92"/>
      <c r="BO1072" s="92"/>
      <c r="BP1072" s="92"/>
      <c r="BQ1072" s="818"/>
      <c r="BR1072" s="54"/>
      <c r="BS1072" s="54"/>
      <c r="BT1072" s="818"/>
      <c r="BU1072" s="818"/>
      <c r="BV1072" s="818"/>
      <c r="BW1072" s="92"/>
      <c r="BX1072" s="92"/>
      <c r="BY1072" s="17"/>
      <c r="BZ1072" s="17"/>
      <c r="CA1072" s="17"/>
      <c r="CB1072" s="17"/>
      <c r="CC1072" s="17"/>
      <c r="CD1072" s="17"/>
    </row>
    <row r="1073">
      <c r="A1073" s="92"/>
      <c r="B1073" s="820"/>
      <c r="O1073" s="17"/>
      <c r="P1073" s="17"/>
      <c r="Q1073" s="17"/>
      <c r="R1073" s="17"/>
      <c r="S1073" s="813"/>
      <c r="T1073" s="17"/>
      <c r="AX1073" s="17"/>
      <c r="BB1073" s="17"/>
      <c r="BE1073" s="17"/>
      <c r="BF1073" s="17"/>
      <c r="BG1073" s="17"/>
      <c r="BH1073" s="17"/>
      <c r="BI1073" s="17"/>
      <c r="BJ1073" s="17"/>
      <c r="BK1073" s="17"/>
      <c r="BL1073" s="92"/>
      <c r="BM1073" s="92"/>
      <c r="BN1073" s="92"/>
      <c r="BO1073" s="92"/>
      <c r="BP1073" s="92"/>
      <c r="BQ1073" s="818"/>
      <c r="BR1073" s="54"/>
      <c r="BS1073" s="54"/>
      <c r="BT1073" s="818"/>
      <c r="BU1073" s="818"/>
      <c r="BV1073" s="818"/>
      <c r="BW1073" s="92"/>
      <c r="BX1073" s="92"/>
      <c r="BY1073" s="17"/>
      <c r="BZ1073" s="17"/>
      <c r="CA1073" s="17"/>
      <c r="CB1073" s="17"/>
      <c r="CC1073" s="17"/>
      <c r="CD1073" s="17"/>
    </row>
    <row r="1074">
      <c r="A1074" s="92"/>
      <c r="B1074" s="820"/>
      <c r="O1074" s="17"/>
      <c r="P1074" s="17"/>
      <c r="Q1074" s="17"/>
      <c r="R1074" s="17"/>
      <c r="S1074" s="813"/>
      <c r="T1074" s="17"/>
      <c r="AX1074" s="17"/>
      <c r="BB1074" s="17"/>
      <c r="BE1074" s="17"/>
      <c r="BF1074" s="17"/>
      <c r="BG1074" s="17"/>
      <c r="BH1074" s="17"/>
      <c r="BI1074" s="17"/>
      <c r="BJ1074" s="17"/>
      <c r="BK1074" s="17"/>
      <c r="BL1074" s="92"/>
      <c r="BM1074" s="92"/>
      <c r="BN1074" s="92"/>
      <c r="BO1074" s="92"/>
      <c r="BP1074" s="92"/>
      <c r="BQ1074" s="818"/>
      <c r="BR1074" s="54"/>
      <c r="BS1074" s="54"/>
      <c r="BT1074" s="818"/>
      <c r="BU1074" s="818"/>
      <c r="BV1074" s="818"/>
      <c r="BW1074" s="92"/>
      <c r="BX1074" s="92"/>
      <c r="BY1074" s="17"/>
      <c r="BZ1074" s="17"/>
      <c r="CA1074" s="17"/>
      <c r="CB1074" s="17"/>
      <c r="CC1074" s="17"/>
      <c r="CD1074" s="17"/>
    </row>
    <row r="1075">
      <c r="A1075" s="92"/>
      <c r="B1075" s="820"/>
      <c r="O1075" s="17"/>
      <c r="P1075" s="17"/>
      <c r="Q1075" s="17"/>
      <c r="R1075" s="17"/>
      <c r="S1075" s="813"/>
      <c r="T1075" s="17"/>
      <c r="AX1075" s="17"/>
      <c r="BB1075" s="17"/>
      <c r="BE1075" s="17"/>
      <c r="BF1075" s="17"/>
      <c r="BG1075" s="17"/>
      <c r="BH1075" s="17"/>
      <c r="BI1075" s="17"/>
      <c r="BJ1075" s="17"/>
      <c r="BK1075" s="17"/>
      <c r="BL1075" s="92"/>
      <c r="BM1075" s="92"/>
      <c r="BN1075" s="92"/>
      <c r="BO1075" s="92"/>
      <c r="BP1075" s="92"/>
      <c r="BQ1075" s="818"/>
      <c r="BR1075" s="54"/>
      <c r="BS1075" s="54"/>
      <c r="BT1075" s="818"/>
      <c r="BU1075" s="818"/>
      <c r="BV1075" s="818"/>
      <c r="BW1075" s="92"/>
      <c r="BX1075" s="92"/>
      <c r="BY1075" s="17"/>
      <c r="BZ1075" s="17"/>
      <c r="CA1075" s="17"/>
      <c r="CB1075" s="17"/>
      <c r="CC1075" s="17"/>
      <c r="CD1075" s="17"/>
    </row>
    <row r="1076">
      <c r="A1076" s="92"/>
      <c r="B1076" s="820"/>
      <c r="O1076" s="17"/>
      <c r="P1076" s="17"/>
      <c r="Q1076" s="17"/>
      <c r="R1076" s="17"/>
      <c r="S1076" s="813"/>
      <c r="T1076" s="17"/>
      <c r="AX1076" s="17"/>
      <c r="BB1076" s="17"/>
      <c r="BE1076" s="17"/>
      <c r="BF1076" s="17"/>
      <c r="BG1076" s="17"/>
      <c r="BH1076" s="17"/>
      <c r="BI1076" s="17"/>
      <c r="BJ1076" s="17"/>
      <c r="BK1076" s="17"/>
      <c r="BL1076" s="92"/>
      <c r="BM1076" s="92"/>
      <c r="BN1076" s="92"/>
      <c r="BO1076" s="92"/>
      <c r="BP1076" s="92"/>
      <c r="BQ1076" s="818"/>
      <c r="BR1076" s="54"/>
      <c r="BS1076" s="54"/>
      <c r="BT1076" s="818"/>
      <c r="BU1076" s="818"/>
      <c r="BV1076" s="818"/>
      <c r="BW1076" s="92"/>
      <c r="BX1076" s="92"/>
      <c r="BY1076" s="17"/>
      <c r="BZ1076" s="17"/>
      <c r="CA1076" s="17"/>
      <c r="CB1076" s="17"/>
      <c r="CC1076" s="17"/>
      <c r="CD1076" s="17"/>
    </row>
    <row r="1077">
      <c r="A1077" s="92"/>
      <c r="B1077" s="820"/>
      <c r="O1077" s="17"/>
      <c r="P1077" s="17"/>
      <c r="Q1077" s="17"/>
      <c r="R1077" s="17"/>
      <c r="S1077" s="813"/>
      <c r="T1077" s="17"/>
      <c r="AX1077" s="17"/>
      <c r="BB1077" s="17"/>
      <c r="BE1077" s="17"/>
      <c r="BF1077" s="17"/>
      <c r="BG1077" s="17"/>
      <c r="BH1077" s="17"/>
      <c r="BI1077" s="17"/>
      <c r="BJ1077" s="17"/>
      <c r="BK1077" s="17"/>
      <c r="BL1077" s="92"/>
      <c r="BM1077" s="92"/>
      <c r="BN1077" s="92"/>
      <c r="BO1077" s="92"/>
      <c r="BP1077" s="92"/>
      <c r="BQ1077" s="818"/>
      <c r="BR1077" s="54"/>
      <c r="BS1077" s="54"/>
      <c r="BT1077" s="818"/>
      <c r="BU1077" s="818"/>
      <c r="BV1077" s="818"/>
      <c r="BW1077" s="92"/>
      <c r="BX1077" s="92"/>
      <c r="BY1077" s="17"/>
      <c r="BZ1077" s="17"/>
      <c r="CA1077" s="17"/>
      <c r="CB1077" s="17"/>
      <c r="CC1077" s="17"/>
      <c r="CD1077" s="17"/>
    </row>
    <row r="1078">
      <c r="A1078" s="92"/>
      <c r="B1078" s="820"/>
      <c r="O1078" s="17"/>
      <c r="P1078" s="17"/>
      <c r="Q1078" s="17"/>
      <c r="R1078" s="17"/>
      <c r="S1078" s="813"/>
      <c r="T1078" s="17"/>
      <c r="AX1078" s="17"/>
      <c r="BB1078" s="17"/>
      <c r="BE1078" s="17"/>
      <c r="BF1078" s="17"/>
      <c r="BG1078" s="17"/>
      <c r="BH1078" s="17"/>
      <c r="BI1078" s="17"/>
      <c r="BJ1078" s="17"/>
      <c r="BK1078" s="17"/>
      <c r="BL1078" s="92"/>
      <c r="BM1078" s="92"/>
      <c r="BN1078" s="92"/>
      <c r="BO1078" s="92"/>
      <c r="BP1078" s="92"/>
      <c r="BQ1078" s="818"/>
      <c r="BR1078" s="54"/>
      <c r="BS1078" s="54"/>
      <c r="BT1078" s="818"/>
      <c r="BU1078" s="818"/>
      <c r="BV1078" s="818"/>
      <c r="BW1078" s="92"/>
      <c r="BX1078" s="92"/>
      <c r="BY1078" s="17"/>
      <c r="BZ1078" s="17"/>
      <c r="CA1078" s="17"/>
      <c r="CB1078" s="17"/>
      <c r="CC1078" s="17"/>
      <c r="CD1078" s="17"/>
    </row>
    <row r="1079">
      <c r="A1079" s="92"/>
      <c r="B1079" s="820"/>
      <c r="O1079" s="17"/>
      <c r="P1079" s="17"/>
      <c r="Q1079" s="17"/>
      <c r="R1079" s="17"/>
      <c r="S1079" s="813"/>
      <c r="T1079" s="17"/>
      <c r="AX1079" s="17"/>
      <c r="BB1079" s="17"/>
      <c r="BE1079" s="17"/>
      <c r="BF1079" s="17"/>
      <c r="BG1079" s="17"/>
      <c r="BH1079" s="17"/>
      <c r="BI1079" s="17"/>
      <c r="BJ1079" s="17"/>
      <c r="BK1079" s="17"/>
      <c r="BL1079" s="92"/>
      <c r="BM1079" s="92"/>
      <c r="BN1079" s="92"/>
      <c r="BO1079" s="92"/>
      <c r="BP1079" s="92"/>
      <c r="BQ1079" s="818"/>
      <c r="BR1079" s="54"/>
      <c r="BS1079" s="54"/>
      <c r="BT1079" s="818"/>
      <c r="BU1079" s="818"/>
      <c r="BV1079" s="818"/>
      <c r="BW1079" s="92"/>
      <c r="BX1079" s="92"/>
      <c r="BY1079" s="17"/>
      <c r="BZ1079" s="17"/>
      <c r="CA1079" s="17"/>
      <c r="CB1079" s="17"/>
      <c r="CC1079" s="17"/>
      <c r="CD1079" s="17"/>
    </row>
    <row r="1080">
      <c r="A1080" s="92"/>
      <c r="B1080" s="820"/>
      <c r="O1080" s="17"/>
      <c r="P1080" s="17"/>
      <c r="Q1080" s="17"/>
      <c r="R1080" s="17"/>
      <c r="S1080" s="813"/>
      <c r="T1080" s="17"/>
      <c r="AX1080" s="17"/>
      <c r="BB1080" s="17"/>
      <c r="BE1080" s="17"/>
      <c r="BF1080" s="17"/>
      <c r="BG1080" s="17"/>
      <c r="BH1080" s="17"/>
      <c r="BI1080" s="17"/>
      <c r="BJ1080" s="17"/>
      <c r="BK1080" s="17"/>
      <c r="BL1080" s="92"/>
      <c r="BM1080" s="92"/>
      <c r="BN1080" s="92"/>
      <c r="BO1080" s="92"/>
      <c r="BP1080" s="92"/>
      <c r="BQ1080" s="818"/>
      <c r="BR1080" s="54"/>
      <c r="BS1080" s="54"/>
      <c r="BT1080" s="818"/>
      <c r="BU1080" s="818"/>
      <c r="BV1080" s="818"/>
      <c r="BW1080" s="92"/>
      <c r="BX1080" s="92"/>
      <c r="BY1080" s="17"/>
      <c r="BZ1080" s="17"/>
      <c r="CA1080" s="17"/>
      <c r="CB1080" s="17"/>
      <c r="CC1080" s="17"/>
      <c r="CD1080" s="17"/>
    </row>
    <row r="1081">
      <c r="A1081" s="92"/>
      <c r="B1081" s="820"/>
      <c r="O1081" s="17"/>
      <c r="P1081" s="17"/>
      <c r="Q1081" s="17"/>
      <c r="R1081" s="17"/>
      <c r="S1081" s="813"/>
      <c r="T1081" s="17"/>
      <c r="AX1081" s="17"/>
      <c r="BB1081" s="17"/>
      <c r="BE1081" s="17"/>
      <c r="BF1081" s="17"/>
      <c r="BG1081" s="17"/>
      <c r="BH1081" s="17"/>
      <c r="BI1081" s="17"/>
      <c r="BJ1081" s="17"/>
      <c r="BK1081" s="17"/>
      <c r="BL1081" s="92"/>
      <c r="BM1081" s="92"/>
      <c r="BN1081" s="92"/>
      <c r="BO1081" s="92"/>
      <c r="BP1081" s="92"/>
      <c r="BQ1081" s="818"/>
      <c r="BR1081" s="54"/>
      <c r="BS1081" s="54"/>
      <c r="BT1081" s="818"/>
      <c r="BU1081" s="818"/>
      <c r="BV1081" s="818"/>
      <c r="BW1081" s="92"/>
      <c r="BX1081" s="92"/>
      <c r="BY1081" s="17"/>
      <c r="BZ1081" s="17"/>
      <c r="CA1081" s="17"/>
      <c r="CB1081" s="17"/>
      <c r="CC1081" s="17"/>
      <c r="CD1081" s="17"/>
    </row>
    <row r="1082">
      <c r="A1082" s="92"/>
      <c r="B1082" s="820"/>
      <c r="O1082" s="17"/>
      <c r="P1082" s="17"/>
      <c r="Q1082" s="17"/>
      <c r="R1082" s="17"/>
      <c r="S1082" s="813"/>
      <c r="T1082" s="17"/>
      <c r="AX1082" s="17"/>
      <c r="BB1082" s="17"/>
      <c r="BE1082" s="17"/>
      <c r="BF1082" s="17"/>
      <c r="BG1082" s="17"/>
      <c r="BH1082" s="17"/>
      <c r="BI1082" s="17"/>
      <c r="BJ1082" s="17"/>
      <c r="BK1082" s="17"/>
      <c r="BL1082" s="92"/>
      <c r="BM1082" s="92"/>
      <c r="BN1082" s="92"/>
      <c r="BO1082" s="92"/>
      <c r="BP1082" s="92"/>
      <c r="BQ1082" s="818"/>
      <c r="BR1082" s="54"/>
      <c r="BS1082" s="54"/>
      <c r="BT1082" s="818"/>
      <c r="BU1082" s="818"/>
      <c r="BV1082" s="818"/>
      <c r="BW1082" s="92"/>
      <c r="BX1082" s="92"/>
      <c r="BY1082" s="17"/>
      <c r="BZ1082" s="17"/>
      <c r="CA1082" s="17"/>
      <c r="CB1082" s="17"/>
      <c r="CC1082" s="17"/>
      <c r="CD1082" s="17"/>
    </row>
    <row r="1083">
      <c r="A1083" s="92"/>
      <c r="B1083" s="820"/>
      <c r="O1083" s="17"/>
      <c r="P1083" s="17"/>
      <c r="Q1083" s="17"/>
      <c r="R1083" s="17"/>
      <c r="S1083" s="813"/>
      <c r="T1083" s="17"/>
      <c r="AX1083" s="17"/>
      <c r="BB1083" s="17"/>
      <c r="BE1083" s="17"/>
      <c r="BF1083" s="17"/>
      <c r="BG1083" s="17"/>
      <c r="BH1083" s="17"/>
      <c r="BI1083" s="17"/>
      <c r="BJ1083" s="17"/>
      <c r="BK1083" s="17"/>
      <c r="BL1083" s="92"/>
      <c r="BM1083" s="92"/>
      <c r="BN1083" s="92"/>
      <c r="BO1083" s="92"/>
      <c r="BP1083" s="92"/>
      <c r="BQ1083" s="818"/>
      <c r="BR1083" s="54"/>
      <c r="BS1083" s="54"/>
      <c r="BT1083" s="818"/>
      <c r="BU1083" s="818"/>
      <c r="BV1083" s="818"/>
      <c r="BW1083" s="92"/>
      <c r="BX1083" s="92"/>
      <c r="BY1083" s="17"/>
      <c r="BZ1083" s="17"/>
      <c r="CA1083" s="17"/>
      <c r="CB1083" s="17"/>
      <c r="CC1083" s="17"/>
      <c r="CD1083" s="17"/>
    </row>
    <row r="1084">
      <c r="A1084" s="92"/>
      <c r="B1084" s="820"/>
      <c r="O1084" s="17"/>
      <c r="P1084" s="17"/>
      <c r="Q1084" s="17"/>
      <c r="R1084" s="17"/>
      <c r="S1084" s="813"/>
      <c r="T1084" s="17"/>
      <c r="AX1084" s="17"/>
      <c r="BB1084" s="17"/>
      <c r="BE1084" s="17"/>
      <c r="BF1084" s="17"/>
      <c r="BG1084" s="17"/>
      <c r="BH1084" s="17"/>
      <c r="BI1084" s="17"/>
      <c r="BJ1084" s="17"/>
      <c r="BK1084" s="17"/>
      <c r="BL1084" s="92"/>
      <c r="BM1084" s="92"/>
      <c r="BN1084" s="92"/>
      <c r="BO1084" s="92"/>
      <c r="BP1084" s="92"/>
      <c r="BQ1084" s="818"/>
      <c r="BR1084" s="54"/>
      <c r="BS1084" s="54"/>
      <c r="BT1084" s="818"/>
      <c r="BU1084" s="818"/>
      <c r="BV1084" s="818"/>
      <c r="BW1084" s="92"/>
      <c r="BX1084" s="92"/>
      <c r="BY1084" s="17"/>
      <c r="BZ1084" s="17"/>
      <c r="CA1084" s="17"/>
      <c r="CB1084" s="17"/>
      <c r="CC1084" s="17"/>
      <c r="CD1084" s="17"/>
    </row>
    <row r="1085">
      <c r="A1085" s="92"/>
      <c r="B1085" s="820"/>
      <c r="O1085" s="17"/>
      <c r="P1085" s="17"/>
      <c r="Q1085" s="17"/>
      <c r="R1085" s="17"/>
      <c r="S1085" s="813"/>
      <c r="T1085" s="17"/>
      <c r="AX1085" s="17"/>
      <c r="BB1085" s="17"/>
      <c r="BE1085" s="17"/>
      <c r="BF1085" s="17"/>
      <c r="BG1085" s="17"/>
      <c r="BH1085" s="17"/>
      <c r="BI1085" s="17"/>
      <c r="BJ1085" s="17"/>
      <c r="BK1085" s="17"/>
      <c r="BL1085" s="92"/>
      <c r="BM1085" s="92"/>
      <c r="BN1085" s="92"/>
      <c r="BO1085" s="92"/>
      <c r="BP1085" s="92"/>
      <c r="BQ1085" s="818"/>
      <c r="BR1085" s="54"/>
      <c r="BS1085" s="54"/>
      <c r="BT1085" s="818"/>
      <c r="BU1085" s="818"/>
      <c r="BV1085" s="818"/>
      <c r="BW1085" s="92"/>
      <c r="BX1085" s="92"/>
      <c r="BY1085" s="17"/>
      <c r="BZ1085" s="17"/>
      <c r="CA1085" s="17"/>
      <c r="CB1085" s="17"/>
      <c r="CC1085" s="17"/>
      <c r="CD1085" s="17"/>
    </row>
    <row r="1086">
      <c r="A1086" s="92"/>
      <c r="B1086" s="820"/>
      <c r="O1086" s="17"/>
      <c r="P1086" s="17"/>
      <c r="Q1086" s="17"/>
      <c r="R1086" s="17"/>
      <c r="S1086" s="813"/>
      <c r="T1086" s="17"/>
      <c r="AX1086" s="17"/>
      <c r="BB1086" s="17"/>
      <c r="BE1086" s="17"/>
      <c r="BF1086" s="17"/>
      <c r="BG1086" s="17"/>
      <c r="BH1086" s="17"/>
      <c r="BI1086" s="17"/>
      <c r="BJ1086" s="17"/>
      <c r="BK1086" s="17"/>
      <c r="BL1086" s="92"/>
      <c r="BM1086" s="92"/>
      <c r="BN1086" s="92"/>
      <c r="BO1086" s="92"/>
      <c r="BP1086" s="92"/>
      <c r="BQ1086" s="818"/>
      <c r="BR1086" s="54"/>
      <c r="BS1086" s="54"/>
      <c r="BT1086" s="818"/>
      <c r="BU1086" s="818"/>
      <c r="BV1086" s="818"/>
      <c r="BW1086" s="92"/>
      <c r="BX1086" s="92"/>
      <c r="BY1086" s="17"/>
      <c r="BZ1086" s="17"/>
      <c r="CA1086" s="17"/>
      <c r="CB1086" s="17"/>
      <c r="CC1086" s="17"/>
      <c r="CD1086" s="17"/>
    </row>
    <row r="1087">
      <c r="A1087" s="92"/>
      <c r="B1087" s="820"/>
      <c r="O1087" s="17"/>
      <c r="P1087" s="17"/>
      <c r="Q1087" s="17"/>
      <c r="R1087" s="17"/>
      <c r="S1087" s="813"/>
      <c r="T1087" s="17"/>
      <c r="AX1087" s="17"/>
      <c r="BB1087" s="17"/>
      <c r="BE1087" s="17"/>
      <c r="BF1087" s="17"/>
      <c r="BG1087" s="17"/>
      <c r="BH1087" s="17"/>
      <c r="BI1087" s="17"/>
      <c r="BJ1087" s="17"/>
      <c r="BK1087" s="17"/>
      <c r="BL1087" s="92"/>
      <c r="BM1087" s="92"/>
      <c r="BN1087" s="92"/>
      <c r="BO1087" s="92"/>
      <c r="BP1087" s="92"/>
      <c r="BQ1087" s="818"/>
      <c r="BR1087" s="54"/>
      <c r="BS1087" s="54"/>
      <c r="BT1087" s="818"/>
      <c r="BU1087" s="818"/>
      <c r="BV1087" s="818"/>
      <c r="BW1087" s="92"/>
      <c r="BX1087" s="92"/>
      <c r="BY1087" s="17"/>
      <c r="BZ1087" s="17"/>
      <c r="CA1087" s="17"/>
      <c r="CB1087" s="17"/>
      <c r="CC1087" s="17"/>
      <c r="CD1087" s="17"/>
    </row>
    <row r="1088">
      <c r="A1088" s="92"/>
      <c r="B1088" s="820"/>
      <c r="O1088" s="17"/>
      <c r="P1088" s="17"/>
      <c r="Q1088" s="17"/>
      <c r="R1088" s="17"/>
      <c r="S1088" s="813"/>
      <c r="T1088" s="17"/>
      <c r="AX1088" s="17"/>
      <c r="BB1088" s="17"/>
      <c r="BE1088" s="17"/>
      <c r="BF1088" s="17"/>
      <c r="BG1088" s="17"/>
      <c r="BH1088" s="17"/>
      <c r="BI1088" s="17"/>
      <c r="BJ1088" s="17"/>
      <c r="BK1088" s="17"/>
      <c r="BL1088" s="92"/>
      <c r="BM1088" s="92"/>
      <c r="BN1088" s="92"/>
      <c r="BO1088" s="92"/>
      <c r="BP1088" s="92"/>
      <c r="BQ1088" s="818"/>
      <c r="BR1088" s="54"/>
      <c r="BS1088" s="54"/>
      <c r="BT1088" s="818"/>
      <c r="BU1088" s="818"/>
      <c r="BV1088" s="818"/>
      <c r="BW1088" s="92"/>
      <c r="BX1088" s="92"/>
      <c r="BY1088" s="17"/>
      <c r="BZ1088" s="17"/>
      <c r="CA1088" s="17"/>
      <c r="CB1088" s="17"/>
      <c r="CC1088" s="17"/>
      <c r="CD1088" s="17"/>
    </row>
    <row r="1089">
      <c r="A1089" s="92"/>
      <c r="B1089" s="820"/>
      <c r="O1089" s="17"/>
      <c r="P1089" s="17"/>
      <c r="Q1089" s="17"/>
      <c r="R1089" s="17"/>
      <c r="S1089" s="813"/>
      <c r="T1089" s="17"/>
      <c r="AX1089" s="17"/>
      <c r="BB1089" s="17"/>
      <c r="BE1089" s="17"/>
      <c r="BF1089" s="17"/>
      <c r="BG1089" s="17"/>
      <c r="BH1089" s="17"/>
      <c r="BI1089" s="17"/>
      <c r="BJ1089" s="17"/>
      <c r="BK1089" s="17"/>
      <c r="BL1089" s="92"/>
      <c r="BM1089" s="92"/>
      <c r="BN1089" s="92"/>
      <c r="BO1089" s="92"/>
      <c r="BP1089" s="92"/>
      <c r="BQ1089" s="818"/>
      <c r="BR1089" s="54"/>
      <c r="BS1089" s="54"/>
      <c r="BT1089" s="818"/>
      <c r="BU1089" s="818"/>
      <c r="BV1089" s="818"/>
      <c r="BW1089" s="92"/>
      <c r="BX1089" s="92"/>
      <c r="BY1089" s="17"/>
      <c r="BZ1089" s="17"/>
      <c r="CA1089" s="17"/>
      <c r="CB1089" s="17"/>
      <c r="CC1089" s="17"/>
      <c r="CD1089" s="17"/>
    </row>
    <row r="1090">
      <c r="A1090" s="92"/>
      <c r="B1090" s="820"/>
      <c r="O1090" s="17"/>
      <c r="P1090" s="17"/>
      <c r="Q1090" s="17"/>
      <c r="R1090" s="17"/>
      <c r="S1090" s="813"/>
      <c r="T1090" s="17"/>
      <c r="AX1090" s="17"/>
      <c r="BB1090" s="17"/>
      <c r="BE1090" s="17"/>
      <c r="BF1090" s="17"/>
      <c r="BG1090" s="17"/>
      <c r="BH1090" s="17"/>
      <c r="BI1090" s="17"/>
      <c r="BJ1090" s="17"/>
      <c r="BK1090" s="17"/>
      <c r="BL1090" s="92"/>
      <c r="BM1090" s="92"/>
      <c r="BN1090" s="92"/>
      <c r="BO1090" s="92"/>
      <c r="BP1090" s="92"/>
      <c r="BQ1090" s="818"/>
      <c r="BR1090" s="54"/>
      <c r="BS1090" s="54"/>
      <c r="BT1090" s="818"/>
      <c r="BU1090" s="818"/>
      <c r="BV1090" s="818"/>
      <c r="BW1090" s="92"/>
      <c r="BX1090" s="92"/>
      <c r="BY1090" s="17"/>
      <c r="BZ1090" s="17"/>
      <c r="CA1090" s="17"/>
      <c r="CB1090" s="17"/>
      <c r="CC1090" s="17"/>
      <c r="CD1090" s="17"/>
    </row>
    <row r="1091">
      <c r="A1091" s="92"/>
      <c r="B1091" s="820"/>
      <c r="O1091" s="17"/>
      <c r="P1091" s="17"/>
      <c r="Q1091" s="17"/>
      <c r="R1091" s="17"/>
      <c r="S1091" s="813"/>
      <c r="T1091" s="17"/>
      <c r="AX1091" s="17"/>
      <c r="BB1091" s="17"/>
      <c r="BE1091" s="17"/>
      <c r="BF1091" s="17"/>
      <c r="BG1091" s="17"/>
      <c r="BH1091" s="17"/>
      <c r="BI1091" s="17"/>
      <c r="BJ1091" s="17"/>
      <c r="BK1091" s="17"/>
      <c r="BL1091" s="92"/>
      <c r="BM1091" s="92"/>
      <c r="BN1091" s="92"/>
      <c r="BO1091" s="92"/>
      <c r="BP1091" s="92"/>
      <c r="BQ1091" s="818"/>
      <c r="BR1091" s="54"/>
      <c r="BS1091" s="54"/>
      <c r="BT1091" s="818"/>
      <c r="BU1091" s="818"/>
      <c r="BV1091" s="818"/>
      <c r="BW1091" s="92"/>
      <c r="BX1091" s="92"/>
      <c r="BY1091" s="17"/>
      <c r="BZ1091" s="17"/>
      <c r="CA1091" s="17"/>
      <c r="CB1091" s="17"/>
      <c r="CC1091" s="17"/>
      <c r="CD1091" s="17"/>
    </row>
    <row r="1092">
      <c r="A1092" s="92"/>
      <c r="B1092" s="820"/>
      <c r="O1092" s="17"/>
      <c r="P1092" s="17"/>
      <c r="Q1092" s="17"/>
      <c r="R1092" s="17"/>
      <c r="S1092" s="62"/>
      <c r="T1092" s="17"/>
      <c r="AX1092" s="17"/>
      <c r="BB1092" s="17"/>
      <c r="BE1092" s="17"/>
      <c r="BF1092" s="17"/>
      <c r="BG1092" s="17"/>
      <c r="BH1092" s="17"/>
      <c r="BI1092" s="17"/>
      <c r="BJ1092" s="17"/>
      <c r="BK1092" s="17"/>
      <c r="BL1092" s="92"/>
      <c r="BM1092" s="92"/>
      <c r="BN1092" s="92"/>
      <c r="BO1092" s="92"/>
      <c r="BP1092" s="92"/>
      <c r="BQ1092" s="818"/>
      <c r="BR1092" s="54"/>
      <c r="BS1092" s="54"/>
      <c r="BT1092" s="818"/>
      <c r="BU1092" s="818"/>
      <c r="BV1092" s="818"/>
      <c r="BW1092" s="92"/>
      <c r="BX1092" s="92"/>
      <c r="BY1092" s="17"/>
      <c r="BZ1092" s="17"/>
      <c r="CA1092" s="17"/>
      <c r="CB1092" s="17"/>
      <c r="CC1092" s="17"/>
      <c r="CD1092" s="17"/>
    </row>
  </sheetData>
  <mergeCells count="719">
    <mergeCell ref="C1:J1"/>
    <mergeCell ref="E3:E4"/>
    <mergeCell ref="I3:I4"/>
    <mergeCell ref="BU3:BU5"/>
    <mergeCell ref="BV3:BV4"/>
    <mergeCell ref="BW3:BW4"/>
    <mergeCell ref="BP5:BP6"/>
    <mergeCell ref="BQ5:BQ6"/>
    <mergeCell ref="BT5:BT6"/>
    <mergeCell ref="BV5:BV6"/>
    <mergeCell ref="BW5:BW6"/>
    <mergeCell ref="AU3:AV4"/>
    <mergeCell ref="BB3:BH4"/>
    <mergeCell ref="BP3:BP4"/>
    <mergeCell ref="BQ3:BQ4"/>
    <mergeCell ref="BR3:BR5"/>
    <mergeCell ref="BS3:BS5"/>
    <mergeCell ref="BT3:BT4"/>
    <mergeCell ref="T4:T6"/>
    <mergeCell ref="U4:U6"/>
    <mergeCell ref="AC4:AC6"/>
    <mergeCell ref="AD4:AD6"/>
    <mergeCell ref="AI4:AI6"/>
    <mergeCell ref="AJ4:AJ6"/>
    <mergeCell ref="C5:C6"/>
    <mergeCell ref="D5:D6"/>
    <mergeCell ref="BP7:BP8"/>
    <mergeCell ref="BQ7:BQ8"/>
    <mergeCell ref="BU6:BU8"/>
    <mergeCell ref="BV7:BV8"/>
    <mergeCell ref="BW7:BW8"/>
    <mergeCell ref="AY5:AY6"/>
    <mergeCell ref="AZ5:AZ6"/>
    <mergeCell ref="BR6:BR8"/>
    <mergeCell ref="BS6:BS8"/>
    <mergeCell ref="AU7:AZ8"/>
    <mergeCell ref="BB7:BH8"/>
    <mergeCell ref="BT7:BT8"/>
    <mergeCell ref="X5:Y6"/>
    <mergeCell ref="X9:X10"/>
    <mergeCell ref="Y9:Y10"/>
    <mergeCell ref="Z9:AA10"/>
    <mergeCell ref="AC9:AC10"/>
    <mergeCell ref="AD9:AD10"/>
    <mergeCell ref="AE9:AJ10"/>
    <mergeCell ref="AG5:AH6"/>
    <mergeCell ref="AL5:AS6"/>
    <mergeCell ref="AL7:AS8"/>
    <mergeCell ref="BD9:BE10"/>
    <mergeCell ref="BF9:BG10"/>
    <mergeCell ref="BP9:BP10"/>
    <mergeCell ref="BQ9:BQ10"/>
    <mergeCell ref="F11:F13"/>
    <mergeCell ref="G11:H12"/>
    <mergeCell ref="R11:R12"/>
    <mergeCell ref="X11:Y12"/>
    <mergeCell ref="AE11:AF12"/>
    <mergeCell ref="V12:V14"/>
    <mergeCell ref="W12:W14"/>
    <mergeCell ref="AL16:AM17"/>
    <mergeCell ref="AL18:AM19"/>
    <mergeCell ref="AN18:AO19"/>
    <mergeCell ref="AP18:AP19"/>
    <mergeCell ref="AU18:AZ19"/>
    <mergeCell ref="AL20:AS21"/>
    <mergeCell ref="AU20:AZ21"/>
    <mergeCell ref="Z12:Z14"/>
    <mergeCell ref="AA12:AA14"/>
    <mergeCell ref="AC16:AJ17"/>
    <mergeCell ref="AQ16:AQ17"/>
    <mergeCell ref="AR16:AR18"/>
    <mergeCell ref="AS16:AS18"/>
    <mergeCell ref="AC18:AJ19"/>
    <mergeCell ref="AR22:AS23"/>
    <mergeCell ref="AR24:AR25"/>
    <mergeCell ref="AN26:AN27"/>
    <mergeCell ref="AP26:AP27"/>
    <mergeCell ref="AC22:AJ23"/>
    <mergeCell ref="AL22:AM23"/>
    <mergeCell ref="AN22:AN23"/>
    <mergeCell ref="AP22:AQ23"/>
    <mergeCell ref="AU22:AZ23"/>
    <mergeCell ref="AC24:AJ25"/>
    <mergeCell ref="AN24:AO25"/>
    <mergeCell ref="AL1:AS1"/>
    <mergeCell ref="AL3:AS4"/>
    <mergeCell ref="AL10:AM12"/>
    <mergeCell ref="AN10:AO12"/>
    <mergeCell ref="I5:I6"/>
    <mergeCell ref="J5:J6"/>
    <mergeCell ref="I7:I8"/>
    <mergeCell ref="J7:J8"/>
    <mergeCell ref="A3:A14"/>
    <mergeCell ref="C7:C8"/>
    <mergeCell ref="L1:R1"/>
    <mergeCell ref="T1:AA1"/>
    <mergeCell ref="AC1:AJ1"/>
    <mergeCell ref="AU1:AZ1"/>
    <mergeCell ref="BB1:BL1"/>
    <mergeCell ref="L3:R4"/>
    <mergeCell ref="BB5:BH6"/>
    <mergeCell ref="L5:R6"/>
    <mergeCell ref="L7:R8"/>
    <mergeCell ref="S7:S8"/>
    <mergeCell ref="T7:AA8"/>
    <mergeCell ref="AB7:AB8"/>
    <mergeCell ref="AC7:AD8"/>
    <mergeCell ref="AE7:AJ8"/>
    <mergeCell ref="E5:F6"/>
    <mergeCell ref="H5:H6"/>
    <mergeCell ref="D7:E8"/>
    <mergeCell ref="F7:F8"/>
    <mergeCell ref="G7:G8"/>
    <mergeCell ref="H7:H8"/>
    <mergeCell ref="D9:D10"/>
    <mergeCell ref="G13:G14"/>
    <mergeCell ref="H13:H14"/>
    <mergeCell ref="BV18:BV19"/>
    <mergeCell ref="BW18:BW19"/>
    <mergeCell ref="BR16:BR18"/>
    <mergeCell ref="BS16:BS18"/>
    <mergeCell ref="BT16:BT17"/>
    <mergeCell ref="BU16:BU18"/>
    <mergeCell ref="BV16:BV17"/>
    <mergeCell ref="BW16:BW17"/>
    <mergeCell ref="BT18:BT19"/>
    <mergeCell ref="BU22:BU24"/>
    <mergeCell ref="BU25:BU27"/>
    <mergeCell ref="BT22:BT23"/>
    <mergeCell ref="BV22:BV23"/>
    <mergeCell ref="BW22:BW23"/>
    <mergeCell ref="BV24:BV25"/>
    <mergeCell ref="BW24:BW25"/>
    <mergeCell ref="BR25:BR27"/>
    <mergeCell ref="BS25:BS27"/>
    <mergeCell ref="BP55:BP56"/>
    <mergeCell ref="BQ55:BQ56"/>
    <mergeCell ref="BR55:BR57"/>
    <mergeCell ref="BS55:BS57"/>
    <mergeCell ref="BT55:BT56"/>
    <mergeCell ref="BU55:BU57"/>
    <mergeCell ref="BV55:BV56"/>
    <mergeCell ref="BV57:BV58"/>
    <mergeCell ref="BV59:BV60"/>
    <mergeCell ref="BP57:BP58"/>
    <mergeCell ref="BQ57:BQ58"/>
    <mergeCell ref="BT57:BT58"/>
    <mergeCell ref="BR58:BR60"/>
    <mergeCell ref="BS58:BS60"/>
    <mergeCell ref="BU58:BU60"/>
    <mergeCell ref="BT59:BT60"/>
    <mergeCell ref="BS64:BS66"/>
    <mergeCell ref="BU64:BU66"/>
    <mergeCell ref="BT65:BT66"/>
    <mergeCell ref="BP65:BP66"/>
    <mergeCell ref="BQ65:BQ66"/>
    <mergeCell ref="BV65:BV66"/>
    <mergeCell ref="BW65:BW66"/>
    <mergeCell ref="BP61:BP62"/>
    <mergeCell ref="BP63:BP64"/>
    <mergeCell ref="BQ63:BQ64"/>
    <mergeCell ref="BT63:BT64"/>
    <mergeCell ref="BV63:BV64"/>
    <mergeCell ref="BW63:BW64"/>
    <mergeCell ref="BR64:BR66"/>
    <mergeCell ref="BU42:BU44"/>
    <mergeCell ref="BV42:BV43"/>
    <mergeCell ref="BP39:BP40"/>
    <mergeCell ref="BQ39:BQ40"/>
    <mergeCell ref="BP42:BP43"/>
    <mergeCell ref="BQ42:BQ43"/>
    <mergeCell ref="BR42:BR44"/>
    <mergeCell ref="BS42:BS44"/>
    <mergeCell ref="BT42:BT43"/>
    <mergeCell ref="BV48:BV49"/>
    <mergeCell ref="BV50:BV51"/>
    <mergeCell ref="BU51:BU53"/>
    <mergeCell ref="BT52:BT53"/>
    <mergeCell ref="BV52:BV53"/>
    <mergeCell ref="BW52:BW53"/>
    <mergeCell ref="BQ48:BQ49"/>
    <mergeCell ref="BR48:BR50"/>
    <mergeCell ref="BS48:BS50"/>
    <mergeCell ref="BT48:BT49"/>
    <mergeCell ref="BU48:BU50"/>
    <mergeCell ref="BW48:BW49"/>
    <mergeCell ref="BT50:BT51"/>
    <mergeCell ref="BW50:BW51"/>
    <mergeCell ref="BP48:BP49"/>
    <mergeCell ref="BP50:BP51"/>
    <mergeCell ref="BQ50:BQ51"/>
    <mergeCell ref="BR51:BR53"/>
    <mergeCell ref="BS51:BS53"/>
    <mergeCell ref="BP52:BP53"/>
    <mergeCell ref="BQ52:BQ53"/>
    <mergeCell ref="BY63:BZ66"/>
    <mergeCell ref="CA63:CB66"/>
    <mergeCell ref="BW55:BW56"/>
    <mergeCell ref="BY55:BZ58"/>
    <mergeCell ref="CA55:CB58"/>
    <mergeCell ref="BW57:BW58"/>
    <mergeCell ref="BY59:BZ62"/>
    <mergeCell ref="CA59:CB62"/>
    <mergeCell ref="BW61:BW62"/>
    <mergeCell ref="BP24:BP25"/>
    <mergeCell ref="BQ24:BQ25"/>
    <mergeCell ref="BT24:BT25"/>
    <mergeCell ref="BP15:BP17"/>
    <mergeCell ref="BP18:BP19"/>
    <mergeCell ref="BP20:BP21"/>
    <mergeCell ref="BP22:BP23"/>
    <mergeCell ref="BQ22:BQ23"/>
    <mergeCell ref="BR22:BR24"/>
    <mergeCell ref="BS22:BS24"/>
    <mergeCell ref="BT33:BT34"/>
    <mergeCell ref="BT35:BT36"/>
    <mergeCell ref="BR32:BR34"/>
    <mergeCell ref="BS32:BS34"/>
    <mergeCell ref="BU32:BU34"/>
    <mergeCell ref="BP33:BP34"/>
    <mergeCell ref="BQ33:BQ34"/>
    <mergeCell ref="BR35:BR37"/>
    <mergeCell ref="BS35:BS37"/>
    <mergeCell ref="BU35:BU37"/>
    <mergeCell ref="BV9:BV10"/>
    <mergeCell ref="BV11:BV12"/>
    <mergeCell ref="BU12:BU14"/>
    <mergeCell ref="BV13:BV14"/>
    <mergeCell ref="BW13:BW14"/>
    <mergeCell ref="BR9:BR11"/>
    <mergeCell ref="BS9:BS11"/>
    <mergeCell ref="BT9:BT10"/>
    <mergeCell ref="BU9:BU11"/>
    <mergeCell ref="BW9:BW10"/>
    <mergeCell ref="BH11:BH12"/>
    <mergeCell ref="BT11:BT12"/>
    <mergeCell ref="BW11:BW12"/>
    <mergeCell ref="BP11:BP12"/>
    <mergeCell ref="BQ11:BQ12"/>
    <mergeCell ref="BR12:BR14"/>
    <mergeCell ref="BS12:BS14"/>
    <mergeCell ref="BP13:BP14"/>
    <mergeCell ref="BQ13:BQ14"/>
    <mergeCell ref="BT13:BT14"/>
    <mergeCell ref="BB16:BB17"/>
    <mergeCell ref="BC16:BC17"/>
    <mergeCell ref="BD16:BE17"/>
    <mergeCell ref="BF16:BG17"/>
    <mergeCell ref="BQ16:BQ17"/>
    <mergeCell ref="BD18:BD19"/>
    <mergeCell ref="BH18:BH19"/>
    <mergeCell ref="BQ18:BQ19"/>
    <mergeCell ref="BR19:BR21"/>
    <mergeCell ref="BS19:BS21"/>
    <mergeCell ref="BU19:BU21"/>
    <mergeCell ref="BQ20:BQ21"/>
    <mergeCell ref="BT20:BT21"/>
    <mergeCell ref="BV20:BV21"/>
    <mergeCell ref="BW20:BW21"/>
    <mergeCell ref="BE18:BE19"/>
    <mergeCell ref="BF18:BG19"/>
    <mergeCell ref="BB20:BH21"/>
    <mergeCell ref="BB22:BB24"/>
    <mergeCell ref="BC22:BC24"/>
    <mergeCell ref="BF22:BF24"/>
    <mergeCell ref="BG22:BG24"/>
    <mergeCell ref="BB29:BC30"/>
    <mergeCell ref="BH22:BH23"/>
    <mergeCell ref="BH25:BH27"/>
    <mergeCell ref="BP26:BP27"/>
    <mergeCell ref="BQ26:BQ27"/>
    <mergeCell ref="BT26:BT27"/>
    <mergeCell ref="BV26:BV27"/>
    <mergeCell ref="BW26:BW27"/>
    <mergeCell ref="BV37:BV38"/>
    <mergeCell ref="BV39:BV40"/>
    <mergeCell ref="BQ37:BQ38"/>
    <mergeCell ref="BT37:BT38"/>
    <mergeCell ref="BW37:BW38"/>
    <mergeCell ref="BR38:BR40"/>
    <mergeCell ref="BS38:BS40"/>
    <mergeCell ref="BU38:BU40"/>
    <mergeCell ref="BT39:BT40"/>
    <mergeCell ref="BW39:BW40"/>
    <mergeCell ref="AY42:AY44"/>
    <mergeCell ref="AZ42:AZ44"/>
    <mergeCell ref="AL33:AS34"/>
    <mergeCell ref="AL35:AS36"/>
    <mergeCell ref="AU35:AZ36"/>
    <mergeCell ref="AL37:AS38"/>
    <mergeCell ref="AP42:AQ43"/>
    <mergeCell ref="AR42:AR43"/>
    <mergeCell ref="AS42:AS43"/>
    <mergeCell ref="AP45:AP47"/>
    <mergeCell ref="AQ45:AQ47"/>
    <mergeCell ref="AR46:AS47"/>
    <mergeCell ref="AV46:AV47"/>
    <mergeCell ref="AX46:AX47"/>
    <mergeCell ref="AP48:AQ49"/>
    <mergeCell ref="AV48:AV49"/>
    <mergeCell ref="AN50:AO51"/>
    <mergeCell ref="BD50:BE51"/>
    <mergeCell ref="BB52:BC53"/>
    <mergeCell ref="BF52:BG53"/>
    <mergeCell ref="BB55:BH56"/>
    <mergeCell ref="BB57:BH58"/>
    <mergeCell ref="BB59:BH60"/>
    <mergeCell ref="BH61:BH62"/>
    <mergeCell ref="AY46:AY47"/>
    <mergeCell ref="AZ46:AZ47"/>
    <mergeCell ref="AY48:AZ49"/>
    <mergeCell ref="BB48:BH49"/>
    <mergeCell ref="BF50:BF51"/>
    <mergeCell ref="BG50:BG51"/>
    <mergeCell ref="BH50:BH51"/>
    <mergeCell ref="AW57:AX58"/>
    <mergeCell ref="AY57:AZ58"/>
    <mergeCell ref="AW59:AW60"/>
    <mergeCell ref="AX59:AX60"/>
    <mergeCell ref="AY59:AZ60"/>
    <mergeCell ref="AW61:AX62"/>
    <mergeCell ref="AW46:AW47"/>
    <mergeCell ref="AW48:AW50"/>
    <mergeCell ref="AX48:AX50"/>
    <mergeCell ref="AY50:AZ50"/>
    <mergeCell ref="AW51:AX53"/>
    <mergeCell ref="AW55:AX56"/>
    <mergeCell ref="AY55:AZ56"/>
    <mergeCell ref="AV58:AV60"/>
    <mergeCell ref="AU61:AV62"/>
    <mergeCell ref="AP62:AQ64"/>
    <mergeCell ref="AR62:AS64"/>
    <mergeCell ref="AU46:AU47"/>
    <mergeCell ref="AU48:AU49"/>
    <mergeCell ref="AU51:AV53"/>
    <mergeCell ref="AU55:AV56"/>
    <mergeCell ref="AQ57:AQ58"/>
    <mergeCell ref="AU58:AU60"/>
    <mergeCell ref="AS59:AS60"/>
    <mergeCell ref="BV29:BV30"/>
    <mergeCell ref="BV31:BV32"/>
    <mergeCell ref="BV33:BV34"/>
    <mergeCell ref="BW33:BW34"/>
    <mergeCell ref="BV35:BV36"/>
    <mergeCell ref="BW35:BW36"/>
    <mergeCell ref="BW42:BW43"/>
    <mergeCell ref="BQ29:BQ30"/>
    <mergeCell ref="BR29:BR31"/>
    <mergeCell ref="BS29:BS31"/>
    <mergeCell ref="BT29:BT30"/>
    <mergeCell ref="BU29:BU31"/>
    <mergeCell ref="BW29:BW30"/>
    <mergeCell ref="BT31:BT32"/>
    <mergeCell ref="BW31:BW32"/>
    <mergeCell ref="BP29:BP30"/>
    <mergeCell ref="AU31:AZ32"/>
    <mergeCell ref="BB31:BC32"/>
    <mergeCell ref="BP31:BP32"/>
    <mergeCell ref="BQ31:BQ32"/>
    <mergeCell ref="AU33:AZ34"/>
    <mergeCell ref="BF33:BG34"/>
    <mergeCell ref="BD38:BD40"/>
    <mergeCell ref="BE38:BE40"/>
    <mergeCell ref="BD45:BD47"/>
    <mergeCell ref="BE45:BE47"/>
    <mergeCell ref="BF45:BF47"/>
    <mergeCell ref="BG45:BG47"/>
    <mergeCell ref="BB33:BC34"/>
    <mergeCell ref="BD33:BE34"/>
    <mergeCell ref="BD35:BE36"/>
    <mergeCell ref="BH35:BH36"/>
    <mergeCell ref="BP35:BP36"/>
    <mergeCell ref="BQ35:BQ36"/>
    <mergeCell ref="BP37:BP38"/>
    <mergeCell ref="AR44:AS45"/>
    <mergeCell ref="AW44:AW45"/>
    <mergeCell ref="AX44:AX45"/>
    <mergeCell ref="BP44:BP45"/>
    <mergeCell ref="BT44:BT45"/>
    <mergeCell ref="BV44:BV45"/>
    <mergeCell ref="BW44:BW45"/>
    <mergeCell ref="BV46:BV47"/>
    <mergeCell ref="BW46:BW47"/>
    <mergeCell ref="BQ44:BQ45"/>
    <mergeCell ref="BR45:BR47"/>
    <mergeCell ref="BS45:BS47"/>
    <mergeCell ref="BU45:BU47"/>
    <mergeCell ref="BP46:BP47"/>
    <mergeCell ref="BQ46:BQ47"/>
    <mergeCell ref="BT46:BT47"/>
    <mergeCell ref="BT61:BT62"/>
    <mergeCell ref="BU61:BU63"/>
    <mergeCell ref="BP59:BP60"/>
    <mergeCell ref="BQ59:BQ60"/>
    <mergeCell ref="BW59:BW60"/>
    <mergeCell ref="BQ61:BQ62"/>
    <mergeCell ref="BR61:BR63"/>
    <mergeCell ref="BS61:BS63"/>
    <mergeCell ref="BV61:BV62"/>
    <mergeCell ref="AO59:AO60"/>
    <mergeCell ref="AO61:AO62"/>
    <mergeCell ref="AN77:AO77"/>
    <mergeCell ref="AP77:AQ77"/>
    <mergeCell ref="AU77:AV77"/>
    <mergeCell ref="AW77:AX77"/>
    <mergeCell ref="BB77:BC77"/>
    <mergeCell ref="AC59:AD60"/>
    <mergeCell ref="AC61:AC63"/>
    <mergeCell ref="AD61:AD63"/>
    <mergeCell ref="AI63:AI64"/>
    <mergeCell ref="AJ63:AJ64"/>
    <mergeCell ref="AE77:AF77"/>
    <mergeCell ref="AL77:AM77"/>
    <mergeCell ref="AE33:AE34"/>
    <mergeCell ref="AF33:AF34"/>
    <mergeCell ref="AI33:AJ34"/>
    <mergeCell ref="AA29:AA30"/>
    <mergeCell ref="AE29:AF30"/>
    <mergeCell ref="AC31:AD32"/>
    <mergeCell ref="AE31:AF32"/>
    <mergeCell ref="Z32:Z34"/>
    <mergeCell ref="AA32:AA34"/>
    <mergeCell ref="AC33:AD34"/>
    <mergeCell ref="Z42:Z43"/>
    <mergeCell ref="AA42:AA43"/>
    <mergeCell ref="AC42:AJ43"/>
    <mergeCell ref="AL42:AL44"/>
    <mergeCell ref="AM42:AM44"/>
    <mergeCell ref="Z44:AA45"/>
    <mergeCell ref="AC44:AJ45"/>
    <mergeCell ref="Z35:AA36"/>
    <mergeCell ref="AC35:AC36"/>
    <mergeCell ref="AD35:AD36"/>
    <mergeCell ref="AE35:AE37"/>
    <mergeCell ref="AF35:AF37"/>
    <mergeCell ref="AI35:AJ36"/>
    <mergeCell ref="AC37:AD38"/>
    <mergeCell ref="AG35:AH36"/>
    <mergeCell ref="AG39:AG40"/>
    <mergeCell ref="AH39:AH40"/>
    <mergeCell ref="AG46:AH47"/>
    <mergeCell ref="AE48:AE50"/>
    <mergeCell ref="AF48:AF50"/>
    <mergeCell ref="AE55:AF56"/>
    <mergeCell ref="AE57:AF58"/>
    <mergeCell ref="BD77:BE77"/>
    <mergeCell ref="BF77:BH77"/>
    <mergeCell ref="BJ77:BK77"/>
    <mergeCell ref="BB79:BC79"/>
    <mergeCell ref="BD79:BE79"/>
    <mergeCell ref="BF79:BH79"/>
    <mergeCell ref="BJ79:BK79"/>
    <mergeCell ref="AC79:AD79"/>
    <mergeCell ref="AE79:AF79"/>
    <mergeCell ref="AL79:AM79"/>
    <mergeCell ref="AN79:AO79"/>
    <mergeCell ref="AP79:AQ79"/>
    <mergeCell ref="AU79:AV79"/>
    <mergeCell ref="AW79:AX79"/>
    <mergeCell ref="C31:J32"/>
    <mergeCell ref="E35:E37"/>
    <mergeCell ref="F35:F37"/>
    <mergeCell ref="C29:J30"/>
    <mergeCell ref="C42:J43"/>
    <mergeCell ref="C44:J45"/>
    <mergeCell ref="C46:D47"/>
    <mergeCell ref="E46:F47"/>
    <mergeCell ref="G46:J47"/>
    <mergeCell ref="L46:R47"/>
    <mergeCell ref="P48:Q49"/>
    <mergeCell ref="T48:T50"/>
    <mergeCell ref="U48:U50"/>
    <mergeCell ref="V48:W49"/>
    <mergeCell ref="X51:X53"/>
    <mergeCell ref="Y51:Y53"/>
    <mergeCell ref="P38:P40"/>
    <mergeCell ref="Q38:Q40"/>
    <mergeCell ref="L42:R43"/>
    <mergeCell ref="L44:R45"/>
    <mergeCell ref="T44:U45"/>
    <mergeCell ref="T46:U47"/>
    <mergeCell ref="V46:W47"/>
    <mergeCell ref="C24:J25"/>
    <mergeCell ref="L24:M25"/>
    <mergeCell ref="A29:A40"/>
    <mergeCell ref="L29:M30"/>
    <mergeCell ref="L32:L34"/>
    <mergeCell ref="M32:M34"/>
    <mergeCell ref="A42:A53"/>
    <mergeCell ref="L58:L60"/>
    <mergeCell ref="M58:M60"/>
    <mergeCell ref="R58:R60"/>
    <mergeCell ref="I59:J60"/>
    <mergeCell ref="T59:AA60"/>
    <mergeCell ref="N61:N62"/>
    <mergeCell ref="O61:O62"/>
    <mergeCell ref="T61:U62"/>
    <mergeCell ref="G55:H56"/>
    <mergeCell ref="I55:I57"/>
    <mergeCell ref="J55:J57"/>
    <mergeCell ref="L55:L56"/>
    <mergeCell ref="M55:M56"/>
    <mergeCell ref="T55:AA56"/>
    <mergeCell ref="T57:AA58"/>
    <mergeCell ref="L82:M82"/>
    <mergeCell ref="L84:M84"/>
    <mergeCell ref="N103:N105"/>
    <mergeCell ref="T84:U84"/>
    <mergeCell ref="V84:W84"/>
    <mergeCell ref="N82:O82"/>
    <mergeCell ref="P82:Q82"/>
    <mergeCell ref="T82:U82"/>
    <mergeCell ref="V82:W82"/>
    <mergeCell ref="C84:D84"/>
    <mergeCell ref="E84:F84"/>
    <mergeCell ref="G84:H84"/>
    <mergeCell ref="E58:E60"/>
    <mergeCell ref="F58:F60"/>
    <mergeCell ref="G58:G60"/>
    <mergeCell ref="H58:H60"/>
    <mergeCell ref="I61:I63"/>
    <mergeCell ref="J61:J63"/>
    <mergeCell ref="C48:C49"/>
    <mergeCell ref="D48:D49"/>
    <mergeCell ref="A55:A66"/>
    <mergeCell ref="C55:C57"/>
    <mergeCell ref="D55:D57"/>
    <mergeCell ref="C58:C60"/>
    <mergeCell ref="D58:D60"/>
    <mergeCell ref="T77:U77"/>
    <mergeCell ref="V77:W77"/>
    <mergeCell ref="C61:D62"/>
    <mergeCell ref="C77:D77"/>
    <mergeCell ref="E77:F77"/>
    <mergeCell ref="G77:H77"/>
    <mergeCell ref="L77:M77"/>
    <mergeCell ref="N77:O77"/>
    <mergeCell ref="P77:Q77"/>
    <mergeCell ref="E78:F78"/>
    <mergeCell ref="G78:H78"/>
    <mergeCell ref="L78:M78"/>
    <mergeCell ref="N78:O78"/>
    <mergeCell ref="P78:Q78"/>
    <mergeCell ref="T78:U78"/>
    <mergeCell ref="V78:W78"/>
    <mergeCell ref="T79:U79"/>
    <mergeCell ref="V79:W79"/>
    <mergeCell ref="T81:U81"/>
    <mergeCell ref="V81:W81"/>
    <mergeCell ref="N84:O84"/>
    <mergeCell ref="P84:Q84"/>
    <mergeCell ref="V9:V10"/>
    <mergeCell ref="W9:W10"/>
    <mergeCell ref="T16:AA17"/>
    <mergeCell ref="T18:AA19"/>
    <mergeCell ref="T20:AA21"/>
    <mergeCell ref="P18:Q19"/>
    <mergeCell ref="R18:R19"/>
    <mergeCell ref="G19:G21"/>
    <mergeCell ref="H19:H21"/>
    <mergeCell ref="L19:L21"/>
    <mergeCell ref="M19:M21"/>
    <mergeCell ref="N19:N21"/>
    <mergeCell ref="O19:O21"/>
    <mergeCell ref="D20:D21"/>
    <mergeCell ref="E20:E21"/>
    <mergeCell ref="F20:F21"/>
    <mergeCell ref="J20:J21"/>
    <mergeCell ref="Q24:Q25"/>
    <mergeCell ref="R25:R27"/>
    <mergeCell ref="AI30:AI31"/>
    <mergeCell ref="AJ30:AJ31"/>
    <mergeCell ref="AG31:AH32"/>
    <mergeCell ref="T22:T23"/>
    <mergeCell ref="U22:U23"/>
    <mergeCell ref="T29:T30"/>
    <mergeCell ref="U29:U30"/>
    <mergeCell ref="X29:X31"/>
    <mergeCell ref="Y29:Y31"/>
    <mergeCell ref="Z29:Z30"/>
    <mergeCell ref="P9:Q10"/>
    <mergeCell ref="P16:Q17"/>
    <mergeCell ref="R20:R21"/>
    <mergeCell ref="C22:J23"/>
    <mergeCell ref="L22:R23"/>
    <mergeCell ref="N24:O25"/>
    <mergeCell ref="P24:P25"/>
    <mergeCell ref="E9:F10"/>
    <mergeCell ref="G9:G10"/>
    <mergeCell ref="L9:O10"/>
    <mergeCell ref="R9:R10"/>
    <mergeCell ref="T9:T11"/>
    <mergeCell ref="U9:U11"/>
    <mergeCell ref="A16:A27"/>
    <mergeCell ref="N31:O32"/>
    <mergeCell ref="P32:P34"/>
    <mergeCell ref="Q32:Q34"/>
    <mergeCell ref="N33:O34"/>
    <mergeCell ref="V33:V34"/>
    <mergeCell ref="W33:W34"/>
    <mergeCell ref="X33:Y34"/>
    <mergeCell ref="L26:M27"/>
    <mergeCell ref="N26:O27"/>
    <mergeCell ref="R31:R32"/>
    <mergeCell ref="T31:T32"/>
    <mergeCell ref="U31:U32"/>
    <mergeCell ref="V31:V32"/>
    <mergeCell ref="W31:W32"/>
    <mergeCell ref="X35:X36"/>
    <mergeCell ref="Y35:Y36"/>
    <mergeCell ref="L35:M36"/>
    <mergeCell ref="N35:N37"/>
    <mergeCell ref="O35:O37"/>
    <mergeCell ref="P35:P37"/>
    <mergeCell ref="Q35:Q37"/>
    <mergeCell ref="R35:R37"/>
    <mergeCell ref="V35:W36"/>
    <mergeCell ref="AH55:AH57"/>
    <mergeCell ref="AL55:AL56"/>
    <mergeCell ref="AN55:AN57"/>
    <mergeCell ref="AO55:AO57"/>
    <mergeCell ref="AI57:AJ58"/>
    <mergeCell ref="AL57:AL58"/>
    <mergeCell ref="AM57:AM58"/>
    <mergeCell ref="AG55:AG57"/>
    <mergeCell ref="AG59:AH60"/>
    <mergeCell ref="AI59:AJ60"/>
    <mergeCell ref="AL59:AL60"/>
    <mergeCell ref="AM59:AM60"/>
    <mergeCell ref="AN59:AN60"/>
    <mergeCell ref="AI61:AJ62"/>
    <mergeCell ref="BB78:BC78"/>
    <mergeCell ref="BD78:BE78"/>
    <mergeCell ref="BF78:BH78"/>
    <mergeCell ref="BJ78:BK78"/>
    <mergeCell ref="AC77:AD77"/>
    <mergeCell ref="AC78:AD78"/>
    <mergeCell ref="AE78:AF78"/>
    <mergeCell ref="AL78:AO78"/>
    <mergeCell ref="AP78:AQ78"/>
    <mergeCell ref="AU78:AV78"/>
    <mergeCell ref="AW78:AX78"/>
    <mergeCell ref="BB80:BC80"/>
    <mergeCell ref="BD80:BE80"/>
    <mergeCell ref="BF80:BH80"/>
    <mergeCell ref="BJ80:BK80"/>
    <mergeCell ref="BB81:BC81"/>
    <mergeCell ref="BD81:BE81"/>
    <mergeCell ref="BF81:BH81"/>
    <mergeCell ref="BJ81:BK81"/>
    <mergeCell ref="AC80:AD80"/>
    <mergeCell ref="AE80:AF80"/>
    <mergeCell ref="AL80:AM80"/>
    <mergeCell ref="AN80:AO80"/>
    <mergeCell ref="AP80:AQ80"/>
    <mergeCell ref="AU80:AV80"/>
    <mergeCell ref="AW80:AX80"/>
    <mergeCell ref="BB82:BC82"/>
    <mergeCell ref="BD82:BE82"/>
    <mergeCell ref="BF82:BH82"/>
    <mergeCell ref="BJ82:BK82"/>
    <mergeCell ref="AC82:AD82"/>
    <mergeCell ref="AE82:AF82"/>
    <mergeCell ref="AL82:AM82"/>
    <mergeCell ref="AN82:AO82"/>
    <mergeCell ref="AP82:AQ82"/>
    <mergeCell ref="AU82:AV82"/>
    <mergeCell ref="AW82:AX82"/>
    <mergeCell ref="C78:D78"/>
    <mergeCell ref="C79:D79"/>
    <mergeCell ref="E79:F79"/>
    <mergeCell ref="G79:H79"/>
    <mergeCell ref="L79:M79"/>
    <mergeCell ref="N79:O79"/>
    <mergeCell ref="P79:Q79"/>
    <mergeCell ref="E80:F80"/>
    <mergeCell ref="G80:H80"/>
    <mergeCell ref="L80:M80"/>
    <mergeCell ref="N80:O80"/>
    <mergeCell ref="P80:Q80"/>
    <mergeCell ref="T80:U80"/>
    <mergeCell ref="V80:W80"/>
    <mergeCell ref="C80:D80"/>
    <mergeCell ref="C81:D81"/>
    <mergeCell ref="E81:F81"/>
    <mergeCell ref="G81:H81"/>
    <mergeCell ref="C82:D82"/>
    <mergeCell ref="E82:F82"/>
    <mergeCell ref="G82:H82"/>
    <mergeCell ref="C83:D83"/>
    <mergeCell ref="E83:F83"/>
    <mergeCell ref="G83:H83"/>
    <mergeCell ref="L83:M83"/>
    <mergeCell ref="N83:O83"/>
    <mergeCell ref="P83:Q83"/>
    <mergeCell ref="T83:U83"/>
    <mergeCell ref="AW83:AX83"/>
    <mergeCell ref="BB83:BC83"/>
    <mergeCell ref="BD83:BE83"/>
    <mergeCell ref="BF83:BH83"/>
    <mergeCell ref="BJ83:BK83"/>
    <mergeCell ref="V83:W83"/>
    <mergeCell ref="AC83:AD83"/>
    <mergeCell ref="AE83:AF83"/>
    <mergeCell ref="AL83:AM83"/>
    <mergeCell ref="AN83:AO83"/>
    <mergeCell ref="AP83:AQ83"/>
    <mergeCell ref="AU83:AV83"/>
    <mergeCell ref="BB84:BC84"/>
    <mergeCell ref="BD84:BE84"/>
    <mergeCell ref="BF84:BH84"/>
    <mergeCell ref="BJ84:BK84"/>
    <mergeCell ref="AC84:AD84"/>
    <mergeCell ref="AE84:AF84"/>
    <mergeCell ref="AL84:AM84"/>
    <mergeCell ref="AN84:AO84"/>
    <mergeCell ref="AP84:AQ84"/>
    <mergeCell ref="AU84:AV84"/>
    <mergeCell ref="AW84:AX84"/>
  </mergeCells>
  <conditionalFormatting sqref="BM1:BO1092 BI93:BI94">
    <cfRule type="cellIs" dxfId="0" priority="1" operator="greaterThan">
      <formula>1</formula>
    </cfRule>
  </conditionalFormatting>
  <conditionalFormatting sqref="BR1:BX1092 BQ7 BL93:BQ94">
    <cfRule type="cellIs" dxfId="0" priority="2" operator="greaterThan">
      <formula>1</formula>
    </cfRule>
  </conditionalFormatting>
  <conditionalFormatting sqref="BQ1:BQ1092 BR3:BS3 BR6:BS6 BR9:BS9 BR12:BS12 BR16:BS16 BR19:BS19 BR22:BS22 BR25:BS25 BR29:BS29 BR32:BS32 BR35:BS35 BR38:BS38 BR42:BS42 BR45:BS45 BR48:BS48 BR51:BS51 BR55:BS55 BR58:BS58 BR61:BS61 BR64:BS64 BK93:BK94">
    <cfRule type="cellIs" dxfId="0" priority="3" operator="greaterThan">
      <formula>2</formula>
    </cfRule>
  </conditionalFormatting>
  <conditionalFormatting sqref="C68:C70 D68:H71 I68:J69 K68:K71 L68:L70 M68:S71 T68:T70 U68:AB71 AC68:AC70 AD68:AK71 AL68:AL70 AM68:AT71 AU68:AU70 AV68:AW71 AX68:AY69 AZ68:BA71 BB68:BB70 C75 L75 T75 AC75 AL75 AU75 BB75">
    <cfRule type="cellIs" dxfId="5" priority="4" operator="equal">
      <formula>2</formula>
    </cfRule>
  </conditionalFormatting>
  <conditionalFormatting sqref="C68:C70 L68:L70 T68:T70 AC68:AC70 AL68:AL70 AU68:AU70 BB68:BB70 C75 L75 T75 AC75 AL75 AU75 BB75">
    <cfRule type="cellIs" dxfId="2" priority="5" operator="notEqual">
      <formula>2</formula>
    </cfRule>
  </conditionalFormatting>
  <conditionalFormatting sqref="C77:BK84">
    <cfRule type="containsBlanks" dxfId="6" priority="6">
      <formula>LEN(TRIM(C77))=0</formula>
    </cfRule>
  </conditionalFormatting>
  <conditionalFormatting sqref="C77:BK84">
    <cfRule type="cellIs" dxfId="1" priority="7" operator="equal">
      <formula>1</formula>
    </cfRule>
  </conditionalFormatting>
  <conditionalFormatting sqref="C77:BK84">
    <cfRule type="cellIs" dxfId="2" priority="8" operator="notEqual">
      <formula>1</formula>
    </cfRule>
  </conditionalFormatting>
  <conditionalFormatting sqref="C71:C75 L71:L75 T71:T75 AC71:AC75 AL71:AL75 AU71:AU75 BB71:BB75">
    <cfRule type="cellIs" dxfId="7" priority="9" operator="equal">
      <formula>1</formula>
    </cfRule>
  </conditionalFormatting>
  <conditionalFormatting sqref="C71:C75 L71:L75 T71:T75 AC71:AC75 AL71:AL75 AU71:AU75 BB71:BB75">
    <cfRule type="cellIs" dxfId="2" priority="10" operator="notEqual">
      <formula>1</formula>
    </cfRule>
  </conditionalFormatting>
  <conditionalFormatting sqref="BR3:BS66 BT3:BU14 BT16:BU27 BT29:BU40 BT42:BU53 BT55:BU66">
    <cfRule type="cellIs" dxfId="1" priority="11" operator="equal">
      <formula>1</formula>
    </cfRule>
  </conditionalFormatting>
  <conditionalFormatting sqref="BP1:BP1092 BJ93:BJ94">
    <cfRule type="cellIs" dxfId="2" priority="12" operator="greaterThan">
      <formula>2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5.13" defaultRowHeight="15.75"/>
  <cols>
    <col customWidth="1" min="1" max="1" width="7.38"/>
    <col customWidth="1" min="2" max="2" width="7.0"/>
    <col customWidth="1" min="3" max="3" width="17.5"/>
    <col customWidth="1" min="4" max="4" width="16.63"/>
    <col customWidth="1" min="5" max="5" width="12.88"/>
    <col customWidth="1" min="6" max="6" width="12.75"/>
    <col customWidth="1" min="7" max="7" width="12.0"/>
    <col customWidth="1" min="8" max="8" width="11.63"/>
    <col customWidth="1" min="9" max="9" width="13.5"/>
    <col customWidth="1" min="10" max="10" width="14.88"/>
    <col customWidth="1" min="11" max="11" width="4.63"/>
    <col customWidth="1" min="12" max="12" width="6.13"/>
    <col customWidth="1" min="13" max="16" width="10.75"/>
    <col customWidth="1" min="17" max="17" width="12.0"/>
    <col customWidth="1" min="18" max="18" width="12.25"/>
    <col customWidth="1" min="19" max="19" width="13.38"/>
    <col customWidth="1" min="20" max="20" width="13.13"/>
    <col customWidth="1" min="21" max="22" width="10.75"/>
    <col customWidth="1" hidden="1" min="23" max="23" width="5.75"/>
    <col customWidth="1" min="24" max="24" width="4.63"/>
    <col customWidth="1" min="25" max="25" width="6.38"/>
    <col customWidth="1" min="26" max="26" width="9.38"/>
    <col customWidth="1" min="27" max="27" width="9.5"/>
    <col customWidth="1" min="28" max="28" width="9.63"/>
    <col customWidth="1" min="29" max="29" width="9.88"/>
    <col customWidth="1" min="30" max="30" width="10.5"/>
    <col customWidth="1" min="31" max="31" width="10.38"/>
    <col customWidth="1" min="32" max="32" width="9.75"/>
    <col customWidth="1" min="33" max="33" width="10.13"/>
    <col customWidth="1" min="34" max="34" width="4.63"/>
    <col customWidth="1" min="35" max="35" width="6.38"/>
    <col customWidth="1" min="36" max="36" width="7.88"/>
    <col customWidth="1" min="37" max="37" width="6.25"/>
    <col customWidth="1" min="38" max="39" width="11.25"/>
    <col customWidth="1" min="40" max="40" width="9.0"/>
    <col customWidth="1" min="41" max="41" width="9.88"/>
    <col customWidth="1" min="42" max="42" width="13.75"/>
    <col customWidth="1" min="43" max="43" width="17.38"/>
    <col customWidth="1" min="44" max="44" width="4.63"/>
    <col customWidth="1" min="45" max="45" width="10.63"/>
    <col customWidth="1" min="46" max="46" width="11.75"/>
    <col customWidth="1" min="47" max="47" width="13.25"/>
    <col customWidth="1" min="48" max="48" width="10.88"/>
    <col customWidth="1" min="49" max="49" width="12.5"/>
    <col customWidth="1" min="50" max="50" width="13.0"/>
    <col customWidth="1" min="51" max="52" width="11.25"/>
    <col customWidth="1" min="53" max="53" width="11.5"/>
    <col customWidth="1" min="54" max="54" width="4.63"/>
    <col customWidth="1" min="55" max="55" width="8.88"/>
    <col customWidth="1" min="56" max="56" width="17.38"/>
    <col customWidth="1" min="57" max="57" width="14.5"/>
    <col customWidth="1" min="58" max="58" width="25.75"/>
    <col customWidth="1" min="59" max="59" width="8.88"/>
    <col customWidth="1" min="60" max="60" width="16.38"/>
    <col customWidth="1" min="61" max="61" width="13.88"/>
    <col customWidth="1" min="62" max="62" width="15.75"/>
    <col customWidth="1" min="63" max="63" width="15.5"/>
    <col customWidth="1" hidden="1" min="64" max="64" width="8.13"/>
    <col customWidth="1" min="65" max="65" width="4.63"/>
    <col customWidth="1" hidden="1" min="66" max="74" width="4.63"/>
    <col customWidth="1" min="75" max="80" width="4.63"/>
  </cols>
  <sheetData>
    <row r="1">
      <c r="A1" s="8" t="s">
        <v>10</v>
      </c>
      <c r="B1" s="9"/>
      <c r="C1" s="12" t="s">
        <v>14</v>
      </c>
      <c r="D1" s="4"/>
      <c r="E1" s="4"/>
      <c r="F1" s="4"/>
      <c r="G1" s="4"/>
      <c r="H1" s="4"/>
      <c r="I1" s="4"/>
      <c r="J1" s="5"/>
      <c r="K1" s="14"/>
      <c r="L1" s="9"/>
      <c r="M1" s="12" t="s">
        <v>19</v>
      </c>
      <c r="N1" s="4"/>
      <c r="O1" s="4"/>
      <c r="P1" s="4"/>
      <c r="Q1" s="4"/>
      <c r="R1" s="4"/>
      <c r="S1" s="4"/>
      <c r="T1" s="4"/>
      <c r="U1" s="4"/>
      <c r="V1" s="4"/>
      <c r="W1" s="5"/>
      <c r="X1" s="14"/>
      <c r="Y1" s="9"/>
      <c r="Z1" s="12" t="s">
        <v>25</v>
      </c>
      <c r="AA1" s="4"/>
      <c r="AB1" s="4"/>
      <c r="AC1" s="4"/>
      <c r="AD1" s="4"/>
      <c r="AE1" s="4"/>
      <c r="AF1" s="4"/>
      <c r="AG1" s="5"/>
      <c r="AH1" s="21"/>
      <c r="AI1" s="9"/>
      <c r="AJ1" s="12" t="s">
        <v>48</v>
      </c>
      <c r="AK1" s="4"/>
      <c r="AL1" s="4"/>
      <c r="AM1" s="4"/>
      <c r="AN1" s="4"/>
      <c r="AO1" s="4"/>
      <c r="AP1" s="4"/>
      <c r="AQ1" s="5"/>
      <c r="AR1" s="21"/>
      <c r="AS1" s="9"/>
      <c r="AT1" s="12" t="s">
        <v>63</v>
      </c>
      <c r="AU1" s="4"/>
      <c r="AV1" s="4"/>
      <c r="AW1" s="4"/>
      <c r="AX1" s="4"/>
      <c r="AY1" s="4"/>
      <c r="AZ1" s="4"/>
      <c r="BA1" s="5"/>
      <c r="BB1" s="21"/>
      <c r="BC1" s="9"/>
      <c r="BD1" s="12" t="s">
        <v>99</v>
      </c>
      <c r="BE1" s="4"/>
      <c r="BF1" s="5"/>
      <c r="BG1" s="21"/>
      <c r="BH1" s="12" t="s">
        <v>113</v>
      </c>
      <c r="BI1" s="4"/>
      <c r="BJ1" s="4"/>
      <c r="BK1" s="4"/>
      <c r="BL1" s="5"/>
      <c r="BM1" s="14"/>
      <c r="BN1" s="9"/>
      <c r="BO1" s="23" t="s">
        <v>16</v>
      </c>
      <c r="BP1" s="23" t="s">
        <v>16</v>
      </c>
      <c r="BQ1" s="23" t="s">
        <v>16</v>
      </c>
      <c r="BR1" s="23" t="s">
        <v>18</v>
      </c>
      <c r="BS1" s="23" t="s">
        <v>18</v>
      </c>
      <c r="BT1" s="9"/>
      <c r="BU1" s="9"/>
      <c r="BV1" s="23"/>
      <c r="BW1" s="28"/>
      <c r="BX1" s="28"/>
      <c r="BY1" s="28"/>
      <c r="BZ1" s="28"/>
      <c r="CA1" s="28"/>
      <c r="CB1" s="28"/>
    </row>
    <row r="2">
      <c r="A2" s="31"/>
      <c r="B2" s="33"/>
      <c r="C2" s="35" t="s">
        <v>154</v>
      </c>
      <c r="D2" s="35" t="s">
        <v>158</v>
      </c>
      <c r="E2" s="39" t="s">
        <v>159</v>
      </c>
      <c r="F2" s="39" t="s">
        <v>161</v>
      </c>
      <c r="G2" s="39" t="s">
        <v>163</v>
      </c>
      <c r="H2" s="39" t="s">
        <v>168</v>
      </c>
      <c r="I2" s="35" t="s">
        <v>170</v>
      </c>
      <c r="J2" s="45" t="s">
        <v>173</v>
      </c>
      <c r="K2" s="51" t="s">
        <v>38</v>
      </c>
      <c r="L2" s="33"/>
      <c r="M2" s="35" t="s">
        <v>196</v>
      </c>
      <c r="N2" s="35" t="s">
        <v>199</v>
      </c>
      <c r="O2" s="39" t="s">
        <v>203</v>
      </c>
      <c r="P2" s="39" t="s">
        <v>206</v>
      </c>
      <c r="Q2" s="39" t="s">
        <v>210</v>
      </c>
      <c r="R2" s="39" t="s">
        <v>212</v>
      </c>
      <c r="S2" s="35" t="s">
        <v>216</v>
      </c>
      <c r="T2" s="45" t="s">
        <v>218</v>
      </c>
      <c r="U2" s="69" t="s">
        <v>220</v>
      </c>
      <c r="V2" s="69" t="s">
        <v>225</v>
      </c>
      <c r="W2" s="71" t="s">
        <v>225</v>
      </c>
      <c r="X2" s="51" t="s">
        <v>38</v>
      </c>
      <c r="Y2" s="33"/>
      <c r="Z2" s="35" t="s">
        <v>228</v>
      </c>
      <c r="AA2" s="35" t="s">
        <v>229</v>
      </c>
      <c r="AB2" s="39" t="s">
        <v>231</v>
      </c>
      <c r="AC2" s="39" t="s">
        <v>234</v>
      </c>
      <c r="AD2" s="39" t="s">
        <v>235</v>
      </c>
      <c r="AE2" s="39" t="s">
        <v>237</v>
      </c>
      <c r="AF2" s="39" t="s">
        <v>238</v>
      </c>
      <c r="AG2" s="77" t="s">
        <v>240</v>
      </c>
      <c r="AH2" s="79" t="s">
        <v>38</v>
      </c>
      <c r="AI2" s="33"/>
      <c r="AJ2" s="35" t="s">
        <v>242</v>
      </c>
      <c r="AK2" s="35" t="s">
        <v>243</v>
      </c>
      <c r="AL2" s="39" t="s">
        <v>244</v>
      </c>
      <c r="AM2" s="39" t="s">
        <v>247</v>
      </c>
      <c r="AN2" s="39" t="s">
        <v>249</v>
      </c>
      <c r="AO2" s="39" t="s">
        <v>250</v>
      </c>
      <c r="AP2" s="35" t="s">
        <v>251</v>
      </c>
      <c r="AQ2" s="45" t="s">
        <v>252</v>
      </c>
      <c r="AR2" s="79" t="s">
        <v>38</v>
      </c>
      <c r="AS2" s="33"/>
      <c r="AT2" s="35" t="s">
        <v>254</v>
      </c>
      <c r="AU2" s="35" t="s">
        <v>256</v>
      </c>
      <c r="AV2" s="39" t="s">
        <v>258</v>
      </c>
      <c r="AW2" s="39" t="s">
        <v>259</v>
      </c>
      <c r="AX2" s="39" t="s">
        <v>261</v>
      </c>
      <c r="AY2" s="39" t="s">
        <v>263</v>
      </c>
      <c r="AZ2" s="77" t="s">
        <v>265</v>
      </c>
      <c r="BA2" s="77" t="s">
        <v>267</v>
      </c>
      <c r="BB2" s="79" t="s">
        <v>38</v>
      </c>
      <c r="BC2" s="33"/>
      <c r="BD2" s="77" t="s">
        <v>269</v>
      </c>
      <c r="BE2" s="39" t="s">
        <v>270</v>
      </c>
      <c r="BF2" s="90" t="s">
        <v>273</v>
      </c>
      <c r="BG2" s="95"/>
      <c r="BH2" s="77" t="s">
        <v>277</v>
      </c>
      <c r="BI2" s="77" t="s">
        <v>278</v>
      </c>
      <c r="BJ2" s="69" t="s">
        <v>279</v>
      </c>
      <c r="BK2" s="69" t="s">
        <v>280</v>
      </c>
      <c r="BL2" s="71" t="s">
        <v>279</v>
      </c>
      <c r="BM2" s="51" t="s">
        <v>38</v>
      </c>
      <c r="BN2" s="33"/>
      <c r="BO2" s="39" t="s">
        <v>281</v>
      </c>
      <c r="BP2" s="39" t="s">
        <v>282</v>
      </c>
      <c r="BQ2" s="77" t="s">
        <v>283</v>
      </c>
      <c r="BR2" s="77" t="s">
        <v>284</v>
      </c>
      <c r="BS2" s="90" t="s">
        <v>285</v>
      </c>
      <c r="BT2" s="39"/>
      <c r="BU2" s="33"/>
      <c r="BV2" s="39"/>
      <c r="BW2" s="28"/>
      <c r="BX2" s="28"/>
      <c r="BY2" s="28"/>
      <c r="BZ2" s="28"/>
      <c r="CA2" s="28"/>
      <c r="CB2" s="28"/>
    </row>
    <row r="3" ht="15.75" customHeight="1">
      <c r="A3" s="107" t="s">
        <v>148</v>
      </c>
      <c r="B3" s="109">
        <v>42591.0</v>
      </c>
      <c r="G3" s="111"/>
      <c r="H3" s="111"/>
      <c r="I3" s="111"/>
      <c r="J3" s="111"/>
      <c r="K3" s="113"/>
      <c r="L3" s="109">
        <v>42591.0</v>
      </c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21"/>
      <c r="X3" s="113"/>
      <c r="Y3" s="109">
        <v>42591.0</v>
      </c>
      <c r="Z3" s="115"/>
      <c r="AA3" s="115"/>
      <c r="AB3" s="115"/>
      <c r="AC3" s="115"/>
      <c r="AD3" s="115"/>
      <c r="AE3" s="115"/>
      <c r="AF3" s="115"/>
      <c r="AG3" s="121"/>
      <c r="AH3" s="124"/>
      <c r="AI3" s="109">
        <v>42591.0</v>
      </c>
      <c r="AJ3" s="28"/>
      <c r="AK3" s="28"/>
      <c r="AL3" s="28"/>
      <c r="AM3" s="28"/>
      <c r="AN3" s="28"/>
      <c r="AO3" s="28"/>
      <c r="AP3" s="28"/>
      <c r="AQ3" s="28"/>
      <c r="AR3" s="124"/>
      <c r="AS3" s="109">
        <v>42591.0</v>
      </c>
      <c r="AT3" s="28"/>
      <c r="AU3" s="28"/>
      <c r="AV3" s="28"/>
      <c r="AW3" s="28"/>
      <c r="AX3" s="28"/>
      <c r="AY3" s="28"/>
      <c r="AZ3" s="28"/>
      <c r="BA3" s="28"/>
      <c r="BB3" s="124"/>
      <c r="BC3" s="109">
        <v>42591.0</v>
      </c>
      <c r="BD3" s="28"/>
      <c r="BE3" s="28"/>
      <c r="BF3" s="28"/>
      <c r="BG3" s="131"/>
      <c r="BH3" s="28"/>
      <c r="BI3" s="28"/>
      <c r="BJ3" s="28"/>
      <c r="BK3" s="132"/>
      <c r="BL3" s="121"/>
      <c r="BM3" s="134"/>
      <c r="BN3" s="136">
        <v>42591.0</v>
      </c>
      <c r="BO3" s="121"/>
      <c r="BP3" s="121"/>
      <c r="BQ3" s="121"/>
      <c r="BR3" s="115"/>
      <c r="BS3" s="115"/>
      <c r="BT3" s="115"/>
      <c r="BU3" s="115"/>
      <c r="BV3" s="115"/>
      <c r="BW3" s="28"/>
      <c r="BX3" s="28"/>
      <c r="BY3" s="28"/>
      <c r="BZ3" s="28"/>
      <c r="CA3" s="28"/>
      <c r="CB3" s="28"/>
    </row>
    <row r="4" ht="15.75" customHeight="1">
      <c r="A4" s="96"/>
      <c r="B4" s="109">
        <v>42623.0</v>
      </c>
      <c r="C4" s="122" t="s">
        <v>301</v>
      </c>
      <c r="D4" s="61"/>
      <c r="E4" s="61"/>
      <c r="F4" s="61"/>
      <c r="G4" s="61"/>
      <c r="H4" s="61"/>
      <c r="I4" s="61"/>
      <c r="J4" s="46"/>
      <c r="K4" s="140" t="s">
        <v>282</v>
      </c>
      <c r="L4" s="109">
        <v>42623.0</v>
      </c>
      <c r="M4" s="141" t="s">
        <v>302</v>
      </c>
      <c r="W4" s="106"/>
      <c r="X4" s="144" t="s">
        <v>141</v>
      </c>
      <c r="Y4" s="109">
        <v>42623.0</v>
      </c>
      <c r="Z4" s="145" t="s">
        <v>303</v>
      </c>
      <c r="AG4" s="106"/>
      <c r="AH4" s="147" t="s">
        <v>283</v>
      </c>
      <c r="AI4" s="109">
        <v>42623.0</v>
      </c>
      <c r="AJ4" s="28"/>
      <c r="AK4" s="28"/>
      <c r="AL4" s="149" t="s">
        <v>306</v>
      </c>
      <c r="AM4" s="149" t="s">
        <v>307</v>
      </c>
      <c r="AN4" s="150" t="s">
        <v>308</v>
      </c>
      <c r="AO4" s="150" t="s">
        <v>309</v>
      </c>
      <c r="AP4" s="28"/>
      <c r="AQ4" s="28"/>
      <c r="AR4" s="124"/>
      <c r="AS4" s="109">
        <v>42623.0</v>
      </c>
      <c r="AT4" s="111"/>
      <c r="AU4" s="111"/>
      <c r="AV4" s="111"/>
      <c r="AW4" s="28"/>
      <c r="AX4" s="28"/>
      <c r="AY4" s="28"/>
      <c r="AZ4" s="28"/>
      <c r="BA4" s="28"/>
      <c r="BB4" s="124"/>
      <c r="BC4" s="109">
        <v>42623.0</v>
      </c>
      <c r="BD4" s="155" t="s">
        <v>315</v>
      </c>
      <c r="BE4" s="61"/>
      <c r="BF4" s="61"/>
      <c r="BG4" s="61"/>
      <c r="BH4" s="61"/>
      <c r="BI4" s="61"/>
      <c r="BJ4" s="61"/>
      <c r="BK4" s="61"/>
      <c r="BL4" s="46"/>
      <c r="BM4" s="156" t="s">
        <v>281</v>
      </c>
      <c r="BN4" s="136">
        <v>42623.0</v>
      </c>
      <c r="BO4" s="163">
        <f t="shared" ref="BO4:BQ4" si="1">countif($C4:$BM5,"*" &amp; BO$2 &amp; "*")</f>
        <v>1</v>
      </c>
      <c r="BP4" s="163">
        <f t="shared" si="1"/>
        <v>1</v>
      </c>
      <c r="BQ4" s="163">
        <f t="shared" si="1"/>
        <v>1</v>
      </c>
      <c r="BR4" s="163">
        <f>countif($C4:$BL5,"*" &amp; BR$2 &amp; "*")</f>
        <v>0</v>
      </c>
      <c r="BS4" s="163">
        <f>countif($C4:$BM5,"*" &amp; BS$2 &amp; "*")</f>
        <v>12</v>
      </c>
      <c r="BT4" s="132"/>
      <c r="BU4" s="132"/>
      <c r="BV4" s="132"/>
      <c r="BW4" s="28"/>
      <c r="BX4" s="28"/>
      <c r="BY4" s="28"/>
      <c r="BZ4" s="28"/>
      <c r="CA4" s="28"/>
      <c r="CB4" s="28"/>
    </row>
    <row r="5" ht="15.75" customHeight="1">
      <c r="A5" s="96"/>
      <c r="B5" s="168">
        <v>42654.0</v>
      </c>
      <c r="C5" s="85"/>
      <c r="D5" s="87"/>
      <c r="E5" s="87"/>
      <c r="F5" s="87"/>
      <c r="G5" s="87"/>
      <c r="H5" s="87"/>
      <c r="I5" s="87"/>
      <c r="J5" s="86"/>
      <c r="K5" s="112"/>
      <c r="L5" s="168">
        <v>42654.0</v>
      </c>
      <c r="M5" s="87"/>
      <c r="N5" s="87"/>
      <c r="O5" s="87"/>
      <c r="P5" s="87"/>
      <c r="Q5" s="87"/>
      <c r="R5" s="87"/>
      <c r="S5" s="87"/>
      <c r="T5" s="87"/>
      <c r="U5" s="87"/>
      <c r="V5" s="87"/>
      <c r="W5" s="86"/>
      <c r="X5" s="112"/>
      <c r="Y5" s="168">
        <v>42654.0</v>
      </c>
      <c r="Z5" s="87"/>
      <c r="AA5" s="87"/>
      <c r="AB5" s="87"/>
      <c r="AC5" s="87"/>
      <c r="AD5" s="87"/>
      <c r="AE5" s="87"/>
      <c r="AF5" s="87"/>
      <c r="AG5" s="86"/>
      <c r="AH5" s="112"/>
      <c r="AI5" s="168">
        <v>42654.0</v>
      </c>
      <c r="AJ5" s="28"/>
      <c r="AK5" s="28"/>
      <c r="AL5" s="112"/>
      <c r="AM5" s="112"/>
      <c r="AN5" s="112"/>
      <c r="AO5" s="112"/>
      <c r="AP5" s="28"/>
      <c r="AQ5" s="28"/>
      <c r="AR5" s="170"/>
      <c r="AS5" s="168">
        <v>42654.0</v>
      </c>
      <c r="AT5" s="28"/>
      <c r="AU5" s="28"/>
      <c r="AV5" s="28"/>
      <c r="AW5" s="28"/>
      <c r="AX5" s="28"/>
      <c r="AY5" s="28"/>
      <c r="AZ5" s="28"/>
      <c r="BA5" s="28"/>
      <c r="BB5" s="170"/>
      <c r="BC5" s="168">
        <v>42654.0</v>
      </c>
      <c r="BD5" s="87"/>
      <c r="BE5" s="87"/>
      <c r="BF5" s="87"/>
      <c r="BG5" s="87"/>
      <c r="BH5" s="87"/>
      <c r="BI5" s="87"/>
      <c r="BJ5" s="87"/>
      <c r="BK5" s="87"/>
      <c r="BL5" s="86"/>
      <c r="BM5" s="112"/>
      <c r="BN5" s="172">
        <v>42654.0</v>
      </c>
      <c r="BO5" s="86"/>
      <c r="BP5" s="86"/>
      <c r="BQ5" s="86"/>
      <c r="BR5" s="86"/>
      <c r="BS5" s="86"/>
      <c r="BT5" s="86"/>
      <c r="BU5" s="86"/>
      <c r="BV5" s="86"/>
      <c r="BW5" s="28"/>
      <c r="BX5" s="28"/>
      <c r="BY5" s="28"/>
      <c r="BZ5" s="28"/>
      <c r="CA5" s="28"/>
      <c r="CB5" s="28"/>
    </row>
    <row r="6" ht="33.75" customHeight="1">
      <c r="A6" s="96"/>
      <c r="B6" s="168">
        <v>42686.0</v>
      </c>
      <c r="C6" s="175" t="s">
        <v>344</v>
      </c>
      <c r="D6" s="61"/>
      <c r="E6" s="61"/>
      <c r="F6" s="61"/>
      <c r="G6" s="61"/>
      <c r="H6" s="61"/>
      <c r="I6" s="61"/>
      <c r="J6" s="46"/>
      <c r="K6" s="177"/>
      <c r="L6" s="168">
        <v>42686.0</v>
      </c>
      <c r="M6" s="179" t="s">
        <v>351</v>
      </c>
      <c r="W6" s="106"/>
      <c r="X6" s="177"/>
      <c r="Y6" s="168">
        <v>42686.0</v>
      </c>
      <c r="Z6" s="179" t="s">
        <v>354</v>
      </c>
      <c r="AG6" s="106"/>
      <c r="AH6" s="170"/>
      <c r="AI6" s="168">
        <v>42686.0</v>
      </c>
      <c r="AJ6" s="175" t="s">
        <v>354</v>
      </c>
      <c r="AK6" s="61"/>
      <c r="AL6" s="61"/>
      <c r="AM6" s="61"/>
      <c r="AN6" s="61"/>
      <c r="AO6" s="61"/>
      <c r="AP6" s="61"/>
      <c r="AQ6" s="46"/>
      <c r="AR6" s="170"/>
      <c r="AS6" s="168">
        <v>42686.0</v>
      </c>
      <c r="AT6" s="182" t="s">
        <v>358</v>
      </c>
      <c r="AU6" s="61"/>
      <c r="AV6" s="61"/>
      <c r="AW6" s="61"/>
      <c r="AX6" s="61"/>
      <c r="AY6" s="61"/>
      <c r="AZ6" s="61"/>
      <c r="BA6" s="46"/>
      <c r="BB6" s="170"/>
      <c r="BC6" s="168">
        <v>42686.0</v>
      </c>
      <c r="BD6" s="182" t="s">
        <v>359</v>
      </c>
      <c r="BE6" s="61"/>
      <c r="BF6" s="61"/>
      <c r="BG6" s="185"/>
      <c r="BH6" s="182" t="s">
        <v>362</v>
      </c>
      <c r="BI6" s="61"/>
      <c r="BJ6" s="61"/>
      <c r="BK6" s="61"/>
      <c r="BL6" s="186"/>
      <c r="BM6" s="188"/>
      <c r="BN6" s="172">
        <v>42686.0</v>
      </c>
      <c r="BO6" s="190">
        <f t="shared" ref="BO6:BS6" si="2">countif($C6:$BM7,"*" &amp; BO$2 &amp; "*")</f>
        <v>4</v>
      </c>
      <c r="BP6" s="190">
        <f t="shared" si="2"/>
        <v>4</v>
      </c>
      <c r="BQ6" s="190">
        <f t="shared" si="2"/>
        <v>7</v>
      </c>
      <c r="BR6" s="163">
        <f t="shared" si="2"/>
        <v>0</v>
      </c>
      <c r="BS6" s="163">
        <f t="shared" si="2"/>
        <v>7</v>
      </c>
      <c r="BT6" s="132"/>
      <c r="BU6" s="132"/>
      <c r="BV6" s="132"/>
      <c r="BW6" s="28"/>
      <c r="BX6" s="28"/>
      <c r="BY6" s="28"/>
      <c r="BZ6" s="28"/>
      <c r="CA6" s="28"/>
      <c r="CB6" s="28"/>
    </row>
    <row r="7" ht="31.5" customHeight="1">
      <c r="A7" s="96"/>
      <c r="B7" s="168">
        <v>42717.0</v>
      </c>
      <c r="C7" s="85"/>
      <c r="D7" s="87"/>
      <c r="E7" s="87"/>
      <c r="F7" s="87"/>
      <c r="G7" s="87"/>
      <c r="H7" s="87"/>
      <c r="I7" s="87"/>
      <c r="J7" s="86"/>
      <c r="K7" s="177"/>
      <c r="L7" s="168">
        <v>42717.0</v>
      </c>
      <c r="M7" s="87"/>
      <c r="N7" s="87"/>
      <c r="O7" s="87"/>
      <c r="P7" s="87"/>
      <c r="Q7" s="87"/>
      <c r="R7" s="87"/>
      <c r="S7" s="87"/>
      <c r="T7" s="87"/>
      <c r="U7" s="87"/>
      <c r="V7" s="87"/>
      <c r="W7" s="86"/>
      <c r="X7" s="177"/>
      <c r="Y7" s="168">
        <v>42717.0</v>
      </c>
      <c r="Z7" s="87"/>
      <c r="AA7" s="87"/>
      <c r="AB7" s="87"/>
      <c r="AC7" s="87"/>
      <c r="AD7" s="87"/>
      <c r="AE7" s="87"/>
      <c r="AF7" s="87"/>
      <c r="AG7" s="86"/>
      <c r="AH7" s="170"/>
      <c r="AI7" s="168">
        <v>42717.0</v>
      </c>
      <c r="AJ7" s="85"/>
      <c r="AK7" s="87"/>
      <c r="AL7" s="87"/>
      <c r="AM7" s="87"/>
      <c r="AN7" s="87"/>
      <c r="AO7" s="87"/>
      <c r="AP7" s="87"/>
      <c r="AQ7" s="86"/>
      <c r="AR7" s="170"/>
      <c r="AS7" s="168">
        <v>42717.0</v>
      </c>
      <c r="AT7" s="87"/>
      <c r="AU7" s="87"/>
      <c r="AV7" s="87"/>
      <c r="AW7" s="87"/>
      <c r="AX7" s="87"/>
      <c r="AY7" s="87"/>
      <c r="AZ7" s="87"/>
      <c r="BA7" s="86"/>
      <c r="BB7" s="170"/>
      <c r="BC7" s="168">
        <v>42717.0</v>
      </c>
      <c r="BD7" s="87"/>
      <c r="BE7" s="87"/>
      <c r="BF7" s="87"/>
      <c r="BG7" s="95"/>
      <c r="BH7" s="87"/>
      <c r="BI7" s="87"/>
      <c r="BJ7" s="87"/>
      <c r="BK7" s="87"/>
      <c r="BL7" s="194"/>
      <c r="BM7" s="188"/>
      <c r="BN7" s="172">
        <v>42717.0</v>
      </c>
      <c r="BO7" s="86"/>
      <c r="BP7" s="86"/>
      <c r="BQ7" s="86"/>
      <c r="BR7" s="86"/>
      <c r="BS7" s="86"/>
      <c r="BT7" s="86"/>
      <c r="BU7" s="86"/>
      <c r="BV7" s="86"/>
      <c r="BW7" s="28"/>
      <c r="BX7" s="28"/>
      <c r="BY7" s="28"/>
      <c r="BZ7" s="28"/>
      <c r="CA7" s="28"/>
      <c r="CB7" s="28"/>
    </row>
    <row r="8">
      <c r="A8" s="96"/>
      <c r="B8" s="35" t="s">
        <v>310</v>
      </c>
      <c r="C8" s="93"/>
      <c r="D8" s="195"/>
      <c r="E8" s="195"/>
      <c r="F8" s="196"/>
      <c r="G8" s="195"/>
      <c r="H8" s="195"/>
      <c r="I8" s="195"/>
      <c r="J8" s="197"/>
      <c r="K8" s="198"/>
      <c r="L8" s="45" t="s">
        <v>310</v>
      </c>
      <c r="M8" s="199" t="s">
        <v>373</v>
      </c>
      <c r="N8" s="61"/>
      <c r="O8" s="61"/>
      <c r="P8" s="61"/>
      <c r="Q8" s="61"/>
      <c r="R8" s="61"/>
      <c r="S8" s="61"/>
      <c r="T8" s="61"/>
      <c r="U8" s="61"/>
      <c r="V8" s="61"/>
      <c r="W8" s="46"/>
      <c r="X8" s="200"/>
      <c r="Y8" s="45" t="s">
        <v>310</v>
      </c>
      <c r="Z8" s="145" t="s">
        <v>374</v>
      </c>
      <c r="AG8" s="106"/>
      <c r="AH8" s="147" t="s">
        <v>283</v>
      </c>
      <c r="AI8" s="35" t="s">
        <v>310</v>
      </c>
      <c r="AJ8" s="149" t="s">
        <v>377</v>
      </c>
      <c r="AK8" s="149" t="s">
        <v>378</v>
      </c>
      <c r="AL8" s="201" t="s">
        <v>379</v>
      </c>
      <c r="AM8" s="46"/>
      <c r="AN8" s="203" t="s">
        <v>382</v>
      </c>
      <c r="AO8" s="46"/>
      <c r="AP8" s="149" t="s">
        <v>383</v>
      </c>
      <c r="AQ8" s="149" t="s">
        <v>388</v>
      </c>
      <c r="AR8" s="210"/>
      <c r="AS8" s="35" t="s">
        <v>310</v>
      </c>
      <c r="AT8" s="211" t="s">
        <v>390</v>
      </c>
      <c r="BA8" s="106"/>
      <c r="BB8" s="144" t="s">
        <v>282</v>
      </c>
      <c r="BC8" s="45" t="s">
        <v>310</v>
      </c>
      <c r="BD8" s="211" t="s">
        <v>391</v>
      </c>
      <c r="BL8" s="106"/>
      <c r="BM8" s="212" t="s">
        <v>281</v>
      </c>
      <c r="BN8" s="213" t="s">
        <v>310</v>
      </c>
      <c r="BO8" s="163">
        <f t="shared" ref="BO8:BS8" si="3">countif($C8:$BM9,"*" &amp; BO$2 &amp; "*")</f>
        <v>1</v>
      </c>
      <c r="BP8" s="163">
        <f t="shared" si="3"/>
        <v>1</v>
      </c>
      <c r="BQ8" s="163">
        <f t="shared" si="3"/>
        <v>1</v>
      </c>
      <c r="BR8" s="163">
        <f t="shared" si="3"/>
        <v>0</v>
      </c>
      <c r="BS8" s="163">
        <f t="shared" si="3"/>
        <v>23</v>
      </c>
      <c r="BT8" s="132"/>
      <c r="BU8" s="132"/>
      <c r="BV8" s="132"/>
      <c r="BW8" s="28"/>
      <c r="BX8" s="28"/>
      <c r="BY8" s="28"/>
      <c r="BZ8" s="28"/>
      <c r="CA8" s="28"/>
      <c r="CB8" s="28"/>
    </row>
    <row r="9" ht="21.0" customHeight="1">
      <c r="A9" s="96"/>
      <c r="B9" s="35" t="s">
        <v>341</v>
      </c>
      <c r="C9" s="219"/>
      <c r="D9" s="196"/>
      <c r="E9" s="196"/>
      <c r="G9" s="196"/>
      <c r="H9" s="196"/>
      <c r="I9" s="196"/>
      <c r="J9" s="222"/>
      <c r="K9" s="198"/>
      <c r="L9" s="45" t="s">
        <v>341</v>
      </c>
      <c r="M9" s="87"/>
      <c r="N9" s="87"/>
      <c r="O9" s="87"/>
      <c r="P9" s="87"/>
      <c r="Q9" s="87"/>
      <c r="R9" s="87"/>
      <c r="S9" s="87"/>
      <c r="T9" s="87"/>
      <c r="U9" s="87"/>
      <c r="V9" s="87"/>
      <c r="W9" s="86"/>
      <c r="X9" s="200"/>
      <c r="Y9" s="45" t="s">
        <v>341</v>
      </c>
      <c r="Z9" s="87"/>
      <c r="AA9" s="87"/>
      <c r="AB9" s="87"/>
      <c r="AC9" s="87"/>
      <c r="AD9" s="87"/>
      <c r="AE9" s="87"/>
      <c r="AF9" s="87"/>
      <c r="AG9" s="86"/>
      <c r="AH9" s="112"/>
      <c r="AI9" s="45" t="s">
        <v>341</v>
      </c>
      <c r="AJ9" s="112"/>
      <c r="AK9" s="112"/>
      <c r="AL9" s="142"/>
      <c r="AM9" s="106"/>
      <c r="AN9" s="142"/>
      <c r="AO9" s="106"/>
      <c r="AP9" s="112"/>
      <c r="AQ9" s="112"/>
      <c r="AR9" s="210"/>
      <c r="AS9" s="35" t="s">
        <v>341</v>
      </c>
      <c r="AT9" s="87"/>
      <c r="AU9" s="87"/>
      <c r="AV9" s="87"/>
      <c r="AW9" s="87"/>
      <c r="AX9" s="87"/>
      <c r="AY9" s="87"/>
      <c r="AZ9" s="87"/>
      <c r="BA9" s="86"/>
      <c r="BB9" s="112"/>
      <c r="BC9" s="45" t="s">
        <v>341</v>
      </c>
      <c r="BD9" s="87"/>
      <c r="BE9" s="87"/>
      <c r="BF9" s="87"/>
      <c r="BG9" s="87"/>
      <c r="BH9" s="87"/>
      <c r="BI9" s="87"/>
      <c r="BJ9" s="87"/>
      <c r="BK9" s="87"/>
      <c r="BL9" s="86"/>
      <c r="BM9" s="96"/>
      <c r="BN9" s="213" t="s">
        <v>341</v>
      </c>
      <c r="BO9" s="86"/>
      <c r="BP9" s="86"/>
      <c r="BQ9" s="86"/>
      <c r="BR9" s="86"/>
      <c r="BS9" s="86"/>
      <c r="BT9" s="86"/>
      <c r="BU9" s="86"/>
      <c r="BV9" s="86"/>
      <c r="BW9" s="28"/>
      <c r="BX9" s="28"/>
      <c r="CA9" s="28"/>
      <c r="CB9" s="28"/>
    </row>
    <row r="10">
      <c r="A10" s="96"/>
      <c r="B10" s="35" t="s">
        <v>342</v>
      </c>
      <c r="C10" s="219"/>
      <c r="D10" s="196"/>
      <c r="E10" s="196"/>
      <c r="F10" s="196"/>
      <c r="G10" s="196"/>
      <c r="H10" s="196"/>
      <c r="I10" s="196"/>
      <c r="J10" s="222"/>
      <c r="K10" s="198"/>
      <c r="L10" s="45" t="s">
        <v>342</v>
      </c>
      <c r="M10" s="228" t="s">
        <v>409</v>
      </c>
      <c r="N10" s="46"/>
      <c r="O10" s="232" t="s">
        <v>410</v>
      </c>
      <c r="P10" s="238" t="s">
        <v>412</v>
      </c>
      <c r="Q10" s="239"/>
      <c r="R10" s="239"/>
      <c r="S10" s="228" t="s">
        <v>415</v>
      </c>
      <c r="T10" s="46"/>
      <c r="U10" s="239"/>
      <c r="V10" s="241"/>
      <c r="W10" s="132"/>
      <c r="X10" s="198"/>
      <c r="Y10" s="35" t="s">
        <v>342</v>
      </c>
      <c r="Z10" s="28"/>
      <c r="AA10" s="28"/>
      <c r="AB10" s="28"/>
      <c r="AC10" s="28"/>
      <c r="AD10" s="28"/>
      <c r="AE10" s="28"/>
      <c r="AF10" s="28"/>
      <c r="AG10" s="132"/>
      <c r="AH10" s="210"/>
      <c r="AI10" s="45" t="s">
        <v>342</v>
      </c>
      <c r="AJ10" s="149" t="s">
        <v>416</v>
      </c>
      <c r="AK10" s="149" t="s">
        <v>417</v>
      </c>
      <c r="AL10" s="253" t="s">
        <v>418</v>
      </c>
      <c r="AM10" s="5"/>
      <c r="AN10" s="256" t="s">
        <v>419</v>
      </c>
      <c r="AO10" s="5"/>
      <c r="AP10" s="149" t="s">
        <v>420</v>
      </c>
      <c r="AQ10" s="149" t="s">
        <v>422</v>
      </c>
      <c r="AR10" s="210"/>
      <c r="AS10" s="35" t="s">
        <v>342</v>
      </c>
      <c r="AT10" s="211" t="s">
        <v>423</v>
      </c>
      <c r="BA10" s="106"/>
      <c r="BB10" s="144" t="s">
        <v>282</v>
      </c>
      <c r="BC10" s="35" t="s">
        <v>342</v>
      </c>
      <c r="BG10" s="185"/>
      <c r="BH10" s="28"/>
      <c r="BI10" s="28"/>
      <c r="BJ10" s="28"/>
      <c r="BK10" s="28"/>
      <c r="BL10" s="132"/>
      <c r="BM10" s="258"/>
      <c r="BN10" s="213" t="s">
        <v>342</v>
      </c>
      <c r="BO10" s="163">
        <f t="shared" ref="BO10:BS10" si="4">countif($C10:$BM11,"*" &amp; BO$2 &amp; "*")</f>
        <v>0</v>
      </c>
      <c r="BP10" s="163">
        <f t="shared" si="4"/>
        <v>1</v>
      </c>
      <c r="BQ10" s="163">
        <f t="shared" si="4"/>
        <v>0</v>
      </c>
      <c r="BR10" s="163">
        <f t="shared" si="4"/>
        <v>0</v>
      </c>
      <c r="BS10" s="190">
        <f t="shared" si="4"/>
        <v>22</v>
      </c>
      <c r="BT10" s="132"/>
      <c r="BU10" s="132"/>
      <c r="BV10" s="132"/>
      <c r="BW10" s="28"/>
      <c r="BX10" s="28"/>
      <c r="BY10" s="266"/>
      <c r="BZ10" s="267"/>
      <c r="CB10" s="28"/>
    </row>
    <row r="11">
      <c r="A11" s="96"/>
      <c r="B11" s="35" t="s">
        <v>369</v>
      </c>
      <c r="C11" s="219"/>
      <c r="D11" s="196"/>
      <c r="E11" s="196"/>
      <c r="F11" s="196"/>
      <c r="G11" s="196"/>
      <c r="H11" s="196"/>
      <c r="I11" s="196"/>
      <c r="J11" s="222"/>
      <c r="K11" s="198"/>
      <c r="L11" s="45" t="s">
        <v>369</v>
      </c>
      <c r="M11" s="85"/>
      <c r="N11" s="86"/>
      <c r="O11" s="112"/>
      <c r="P11" s="112"/>
      <c r="Q11" s="239"/>
      <c r="R11" s="239"/>
      <c r="S11" s="85"/>
      <c r="T11" s="86"/>
      <c r="U11" s="239"/>
      <c r="V11" s="239"/>
      <c r="W11" s="132"/>
      <c r="X11" s="198"/>
      <c r="Y11" s="45" t="s">
        <v>369</v>
      </c>
      <c r="Z11" s="28"/>
      <c r="AA11" s="28"/>
      <c r="AB11" s="28"/>
      <c r="AC11" s="28"/>
      <c r="AD11" s="28"/>
      <c r="AE11" s="28"/>
      <c r="AF11" s="28"/>
      <c r="AG11" s="132"/>
      <c r="AH11" s="210"/>
      <c r="AI11" s="45" t="s">
        <v>369</v>
      </c>
      <c r="AJ11" s="112"/>
      <c r="AK11" s="112"/>
      <c r="AL11" s="239"/>
      <c r="AM11" s="239"/>
      <c r="AN11" s="239"/>
      <c r="AO11" s="239"/>
      <c r="AP11" s="112"/>
      <c r="AQ11" s="112"/>
      <c r="AR11" s="210"/>
      <c r="AS11" s="35" t="s">
        <v>369</v>
      </c>
      <c r="AT11" s="87"/>
      <c r="AU11" s="87"/>
      <c r="AV11" s="87"/>
      <c r="AW11" s="87"/>
      <c r="AX11" s="87"/>
      <c r="AY11" s="87"/>
      <c r="AZ11" s="87"/>
      <c r="BA11" s="86"/>
      <c r="BB11" s="112"/>
      <c r="BC11" s="35" t="s">
        <v>369</v>
      </c>
      <c r="BG11" s="185"/>
      <c r="BH11" s="28"/>
      <c r="BI11" s="28"/>
      <c r="BJ11" s="28"/>
      <c r="BK11" s="28"/>
      <c r="BL11" s="132"/>
      <c r="BM11" s="258"/>
      <c r="BN11" s="213" t="s">
        <v>369</v>
      </c>
      <c r="BO11" s="86"/>
      <c r="BP11" s="86"/>
      <c r="BQ11" s="86"/>
      <c r="BR11" s="86"/>
      <c r="BS11" s="86"/>
      <c r="BT11" s="86"/>
      <c r="BU11" s="86"/>
      <c r="BV11" s="86"/>
      <c r="BW11" s="28"/>
      <c r="BX11" s="28"/>
      <c r="BY11" s="28"/>
      <c r="BZ11" s="28"/>
      <c r="CA11" s="28"/>
      <c r="CB11" s="28"/>
    </row>
    <row r="12">
      <c r="A12" s="96"/>
      <c r="B12" s="35" t="s">
        <v>375</v>
      </c>
      <c r="C12" s="175" t="s">
        <v>440</v>
      </c>
      <c r="D12" s="61"/>
      <c r="E12" s="61"/>
      <c r="F12" s="61"/>
      <c r="G12" s="61"/>
      <c r="H12" s="61"/>
      <c r="I12" s="61"/>
      <c r="J12" s="46"/>
      <c r="K12" s="198"/>
      <c r="L12" s="45" t="s">
        <v>375</v>
      </c>
      <c r="M12" s="175" t="s">
        <v>442</v>
      </c>
      <c r="N12" s="61"/>
      <c r="O12" s="61"/>
      <c r="P12" s="61"/>
      <c r="Q12" s="61"/>
      <c r="R12" s="61"/>
      <c r="S12" s="61"/>
      <c r="T12" s="61"/>
      <c r="U12" s="61"/>
      <c r="V12" s="46"/>
      <c r="X12" s="198"/>
      <c r="Y12" s="45" t="s">
        <v>375</v>
      </c>
      <c r="Z12" s="175" t="s">
        <v>440</v>
      </c>
      <c r="AA12" s="61"/>
      <c r="AB12" s="61"/>
      <c r="AC12" s="61"/>
      <c r="AD12" s="61"/>
      <c r="AE12" s="61"/>
      <c r="AF12" s="61"/>
      <c r="AG12" s="46"/>
      <c r="AH12" s="210"/>
      <c r="AI12" s="45" t="s">
        <v>375</v>
      </c>
      <c r="AJ12" s="175" t="s">
        <v>440</v>
      </c>
      <c r="AK12" s="61"/>
      <c r="AL12" s="61"/>
      <c r="AM12" s="61"/>
      <c r="AN12" s="61"/>
      <c r="AO12" s="61"/>
      <c r="AP12" s="61"/>
      <c r="AQ12" s="46"/>
      <c r="AR12" s="210"/>
      <c r="AS12" s="45" t="s">
        <v>375</v>
      </c>
      <c r="AT12" s="175" t="s">
        <v>447</v>
      </c>
      <c r="AU12" s="61"/>
      <c r="AV12" s="61"/>
      <c r="AW12" s="61"/>
      <c r="AX12" s="61"/>
      <c r="AY12" s="61"/>
      <c r="AZ12" s="61"/>
      <c r="BA12" s="46"/>
      <c r="BB12" s="210"/>
      <c r="BC12" s="45" t="s">
        <v>375</v>
      </c>
      <c r="BD12" s="175" t="s">
        <v>447</v>
      </c>
      <c r="BE12" s="61"/>
      <c r="BF12" s="61"/>
      <c r="BG12" s="185"/>
      <c r="BH12" s="175" t="s">
        <v>440</v>
      </c>
      <c r="BI12" s="61"/>
      <c r="BJ12" s="61"/>
      <c r="BK12" s="61"/>
      <c r="BL12" s="61"/>
      <c r="BM12" s="61"/>
      <c r="BN12" s="61"/>
      <c r="BO12" s="46"/>
      <c r="BP12" s="163">
        <f t="shared" ref="BP12:BS12" si="5">countif($C12:$BM13,"*" &amp; BP$2 &amp; "*")</f>
        <v>7</v>
      </c>
      <c r="BQ12" s="163">
        <f t="shared" si="5"/>
        <v>7</v>
      </c>
      <c r="BR12" s="163">
        <f t="shared" si="5"/>
        <v>0</v>
      </c>
      <c r="BS12" s="163">
        <f t="shared" si="5"/>
        <v>17</v>
      </c>
      <c r="BT12" s="132"/>
      <c r="BU12" s="132"/>
      <c r="BV12" s="132"/>
      <c r="BW12" s="28"/>
      <c r="BX12" s="28"/>
      <c r="BY12" s="28"/>
      <c r="BZ12" s="28"/>
      <c r="CA12" s="28"/>
      <c r="CB12" s="28"/>
    </row>
    <row r="13">
      <c r="A13" s="96"/>
      <c r="B13" s="35" t="s">
        <v>392</v>
      </c>
      <c r="C13" s="85"/>
      <c r="D13" s="87"/>
      <c r="E13" s="87"/>
      <c r="F13" s="87"/>
      <c r="G13" s="87"/>
      <c r="H13" s="87"/>
      <c r="I13" s="87"/>
      <c r="J13" s="86"/>
      <c r="K13" s="198"/>
      <c r="L13" s="45" t="s">
        <v>392</v>
      </c>
      <c r="M13" s="85"/>
      <c r="N13" s="87"/>
      <c r="O13" s="87"/>
      <c r="P13" s="87"/>
      <c r="Q13" s="87"/>
      <c r="R13" s="87"/>
      <c r="S13" s="87"/>
      <c r="T13" s="87"/>
      <c r="U13" s="87"/>
      <c r="V13" s="86"/>
      <c r="X13" s="198"/>
      <c r="Y13" s="45" t="s">
        <v>392</v>
      </c>
      <c r="Z13" s="85"/>
      <c r="AA13" s="87"/>
      <c r="AB13" s="87"/>
      <c r="AC13" s="87"/>
      <c r="AD13" s="87"/>
      <c r="AE13" s="87"/>
      <c r="AF13" s="87"/>
      <c r="AG13" s="86"/>
      <c r="AH13" s="210"/>
      <c r="AI13" s="45" t="s">
        <v>392</v>
      </c>
      <c r="AJ13" s="85"/>
      <c r="AK13" s="87"/>
      <c r="AL13" s="87"/>
      <c r="AM13" s="87"/>
      <c r="AN13" s="87"/>
      <c r="AO13" s="87"/>
      <c r="AP13" s="87"/>
      <c r="AQ13" s="86"/>
      <c r="AR13" s="210"/>
      <c r="AS13" s="45" t="s">
        <v>392</v>
      </c>
      <c r="AT13" s="85"/>
      <c r="AU13" s="87"/>
      <c r="AV13" s="87"/>
      <c r="AW13" s="87"/>
      <c r="AX13" s="87"/>
      <c r="AY13" s="87"/>
      <c r="AZ13" s="87"/>
      <c r="BA13" s="86"/>
      <c r="BB13" s="210"/>
      <c r="BC13" s="45" t="s">
        <v>392</v>
      </c>
      <c r="BD13" s="85"/>
      <c r="BE13" s="87"/>
      <c r="BF13" s="87"/>
      <c r="BG13" s="95"/>
      <c r="BH13" s="85"/>
      <c r="BI13" s="87"/>
      <c r="BJ13" s="87"/>
      <c r="BK13" s="87"/>
      <c r="BL13" s="87"/>
      <c r="BM13" s="87"/>
      <c r="BN13" s="87"/>
      <c r="BO13" s="86"/>
      <c r="BP13" s="86"/>
      <c r="BQ13" s="86"/>
      <c r="BR13" s="86"/>
      <c r="BS13" s="86"/>
      <c r="BT13" s="86"/>
      <c r="BU13" s="86"/>
      <c r="BV13" s="86"/>
      <c r="BW13" s="28"/>
      <c r="BX13" s="28"/>
      <c r="BY13" s="28"/>
      <c r="BZ13" s="28"/>
      <c r="CA13" s="28"/>
      <c r="CB13" s="28"/>
    </row>
    <row r="14">
      <c r="A14" s="96"/>
      <c r="B14" s="35" t="s">
        <v>398</v>
      </c>
      <c r="C14" s="281"/>
      <c r="D14" s="282"/>
      <c r="E14" s="282"/>
      <c r="F14" s="282"/>
      <c r="G14" s="282"/>
      <c r="H14" s="282"/>
      <c r="I14" s="282"/>
      <c r="J14" s="283"/>
      <c r="K14" s="198"/>
      <c r="L14" s="45" t="s">
        <v>398</v>
      </c>
      <c r="M14" s="284"/>
      <c r="N14" s="285"/>
      <c r="O14" s="285"/>
      <c r="P14" s="285"/>
      <c r="Q14" s="285"/>
      <c r="R14" s="285"/>
      <c r="S14" s="285"/>
      <c r="T14" s="285"/>
      <c r="U14" s="87"/>
      <c r="V14" s="86"/>
      <c r="W14" s="132"/>
      <c r="X14" s="198"/>
      <c r="Y14" s="35" t="s">
        <v>398</v>
      </c>
      <c r="Z14" s="28"/>
      <c r="AA14" s="28"/>
      <c r="AB14" s="28"/>
      <c r="AC14" s="28"/>
      <c r="AD14" s="28"/>
      <c r="AE14" s="28"/>
      <c r="AF14" s="28"/>
      <c r="AG14" s="132"/>
      <c r="AH14" s="210"/>
      <c r="AI14" s="45" t="s">
        <v>398</v>
      </c>
      <c r="AJ14" s="288"/>
      <c r="AK14" s="239"/>
      <c r="AL14" s="239"/>
      <c r="AM14" s="239"/>
      <c r="AN14" s="239"/>
      <c r="AO14" s="239"/>
      <c r="AP14" s="149" t="s">
        <v>464</v>
      </c>
      <c r="AQ14" s="149" t="s">
        <v>465</v>
      </c>
      <c r="AR14" s="210"/>
      <c r="AS14" s="45" t="s">
        <v>398</v>
      </c>
      <c r="AT14" s="28"/>
      <c r="AU14" s="28"/>
      <c r="AV14" s="28"/>
      <c r="AW14" s="28"/>
      <c r="AX14" s="28"/>
      <c r="AY14" s="28"/>
      <c r="AZ14" s="28"/>
      <c r="BA14" s="28"/>
      <c r="BB14" s="210"/>
      <c r="BC14" s="45" t="s">
        <v>398</v>
      </c>
      <c r="BG14" s="185"/>
      <c r="BH14" s="28"/>
      <c r="BI14" s="28"/>
      <c r="BJ14" s="28"/>
      <c r="BK14" s="28"/>
      <c r="BL14" s="132"/>
      <c r="BM14" s="198"/>
      <c r="BN14" s="213" t="s">
        <v>398</v>
      </c>
      <c r="BO14" s="163">
        <f t="shared" ref="BO14:BS14" si="6">countif($C14:$BM15,"*" &amp; BO$2 &amp; "*")</f>
        <v>0</v>
      </c>
      <c r="BP14" s="163">
        <f t="shared" si="6"/>
        <v>0</v>
      </c>
      <c r="BQ14" s="163">
        <f t="shared" si="6"/>
        <v>0</v>
      </c>
      <c r="BR14" s="163">
        <f t="shared" si="6"/>
        <v>0</v>
      </c>
      <c r="BS14" s="163">
        <f t="shared" si="6"/>
        <v>12</v>
      </c>
      <c r="BT14" s="132"/>
      <c r="BU14" s="132"/>
      <c r="BV14" s="132"/>
      <c r="BW14" s="28"/>
      <c r="BX14" s="28"/>
      <c r="BY14" s="28"/>
      <c r="BZ14" s="28"/>
      <c r="CA14" s="28"/>
      <c r="CB14" s="28"/>
    </row>
    <row r="15">
      <c r="A15" s="112"/>
      <c r="B15" s="35" t="s">
        <v>408</v>
      </c>
      <c r="C15" s="28"/>
      <c r="D15" s="28"/>
      <c r="E15" s="28"/>
      <c r="F15" s="28"/>
      <c r="G15" s="28"/>
      <c r="H15" s="28"/>
      <c r="I15" s="28"/>
      <c r="J15" s="132"/>
      <c r="K15" s="308"/>
      <c r="L15" s="35" t="s">
        <v>408</v>
      </c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21"/>
      <c r="X15" s="308"/>
      <c r="Y15" s="35" t="s">
        <v>408</v>
      </c>
      <c r="Z15" s="115"/>
      <c r="AA15" s="115"/>
      <c r="AB15" s="115"/>
      <c r="AC15" s="115"/>
      <c r="AD15" s="115"/>
      <c r="AE15" s="115"/>
      <c r="AF15" s="115"/>
      <c r="AG15" s="121"/>
      <c r="AH15" s="312"/>
      <c r="AI15" s="313" t="s">
        <v>408</v>
      </c>
      <c r="AJ15" s="284"/>
      <c r="AK15" s="285"/>
      <c r="AL15" s="285"/>
      <c r="AM15" s="285"/>
      <c r="AN15" s="285"/>
      <c r="AO15" s="285"/>
      <c r="AP15" s="112"/>
      <c r="AQ15" s="112"/>
      <c r="AR15" s="312"/>
      <c r="AS15" s="313" t="s">
        <v>408</v>
      </c>
      <c r="AT15" s="314"/>
      <c r="AU15" s="314"/>
      <c r="AV15" s="314"/>
      <c r="AW15" s="314"/>
      <c r="AX15" s="314"/>
      <c r="AY15" s="314"/>
      <c r="AZ15" s="115"/>
      <c r="BA15" s="121"/>
      <c r="BB15" s="312"/>
      <c r="BC15" s="45" t="s">
        <v>408</v>
      </c>
      <c r="BG15" s="95"/>
      <c r="BH15" s="115"/>
      <c r="BI15" s="115"/>
      <c r="BJ15" s="115"/>
      <c r="BK15" s="115"/>
      <c r="BL15" s="121"/>
      <c r="BM15" s="198"/>
      <c r="BN15" s="213" t="s">
        <v>408</v>
      </c>
      <c r="BO15" s="86"/>
      <c r="BP15" s="86"/>
      <c r="BQ15" s="86"/>
      <c r="BR15" s="86"/>
      <c r="BS15" s="86"/>
      <c r="BT15" s="86"/>
      <c r="BU15" s="86"/>
      <c r="BV15" s="86"/>
      <c r="BW15" s="28"/>
      <c r="BX15" s="28"/>
      <c r="BY15" s="28"/>
      <c r="BZ15" s="28"/>
      <c r="CA15" s="28"/>
      <c r="CB15" s="28"/>
    </row>
    <row r="16">
      <c r="A16" s="319"/>
      <c r="B16" s="95"/>
      <c r="C16" s="321"/>
      <c r="D16" s="321"/>
      <c r="E16" s="321"/>
      <c r="F16" s="321"/>
      <c r="G16" s="321"/>
      <c r="H16" s="321"/>
      <c r="I16" s="321"/>
      <c r="J16" s="321"/>
      <c r="K16" s="308"/>
      <c r="L16" s="95"/>
      <c r="M16" s="323"/>
      <c r="N16" s="323"/>
      <c r="O16" s="323"/>
      <c r="P16" s="323"/>
      <c r="Q16" s="323"/>
      <c r="R16" s="323"/>
      <c r="S16" s="323"/>
      <c r="T16" s="323"/>
      <c r="U16" s="323"/>
      <c r="V16" s="323"/>
      <c r="W16" s="95"/>
      <c r="X16" s="308"/>
      <c r="Y16" s="95"/>
      <c r="Z16" s="323"/>
      <c r="AA16" s="323"/>
      <c r="AB16" s="323"/>
      <c r="AC16" s="323"/>
      <c r="AD16" s="323"/>
      <c r="AE16" s="323"/>
      <c r="AF16" s="323"/>
      <c r="AG16" s="95"/>
      <c r="AH16" s="326"/>
      <c r="AI16" s="327"/>
      <c r="AJ16" s="321"/>
      <c r="AK16" s="321"/>
      <c r="AL16" s="321"/>
      <c r="AM16" s="321"/>
      <c r="AN16" s="321"/>
      <c r="AO16" s="321"/>
      <c r="AP16" s="321"/>
      <c r="AQ16" s="321"/>
      <c r="AR16" s="312"/>
      <c r="AS16" s="323"/>
      <c r="AT16" s="323"/>
      <c r="AU16" s="323"/>
      <c r="AV16" s="323"/>
      <c r="AW16" s="323"/>
      <c r="AX16" s="323"/>
      <c r="AY16" s="323"/>
      <c r="AZ16" s="323"/>
      <c r="BA16" s="95"/>
      <c r="BB16" s="312"/>
      <c r="BC16" s="185"/>
      <c r="BD16" s="327"/>
      <c r="BE16" s="4"/>
      <c r="BF16" s="5"/>
      <c r="BG16" s="95"/>
      <c r="BH16" s="323"/>
      <c r="BI16" s="323"/>
      <c r="BJ16" s="323"/>
      <c r="BK16" s="323"/>
      <c r="BL16" s="323"/>
      <c r="BM16" s="198"/>
      <c r="BN16" s="95"/>
      <c r="BO16" s="95"/>
      <c r="BP16" s="95"/>
      <c r="BQ16" s="95"/>
      <c r="BR16" s="95"/>
      <c r="BS16" s="95"/>
      <c r="BT16" s="95"/>
      <c r="BU16" s="95"/>
      <c r="BV16" s="95"/>
      <c r="BW16" s="28"/>
      <c r="BX16" s="28"/>
      <c r="BY16" s="28"/>
      <c r="BZ16" s="28"/>
      <c r="CA16" s="28"/>
      <c r="CB16" s="28"/>
    </row>
    <row r="17">
      <c r="A17" s="107" t="s">
        <v>421</v>
      </c>
      <c r="B17" s="109">
        <v>42591.0</v>
      </c>
      <c r="C17" s="28"/>
      <c r="D17" s="28"/>
      <c r="E17" s="28"/>
      <c r="F17" s="28"/>
      <c r="G17" s="28"/>
      <c r="H17" s="28"/>
      <c r="I17" s="28"/>
      <c r="J17" s="132"/>
      <c r="K17" s="113"/>
      <c r="L17" s="109">
        <v>42591.0</v>
      </c>
      <c r="M17" s="329"/>
      <c r="N17" s="329"/>
      <c r="O17" s="329"/>
      <c r="P17" s="329"/>
      <c r="Q17" s="329"/>
      <c r="R17" s="329"/>
      <c r="S17" s="329"/>
      <c r="T17" s="329"/>
      <c r="U17" s="329"/>
      <c r="V17" s="329"/>
      <c r="W17" s="132"/>
      <c r="X17" s="113"/>
      <c r="Y17" s="109">
        <v>42591.0</v>
      </c>
      <c r="Z17" s="115"/>
      <c r="AA17" s="115"/>
      <c r="AB17" s="115"/>
      <c r="AC17" s="115"/>
      <c r="AD17" s="115"/>
      <c r="AE17" s="115"/>
      <c r="AF17" s="115"/>
      <c r="AG17" s="121"/>
      <c r="AH17" s="124"/>
      <c r="AI17" s="109">
        <v>42591.0</v>
      </c>
      <c r="AJ17" s="115"/>
      <c r="AK17" s="115"/>
      <c r="AL17" s="115"/>
      <c r="AM17" s="115"/>
      <c r="AN17" s="115"/>
      <c r="AO17" s="115"/>
      <c r="AP17" s="115"/>
      <c r="AQ17" s="115"/>
      <c r="AR17" s="124"/>
      <c r="AS17" s="109">
        <v>42591.0</v>
      </c>
      <c r="AT17" s="28"/>
      <c r="AU17" s="28"/>
      <c r="AV17" s="28"/>
      <c r="AW17" s="28"/>
      <c r="AX17" s="28"/>
      <c r="AY17" s="28"/>
      <c r="AZ17" s="28"/>
      <c r="BA17" s="28"/>
      <c r="BB17" s="124"/>
      <c r="BC17" s="109">
        <v>42591.0</v>
      </c>
      <c r="BD17" s="54"/>
      <c r="BE17" s="54"/>
      <c r="BF17" s="54"/>
      <c r="BG17" s="330"/>
      <c r="BH17" s="54"/>
      <c r="BI17" s="54"/>
      <c r="BJ17" s="54"/>
      <c r="BK17" s="331"/>
      <c r="BL17" s="132"/>
      <c r="BM17" s="113"/>
      <c r="BN17" s="136">
        <v>42591.0</v>
      </c>
      <c r="BO17" s="121"/>
      <c r="BP17" s="121"/>
      <c r="BQ17" s="121"/>
      <c r="BR17" s="121"/>
      <c r="BS17" s="121"/>
      <c r="BT17" s="121"/>
      <c r="BU17" s="121"/>
      <c r="BV17" s="121"/>
      <c r="BW17" s="28"/>
      <c r="BX17" s="28"/>
      <c r="BY17" s="28"/>
      <c r="BZ17" s="28"/>
      <c r="CA17" s="28"/>
      <c r="CB17" s="28"/>
    </row>
    <row r="18">
      <c r="A18" s="96"/>
      <c r="B18" s="109">
        <v>42623.0</v>
      </c>
      <c r="C18" s="199" t="s">
        <v>514</v>
      </c>
      <c r="D18" s="61"/>
      <c r="E18" s="61"/>
      <c r="F18" s="61"/>
      <c r="G18" s="61"/>
      <c r="H18" s="61"/>
      <c r="I18" s="61"/>
      <c r="J18" s="46"/>
      <c r="K18" s="335" t="s">
        <v>282</v>
      </c>
      <c r="L18" s="109">
        <v>42623.0</v>
      </c>
      <c r="M18" s="329"/>
      <c r="N18" s="329"/>
      <c r="O18" s="329"/>
      <c r="P18" s="329"/>
      <c r="S18" s="232" t="s">
        <v>521</v>
      </c>
      <c r="T18" s="232" t="s">
        <v>523</v>
      </c>
      <c r="U18" s="150" t="s">
        <v>526</v>
      </c>
      <c r="V18" s="150" t="s">
        <v>529</v>
      </c>
      <c r="W18" s="132"/>
      <c r="X18" s="113"/>
      <c r="Y18" s="109">
        <v>42623.0</v>
      </c>
      <c r="Z18" s="145" t="s">
        <v>532</v>
      </c>
      <c r="AG18" s="106"/>
      <c r="AH18" s="341" t="s">
        <v>283</v>
      </c>
      <c r="AI18" s="109">
        <v>42623.0</v>
      </c>
      <c r="AJ18" s="211" t="s">
        <v>536</v>
      </c>
      <c r="AQ18" s="106"/>
      <c r="AR18" s="342" t="s">
        <v>281</v>
      </c>
      <c r="AS18" s="109">
        <v>42623.0</v>
      </c>
      <c r="AT18" s="28"/>
      <c r="AU18" s="28"/>
      <c r="AV18" s="28"/>
      <c r="AW18" s="28"/>
      <c r="AX18" s="28"/>
      <c r="AY18" s="28"/>
      <c r="AZ18" s="28"/>
      <c r="BA18" s="28"/>
      <c r="BB18" s="124"/>
      <c r="BC18" s="109">
        <v>42623.0</v>
      </c>
      <c r="BD18" s="343" t="s">
        <v>538</v>
      </c>
      <c r="BE18" s="343" t="s">
        <v>539</v>
      </c>
      <c r="BF18" s="54"/>
      <c r="BG18" s="258"/>
      <c r="BH18" s="149" t="s">
        <v>540</v>
      </c>
      <c r="BI18" s="149" t="s">
        <v>541</v>
      </c>
      <c r="BJ18" s="149" t="s">
        <v>542</v>
      </c>
      <c r="BK18" s="149" t="s">
        <v>543</v>
      </c>
      <c r="BL18" s="132"/>
      <c r="BM18" s="113"/>
      <c r="BN18" s="136">
        <v>42623.0</v>
      </c>
      <c r="BO18" s="163">
        <f t="shared" ref="BO18:BS18" si="7">countif($C18:$BM19,"*" &amp; BO$2 &amp; "*")</f>
        <v>1</v>
      </c>
      <c r="BP18" s="163">
        <f t="shared" si="7"/>
        <v>1</v>
      </c>
      <c r="BQ18" s="163">
        <f t="shared" si="7"/>
        <v>1</v>
      </c>
      <c r="BR18" s="163">
        <f t="shared" si="7"/>
        <v>0</v>
      </c>
      <c r="BS18" s="163">
        <f t="shared" si="7"/>
        <v>16</v>
      </c>
      <c r="BT18" s="132"/>
      <c r="BU18" s="132"/>
      <c r="BV18" s="132"/>
      <c r="BW18" s="28"/>
      <c r="BX18" s="28"/>
      <c r="BY18" s="28"/>
      <c r="BZ18" s="28"/>
      <c r="CA18" s="28"/>
      <c r="CB18" s="28"/>
    </row>
    <row r="19">
      <c r="A19" s="96"/>
      <c r="B19" s="168">
        <v>42654.0</v>
      </c>
      <c r="C19" s="87"/>
      <c r="D19" s="87"/>
      <c r="E19" s="87"/>
      <c r="F19" s="87"/>
      <c r="G19" s="87"/>
      <c r="H19" s="87"/>
      <c r="I19" s="87"/>
      <c r="J19" s="86"/>
      <c r="K19" s="112"/>
      <c r="L19" s="168">
        <v>42654.0</v>
      </c>
      <c r="M19" s="329"/>
      <c r="N19" s="329"/>
      <c r="O19" s="329"/>
      <c r="P19" s="329"/>
      <c r="S19" s="112"/>
      <c r="T19" s="112"/>
      <c r="U19" s="96"/>
      <c r="V19" s="96"/>
      <c r="W19" s="132"/>
      <c r="X19" s="177"/>
      <c r="Y19" s="168">
        <v>42654.0</v>
      </c>
      <c r="Z19" s="87"/>
      <c r="AA19" s="87"/>
      <c r="AB19" s="87"/>
      <c r="AC19" s="87"/>
      <c r="AD19" s="87"/>
      <c r="AE19" s="87"/>
      <c r="AF19" s="87"/>
      <c r="AG19" s="86"/>
      <c r="AH19" s="112"/>
      <c r="AI19" s="168">
        <v>42654.0</v>
      </c>
      <c r="AJ19" s="87"/>
      <c r="AK19" s="87"/>
      <c r="AL19" s="87"/>
      <c r="AM19" s="87"/>
      <c r="AN19" s="87"/>
      <c r="AO19" s="87"/>
      <c r="AP19" s="87"/>
      <c r="AQ19" s="86"/>
      <c r="AR19" s="170"/>
      <c r="AS19" s="168">
        <v>42654.0</v>
      </c>
      <c r="AT19" s="28"/>
      <c r="AU19" s="28"/>
      <c r="AV19" s="28"/>
      <c r="AW19" s="28"/>
      <c r="AX19" s="28"/>
      <c r="AY19" s="28"/>
      <c r="AZ19" s="28"/>
      <c r="BA19" s="28"/>
      <c r="BB19" s="170"/>
      <c r="BC19" s="168">
        <v>42654.0</v>
      </c>
      <c r="BD19" s="112"/>
      <c r="BE19" s="112"/>
      <c r="BF19" s="54"/>
      <c r="BG19" s="258"/>
      <c r="BH19" s="112"/>
      <c r="BI19" s="112"/>
      <c r="BJ19" s="112"/>
      <c r="BK19" s="112"/>
      <c r="BL19" s="121"/>
      <c r="BM19" s="177"/>
      <c r="BN19" s="172">
        <v>42654.0</v>
      </c>
      <c r="BO19" s="86"/>
      <c r="BP19" s="86"/>
      <c r="BQ19" s="86"/>
      <c r="BR19" s="86"/>
      <c r="BS19" s="86"/>
      <c r="BT19" s="86"/>
      <c r="BU19" s="86"/>
      <c r="BV19" s="86"/>
      <c r="BW19" s="28"/>
      <c r="BX19" s="28"/>
      <c r="BY19" s="28"/>
      <c r="BZ19" s="28"/>
      <c r="CA19" s="28"/>
      <c r="CB19" s="28"/>
    </row>
    <row r="20">
      <c r="A20" s="96"/>
      <c r="B20" s="168">
        <v>42686.0</v>
      </c>
      <c r="C20" s="122" t="s">
        <v>550</v>
      </c>
      <c r="D20" s="61"/>
      <c r="E20" s="61"/>
      <c r="F20" s="61"/>
      <c r="G20" s="61"/>
      <c r="H20" s="61"/>
      <c r="I20" s="61"/>
      <c r="J20" s="46"/>
      <c r="K20" s="335" t="s">
        <v>282</v>
      </c>
      <c r="L20" s="168">
        <v>42686.0</v>
      </c>
      <c r="M20" s="362" t="s">
        <v>555</v>
      </c>
      <c r="N20" s="362" t="s">
        <v>557</v>
      </c>
      <c r="O20" s="363" t="s">
        <v>558</v>
      </c>
      <c r="P20" s="363" t="s">
        <v>559</v>
      </c>
      <c r="Q20" s="149" t="s">
        <v>560</v>
      </c>
      <c r="R20" s="149" t="s">
        <v>561</v>
      </c>
      <c r="S20" s="149" t="s">
        <v>563</v>
      </c>
      <c r="T20" s="362" t="s">
        <v>564</v>
      </c>
      <c r="U20" s="112"/>
      <c r="V20" s="112"/>
      <c r="W20" s="132"/>
      <c r="X20" s="368"/>
      <c r="Y20" s="168">
        <v>42686.0</v>
      </c>
      <c r="Z20" s="371" t="s">
        <v>567</v>
      </c>
      <c r="AG20" s="106"/>
      <c r="AH20" s="374" t="s">
        <v>571</v>
      </c>
      <c r="AI20" s="168">
        <v>42686.0</v>
      </c>
      <c r="AJ20" s="211" t="s">
        <v>573</v>
      </c>
      <c r="AQ20" s="106"/>
      <c r="AR20" s="342" t="s">
        <v>281</v>
      </c>
      <c r="AS20" s="168">
        <v>42686.0</v>
      </c>
      <c r="AT20" s="28"/>
      <c r="AU20" s="28"/>
      <c r="AV20" s="28"/>
      <c r="AW20" s="28"/>
      <c r="AX20" s="28"/>
      <c r="AY20" s="28"/>
      <c r="AZ20" s="28"/>
      <c r="BA20" s="28"/>
      <c r="BB20" s="170"/>
      <c r="BC20" s="168">
        <v>42686.0</v>
      </c>
      <c r="BD20" s="149" t="s">
        <v>578</v>
      </c>
      <c r="BE20" s="149" t="s">
        <v>580</v>
      </c>
      <c r="BF20" s="149" t="s">
        <v>582</v>
      </c>
      <c r="BG20" s="258"/>
      <c r="BH20" s="385" t="s">
        <v>583</v>
      </c>
      <c r="BI20" s="385" t="s">
        <v>586</v>
      </c>
      <c r="BJ20" s="150" t="s">
        <v>589</v>
      </c>
      <c r="BK20" s="150" t="s">
        <v>590</v>
      </c>
      <c r="BL20" s="390" t="s">
        <v>593</v>
      </c>
      <c r="BM20" s="177"/>
      <c r="BN20" s="172">
        <v>42686.0</v>
      </c>
      <c r="BO20" s="163">
        <f t="shared" ref="BO20:BQ20" si="8">countif($C20:$BC21,"*" &amp; BO$2 &amp; "*")</f>
        <v>1</v>
      </c>
      <c r="BP20" s="163">
        <f t="shared" si="8"/>
        <v>1</v>
      </c>
      <c r="BQ20" s="163">
        <f t="shared" si="8"/>
        <v>1</v>
      </c>
      <c r="BR20" s="190">
        <f>countif($C20:$BL21,"*" &amp; BR$2 &amp; "*")</f>
        <v>1</v>
      </c>
      <c r="BS20" s="163">
        <f>countif($C20:$BM21,"*" &amp; BS$2 &amp; "*")</f>
        <v>26</v>
      </c>
      <c r="BT20" s="132"/>
      <c r="BU20" s="132"/>
      <c r="BV20" s="132"/>
      <c r="BW20" s="397"/>
      <c r="BX20" s="28"/>
      <c r="BY20" s="28"/>
      <c r="BZ20" s="28"/>
      <c r="CA20" s="28"/>
      <c r="CB20" s="28"/>
    </row>
    <row r="21">
      <c r="A21" s="96"/>
      <c r="B21" s="168">
        <v>42717.0</v>
      </c>
      <c r="C21" s="85"/>
      <c r="D21" s="87"/>
      <c r="E21" s="87"/>
      <c r="F21" s="87"/>
      <c r="G21" s="87"/>
      <c r="H21" s="87"/>
      <c r="I21" s="87"/>
      <c r="J21" s="86"/>
      <c r="K21" s="112"/>
      <c r="L21" s="168">
        <v>42717.0</v>
      </c>
      <c r="M21" s="362" t="s">
        <v>611</v>
      </c>
      <c r="N21" s="362" t="s">
        <v>612</v>
      </c>
      <c r="O21" s="112"/>
      <c r="P21" s="112"/>
      <c r="Q21" s="112"/>
      <c r="R21" s="112"/>
      <c r="S21" s="149" t="s">
        <v>613</v>
      </c>
      <c r="T21" s="362" t="s">
        <v>614</v>
      </c>
      <c r="U21" s="399"/>
      <c r="V21" s="399"/>
      <c r="W21" s="132"/>
      <c r="X21" s="177"/>
      <c r="Y21" s="168">
        <v>42717.0</v>
      </c>
      <c r="Z21" s="87"/>
      <c r="AA21" s="87"/>
      <c r="AB21" s="87"/>
      <c r="AC21" s="87"/>
      <c r="AD21" s="87"/>
      <c r="AE21" s="87"/>
      <c r="AF21" s="87"/>
      <c r="AG21" s="86"/>
      <c r="AH21" s="112"/>
      <c r="AI21" s="168">
        <v>42717.0</v>
      </c>
      <c r="AJ21" s="87"/>
      <c r="AK21" s="87"/>
      <c r="AL21" s="87"/>
      <c r="AM21" s="87"/>
      <c r="AN21" s="87"/>
      <c r="AO21" s="87"/>
      <c r="AP21" s="87"/>
      <c r="AQ21" s="86"/>
      <c r="AR21" s="210"/>
      <c r="AS21" s="168">
        <v>42717.0</v>
      </c>
      <c r="AT21" s="28"/>
      <c r="AU21" s="28"/>
      <c r="AV21" s="28"/>
      <c r="AW21" s="28"/>
      <c r="AX21" s="28"/>
      <c r="AY21" s="28"/>
      <c r="AZ21" s="28"/>
      <c r="BA21" s="28"/>
      <c r="BB21" s="170"/>
      <c r="BC21" s="168">
        <v>42717.0</v>
      </c>
      <c r="BD21" s="112"/>
      <c r="BE21" s="112"/>
      <c r="BF21" s="112"/>
      <c r="BG21" s="258"/>
      <c r="BH21" s="112"/>
      <c r="BI21" s="112"/>
      <c r="BJ21" s="112"/>
      <c r="BK21" s="112"/>
      <c r="BL21" s="86"/>
      <c r="BM21" s="177"/>
      <c r="BN21" s="172">
        <v>42717.0</v>
      </c>
      <c r="BO21" s="86"/>
      <c r="BP21" s="86"/>
      <c r="BQ21" s="86"/>
      <c r="BR21" s="86"/>
      <c r="BS21" s="86"/>
      <c r="BT21" s="86"/>
      <c r="BU21" s="86"/>
      <c r="BV21" s="86"/>
      <c r="BW21" s="397"/>
      <c r="BX21" s="28"/>
      <c r="BY21" s="28"/>
      <c r="BZ21" s="28"/>
      <c r="CA21" s="28"/>
      <c r="CB21" s="28"/>
    </row>
    <row r="22" ht="21.0" customHeight="1">
      <c r="A22" s="96"/>
      <c r="B22" s="35" t="s">
        <v>310</v>
      </c>
      <c r="C22" s="211" t="s">
        <v>637</v>
      </c>
      <c r="J22" s="106"/>
      <c r="K22" s="335" t="s">
        <v>282</v>
      </c>
      <c r="L22" s="45" t="s">
        <v>310</v>
      </c>
      <c r="M22" s="232" t="s">
        <v>638</v>
      </c>
      <c r="N22" s="232" t="s">
        <v>639</v>
      </c>
      <c r="O22" s="363"/>
      <c r="P22" s="363"/>
      <c r="Q22" s="232" t="s">
        <v>640</v>
      </c>
      <c r="R22" s="232" t="s">
        <v>641</v>
      </c>
      <c r="S22" s="413" t="s">
        <v>642</v>
      </c>
      <c r="T22" s="149" t="s">
        <v>644</v>
      </c>
      <c r="U22" s="399"/>
      <c r="V22" s="399"/>
      <c r="W22" s="132"/>
      <c r="X22" s="198"/>
      <c r="Y22" s="45" t="s">
        <v>310</v>
      </c>
      <c r="Z22" s="228" t="s">
        <v>646</v>
      </c>
      <c r="AA22" s="46"/>
      <c r="AB22" s="228" t="s">
        <v>648</v>
      </c>
      <c r="AC22" s="46"/>
      <c r="AD22" s="201" t="s">
        <v>649</v>
      </c>
      <c r="AE22" s="46"/>
      <c r="AF22" s="203" t="s">
        <v>651</v>
      </c>
      <c r="AG22" s="46"/>
      <c r="AH22" s="210"/>
      <c r="AI22" s="45" t="s">
        <v>310</v>
      </c>
      <c r="AJ22" s="211" t="s">
        <v>654</v>
      </c>
      <c r="AQ22" s="106"/>
      <c r="AR22" s="342" t="s">
        <v>281</v>
      </c>
      <c r="AS22" s="45" t="s">
        <v>310</v>
      </c>
      <c r="AT22" s="122" t="s">
        <v>658</v>
      </c>
      <c r="AU22" s="61"/>
      <c r="AV22" s="61"/>
      <c r="AW22" s="61"/>
      <c r="AX22" s="61"/>
      <c r="AY22" s="61"/>
      <c r="AZ22" s="61"/>
      <c r="BA22" s="46"/>
      <c r="BB22" s="156" t="s">
        <v>283</v>
      </c>
      <c r="BC22" s="35" t="s">
        <v>310</v>
      </c>
      <c r="BD22" s="149" t="s">
        <v>663</v>
      </c>
      <c r="BE22" s="149" t="s">
        <v>664</v>
      </c>
      <c r="BF22" s="149" t="s">
        <v>665</v>
      </c>
      <c r="BG22" s="258"/>
      <c r="BH22" s="149" t="s">
        <v>666</v>
      </c>
      <c r="BI22" s="149" t="s">
        <v>667</v>
      </c>
      <c r="BL22" s="423" t="s">
        <v>668</v>
      </c>
      <c r="BM22" s="368"/>
      <c r="BN22" s="213" t="s">
        <v>310</v>
      </c>
      <c r="BO22" s="190">
        <f t="shared" ref="BO22:BQ22" si="9">countif($C22:$BC23,"*" &amp; BO$2 &amp; "*")</f>
        <v>1</v>
      </c>
      <c r="BP22" s="190">
        <f t="shared" si="9"/>
        <v>1</v>
      </c>
      <c r="BQ22" s="190">
        <f t="shared" si="9"/>
        <v>1</v>
      </c>
      <c r="BR22" s="163">
        <f t="shared" ref="BR22:BS22" si="10">countif($C22:$BM23,"*" &amp; BR$2 &amp; "*")</f>
        <v>0</v>
      </c>
      <c r="BS22" s="163">
        <f t="shared" si="10"/>
        <v>32</v>
      </c>
      <c r="BT22" s="132"/>
      <c r="BU22" s="132"/>
      <c r="BV22" s="132"/>
      <c r="BW22" s="397"/>
      <c r="BY22" s="28"/>
      <c r="BZ22" s="28"/>
      <c r="CA22" s="28"/>
      <c r="CB22" s="28"/>
    </row>
    <row r="23" ht="19.5" customHeight="1">
      <c r="A23" s="96"/>
      <c r="B23" s="35" t="s">
        <v>341</v>
      </c>
      <c r="C23" s="87"/>
      <c r="D23" s="87"/>
      <c r="E23" s="87"/>
      <c r="F23" s="87"/>
      <c r="G23" s="87"/>
      <c r="H23" s="87"/>
      <c r="I23" s="87"/>
      <c r="J23" s="86"/>
      <c r="K23" s="112"/>
      <c r="L23" s="45" t="s">
        <v>341</v>
      </c>
      <c r="M23" s="112"/>
      <c r="N23" s="112"/>
      <c r="O23" s="112"/>
      <c r="P23" s="112"/>
      <c r="Q23" s="112"/>
      <c r="R23" s="112"/>
      <c r="S23" s="112"/>
      <c r="T23" s="112"/>
      <c r="U23" s="399"/>
      <c r="V23" s="399"/>
      <c r="W23" s="132"/>
      <c r="X23" s="198"/>
      <c r="Y23" s="45" t="s">
        <v>341</v>
      </c>
      <c r="Z23" s="85"/>
      <c r="AA23" s="86"/>
      <c r="AB23" s="85"/>
      <c r="AC23" s="86"/>
      <c r="AD23" s="85"/>
      <c r="AE23" s="86"/>
      <c r="AF23" s="85"/>
      <c r="AG23" s="86"/>
      <c r="AH23" s="210"/>
      <c r="AI23" s="45" t="s">
        <v>341</v>
      </c>
      <c r="AJ23" s="87"/>
      <c r="AK23" s="87"/>
      <c r="AL23" s="87"/>
      <c r="AM23" s="87"/>
      <c r="AN23" s="87"/>
      <c r="AO23" s="87"/>
      <c r="AP23" s="87"/>
      <c r="AQ23" s="86"/>
      <c r="AR23" s="210"/>
      <c r="AS23" s="45" t="s">
        <v>341</v>
      </c>
      <c r="AT23" s="85"/>
      <c r="AU23" s="87"/>
      <c r="AV23" s="87"/>
      <c r="AW23" s="87"/>
      <c r="AX23" s="87"/>
      <c r="AY23" s="87"/>
      <c r="AZ23" s="87"/>
      <c r="BA23" s="86"/>
      <c r="BB23" s="112"/>
      <c r="BC23" s="35" t="s">
        <v>341</v>
      </c>
      <c r="BD23" s="112"/>
      <c r="BE23" s="112"/>
      <c r="BF23" s="112"/>
      <c r="BG23" s="258"/>
      <c r="BH23" s="112"/>
      <c r="BI23" s="112"/>
      <c r="BL23" s="86"/>
      <c r="BM23" s="368"/>
      <c r="BN23" s="213" t="s">
        <v>341</v>
      </c>
      <c r="BO23" s="86"/>
      <c r="BP23" s="86"/>
      <c r="BQ23" s="86"/>
      <c r="BR23" s="86"/>
      <c r="BS23" s="86"/>
      <c r="BT23" s="86"/>
      <c r="BU23" s="86"/>
      <c r="BV23" s="86"/>
      <c r="BW23" s="28"/>
      <c r="BY23" s="28"/>
      <c r="BZ23" s="28"/>
      <c r="CA23" s="28"/>
      <c r="CB23" s="28"/>
    </row>
    <row r="24" ht="22.5" customHeight="1">
      <c r="A24" s="96"/>
      <c r="B24" s="35" t="s">
        <v>342</v>
      </c>
      <c r="C24" s="28"/>
      <c r="D24" s="28"/>
      <c r="E24" s="28"/>
      <c r="F24" s="28"/>
      <c r="G24" s="28"/>
      <c r="H24" s="28"/>
      <c r="I24" s="28"/>
      <c r="J24" s="132"/>
      <c r="K24" s="198"/>
      <c r="L24" s="45" t="s">
        <v>342</v>
      </c>
      <c r="M24" s="329"/>
      <c r="N24" s="329"/>
      <c r="O24" s="150" t="s">
        <v>680</v>
      </c>
      <c r="P24" s="150" t="s">
        <v>681</v>
      </c>
      <c r="Q24" s="232" t="s">
        <v>682</v>
      </c>
      <c r="R24" s="232" t="s">
        <v>683</v>
      </c>
      <c r="S24" s="329"/>
      <c r="T24" s="329"/>
      <c r="U24" s="363" t="s">
        <v>684</v>
      </c>
      <c r="V24" s="363" t="s">
        <v>685</v>
      </c>
      <c r="W24" s="132"/>
      <c r="X24" s="198"/>
      <c r="Y24" s="45" t="s">
        <v>342</v>
      </c>
      <c r="Z24" s="435"/>
      <c r="AA24" s="436"/>
      <c r="AB24" s="436"/>
      <c r="AC24" s="436"/>
      <c r="AD24" s="365" t="s">
        <v>687</v>
      </c>
      <c r="AE24" s="46"/>
      <c r="AF24" s="228" t="s">
        <v>689</v>
      </c>
      <c r="AG24" s="46"/>
      <c r="AH24" s="210"/>
      <c r="AI24" s="45" t="s">
        <v>342</v>
      </c>
      <c r="AJ24" s="28"/>
      <c r="AK24" s="28"/>
      <c r="AP24" s="28"/>
      <c r="AQ24" s="28"/>
      <c r="AR24" s="170"/>
      <c r="AS24" s="35" t="s">
        <v>342</v>
      </c>
      <c r="AT24" s="259" t="s">
        <v>690</v>
      </c>
      <c r="AU24" s="61"/>
      <c r="AV24" s="61"/>
      <c r="AW24" s="61"/>
      <c r="AX24" s="61"/>
      <c r="AY24" s="61"/>
      <c r="AZ24" s="61"/>
      <c r="BA24" s="46"/>
      <c r="BB24" s="156" t="s">
        <v>571</v>
      </c>
      <c r="BC24" s="35" t="s">
        <v>342</v>
      </c>
      <c r="BD24" s="385" t="s">
        <v>693</v>
      </c>
      <c r="BE24" s="385" t="s">
        <v>695</v>
      </c>
      <c r="BF24" s="149" t="s">
        <v>696</v>
      </c>
      <c r="BG24" s="258"/>
      <c r="BH24" s="150" t="s">
        <v>699</v>
      </c>
      <c r="BI24" s="150" t="s">
        <v>701</v>
      </c>
      <c r="BJ24" s="149" t="s">
        <v>702</v>
      </c>
      <c r="BK24" s="149" t="s">
        <v>703</v>
      </c>
      <c r="BL24" s="121"/>
      <c r="BM24" s="368"/>
      <c r="BN24" s="213" t="s">
        <v>342</v>
      </c>
      <c r="BO24" s="163">
        <f t="shared" ref="BO24:BQ24" si="11">countif($C24:$BM25,"*" &amp; BO$2 &amp; "*")</f>
        <v>0</v>
      </c>
      <c r="BP24" s="163">
        <f t="shared" si="11"/>
        <v>0</v>
      </c>
      <c r="BQ24" s="163">
        <f t="shared" si="11"/>
        <v>0</v>
      </c>
      <c r="BR24" s="163">
        <f t="shared" ref="BR24:BS24" si="12">countif($C24:$BL25,"*" &amp; BR$2 &amp; "*")</f>
        <v>0</v>
      </c>
      <c r="BS24" s="163">
        <f t="shared" si="12"/>
        <v>28</v>
      </c>
      <c r="BT24" s="132"/>
      <c r="BU24" s="132"/>
      <c r="BV24" s="132"/>
      <c r="BW24" s="397"/>
      <c r="BY24" s="28"/>
      <c r="BZ24" s="28"/>
      <c r="CA24" s="28"/>
      <c r="CB24" s="28"/>
    </row>
    <row r="25" ht="20.25" customHeight="1">
      <c r="A25" s="96"/>
      <c r="B25" s="35" t="s">
        <v>369</v>
      </c>
      <c r="C25" s="28"/>
      <c r="D25" s="28"/>
      <c r="E25" s="28"/>
      <c r="F25" s="28"/>
      <c r="G25" s="28"/>
      <c r="H25" s="28"/>
      <c r="I25" s="28"/>
      <c r="J25" s="132"/>
      <c r="K25" s="198"/>
      <c r="L25" s="45" t="s">
        <v>369</v>
      </c>
      <c r="M25" s="329"/>
      <c r="N25" s="329"/>
      <c r="O25" s="96"/>
      <c r="P25" s="96"/>
      <c r="Q25" s="112"/>
      <c r="R25" s="112"/>
      <c r="S25" s="329"/>
      <c r="T25" s="329"/>
      <c r="U25" s="112"/>
      <c r="V25" s="112"/>
      <c r="W25" s="132"/>
      <c r="X25" s="198"/>
      <c r="Y25" s="45" t="s">
        <v>369</v>
      </c>
      <c r="Z25" s="435"/>
      <c r="AA25" s="436"/>
      <c r="AB25" s="436"/>
      <c r="AC25" s="436"/>
      <c r="AD25" s="85"/>
      <c r="AE25" s="86"/>
      <c r="AF25" s="85"/>
      <c r="AG25" s="86"/>
      <c r="AH25" s="210"/>
      <c r="AI25" s="447" t="s">
        <v>369</v>
      </c>
      <c r="AJ25" s="448"/>
      <c r="AK25" s="28"/>
      <c r="AP25" s="115"/>
      <c r="AQ25" s="115"/>
      <c r="AR25" s="170"/>
      <c r="AS25" s="35" t="s">
        <v>369</v>
      </c>
      <c r="AT25" s="85"/>
      <c r="AU25" s="87"/>
      <c r="AV25" s="87"/>
      <c r="AW25" s="87"/>
      <c r="AX25" s="87"/>
      <c r="AY25" s="87"/>
      <c r="AZ25" s="87"/>
      <c r="BA25" s="86"/>
      <c r="BB25" s="112"/>
      <c r="BC25" s="35" t="s">
        <v>369</v>
      </c>
      <c r="BD25" s="112"/>
      <c r="BE25" s="112"/>
      <c r="BF25" s="112"/>
      <c r="BG25" s="258"/>
      <c r="BH25" s="112"/>
      <c r="BI25" s="112"/>
      <c r="BJ25" s="112"/>
      <c r="BK25" s="112"/>
      <c r="BL25" s="390" t="s">
        <v>714</v>
      </c>
      <c r="BM25" s="198"/>
      <c r="BN25" s="213" t="s">
        <v>369</v>
      </c>
      <c r="BO25" s="86"/>
      <c r="BP25" s="86"/>
      <c r="BQ25" s="86"/>
      <c r="BR25" s="86"/>
      <c r="BS25" s="86"/>
      <c r="BT25" s="86"/>
      <c r="BU25" s="86"/>
      <c r="BV25" s="86"/>
      <c r="BW25" s="28"/>
      <c r="BY25" s="28"/>
      <c r="BZ25" s="28"/>
      <c r="CA25" s="28"/>
      <c r="CB25" s="28"/>
    </row>
    <row r="26">
      <c r="A26" s="96"/>
      <c r="B26" s="35" t="s">
        <v>375</v>
      </c>
      <c r="C26" s="28"/>
      <c r="D26" s="28"/>
      <c r="E26" s="28"/>
      <c r="F26" s="28"/>
      <c r="G26" s="28"/>
      <c r="H26" s="28"/>
      <c r="I26" s="28"/>
      <c r="J26" s="132"/>
      <c r="K26" s="198"/>
      <c r="L26" s="45" t="s">
        <v>375</v>
      </c>
      <c r="M26" s="232" t="s">
        <v>718</v>
      </c>
      <c r="N26" s="232" t="s">
        <v>720</v>
      </c>
      <c r="O26" s="112"/>
      <c r="P26" s="112"/>
      <c r="Q26" s="362" t="s">
        <v>722</v>
      </c>
      <c r="R26" s="362" t="s">
        <v>723</v>
      </c>
      <c r="S26" s="329"/>
      <c r="T26" s="329"/>
      <c r="U26" s="363" t="s">
        <v>724</v>
      </c>
      <c r="V26" s="363" t="s">
        <v>726</v>
      </c>
      <c r="W26" s="132"/>
      <c r="X26" s="198"/>
      <c r="Y26" s="45" t="s">
        <v>375</v>
      </c>
      <c r="Z26" s="435"/>
      <c r="AA26" s="436"/>
      <c r="AB26" s="436"/>
      <c r="AC26" s="436"/>
      <c r="AD26" s="436"/>
      <c r="AE26" s="436"/>
      <c r="AF26" s="436"/>
      <c r="AG26" s="452"/>
      <c r="AH26" s="210"/>
      <c r="AI26" s="447" t="s">
        <v>375</v>
      </c>
      <c r="AJ26" s="448"/>
      <c r="AK26" s="28"/>
      <c r="AL26" s="28"/>
      <c r="AM26" s="28"/>
      <c r="AN26" s="28"/>
      <c r="AO26" s="28"/>
      <c r="AP26" s="28"/>
      <c r="AQ26" s="28"/>
      <c r="AR26" s="210"/>
      <c r="AS26" s="45" t="s">
        <v>375</v>
      </c>
      <c r="AT26" s="454" t="s">
        <v>728</v>
      </c>
      <c r="AU26" s="46"/>
      <c r="AV26" s="228" t="s">
        <v>729</v>
      </c>
      <c r="AW26" s="46"/>
      <c r="AX26" s="365" t="s">
        <v>730</v>
      </c>
      <c r="AY26" s="46"/>
      <c r="AZ26" s="228" t="s">
        <v>731</v>
      </c>
      <c r="BA26" s="46"/>
      <c r="BB26" s="455"/>
      <c r="BC26" s="35" t="s">
        <v>375</v>
      </c>
      <c r="BD26" s="54"/>
      <c r="BE26" s="54"/>
      <c r="BG26" s="456"/>
      <c r="BH26" s="54"/>
      <c r="BI26" s="54"/>
      <c r="BJ26" s="385" t="s">
        <v>732</v>
      </c>
      <c r="BK26" s="385" t="s">
        <v>733</v>
      </c>
      <c r="BL26" s="106"/>
      <c r="BM26" s="198"/>
      <c r="BN26" s="213" t="s">
        <v>375</v>
      </c>
      <c r="BO26" s="163">
        <f t="shared" ref="BO26:BS26" si="13">countif($C26:$BM27,"*" &amp; BO$2 &amp; "*")</f>
        <v>0</v>
      </c>
      <c r="BP26" s="163">
        <f t="shared" si="13"/>
        <v>0</v>
      </c>
      <c r="BQ26" s="163">
        <f t="shared" si="13"/>
        <v>0</v>
      </c>
      <c r="BR26" s="163">
        <f t="shared" si="13"/>
        <v>0</v>
      </c>
      <c r="BS26" s="163">
        <f t="shared" si="13"/>
        <v>24</v>
      </c>
      <c r="BT26" s="132"/>
      <c r="BU26" s="132"/>
      <c r="BV26" s="132"/>
      <c r="BW26" s="28"/>
      <c r="BX26" s="28"/>
      <c r="BY26" s="28"/>
      <c r="BZ26" s="28"/>
      <c r="CA26" s="28"/>
      <c r="CB26" s="28"/>
    </row>
    <row r="27">
      <c r="A27" s="96"/>
      <c r="B27" s="35" t="s">
        <v>392</v>
      </c>
      <c r="C27" s="28"/>
      <c r="D27" s="28"/>
      <c r="E27" s="28"/>
      <c r="F27" s="28"/>
      <c r="G27" s="28"/>
      <c r="H27" s="28"/>
      <c r="I27" s="28"/>
      <c r="J27" s="132"/>
      <c r="K27" s="198"/>
      <c r="L27" s="45" t="s">
        <v>392</v>
      </c>
      <c r="M27" s="112"/>
      <c r="N27" s="112"/>
      <c r="O27" s="329"/>
      <c r="P27" s="329"/>
      <c r="Q27" s="362" t="s">
        <v>734</v>
      </c>
      <c r="R27" s="362" t="s">
        <v>735</v>
      </c>
      <c r="S27" s="329"/>
      <c r="T27" s="329"/>
      <c r="U27" s="96"/>
      <c r="V27" s="96"/>
      <c r="W27" s="132"/>
      <c r="X27" s="198"/>
      <c r="Y27" s="45" t="s">
        <v>392</v>
      </c>
      <c r="Z27" s="435"/>
      <c r="AA27" s="436"/>
      <c r="AB27" s="436"/>
      <c r="AC27" s="436"/>
      <c r="AD27" s="436"/>
      <c r="AE27" s="436"/>
      <c r="AF27" s="436"/>
      <c r="AG27" s="452"/>
      <c r="AH27" s="210"/>
      <c r="AI27" s="35" t="s">
        <v>392</v>
      </c>
      <c r="AJ27" s="115"/>
      <c r="AK27" s="115"/>
      <c r="AL27" s="115"/>
      <c r="AM27" s="115"/>
      <c r="AN27" s="115"/>
      <c r="AO27" s="115"/>
      <c r="AP27" s="115"/>
      <c r="AQ27" s="115"/>
      <c r="AR27" s="210"/>
      <c r="AS27" s="45" t="s">
        <v>392</v>
      </c>
      <c r="AT27" s="85"/>
      <c r="AU27" s="86"/>
      <c r="AV27" s="85"/>
      <c r="AW27" s="86"/>
      <c r="AX27" s="85"/>
      <c r="AY27" s="86"/>
      <c r="AZ27" s="85"/>
      <c r="BA27" s="86"/>
      <c r="BB27" s="112"/>
      <c r="BC27" s="35" t="s">
        <v>392</v>
      </c>
      <c r="BD27" s="54"/>
      <c r="BE27" s="54"/>
      <c r="BG27" s="456"/>
      <c r="BH27" s="54"/>
      <c r="BI27" s="54"/>
      <c r="BJ27" s="112"/>
      <c r="BK27" s="112"/>
      <c r="BL27" s="86"/>
      <c r="BM27" s="198"/>
      <c r="BN27" s="213" t="s">
        <v>392</v>
      </c>
      <c r="BO27" s="86"/>
      <c r="BP27" s="86"/>
      <c r="BQ27" s="86"/>
      <c r="BR27" s="86"/>
      <c r="BS27" s="86"/>
      <c r="BT27" s="86"/>
      <c r="BU27" s="86"/>
      <c r="BV27" s="86"/>
      <c r="BW27" s="28"/>
      <c r="BX27" s="28"/>
      <c r="BY27" s="28"/>
      <c r="BZ27" s="28"/>
      <c r="CA27" s="28"/>
      <c r="CB27" s="28"/>
    </row>
    <row r="28" ht="15.75" customHeight="1">
      <c r="A28" s="96"/>
      <c r="B28" s="35" t="s">
        <v>398</v>
      </c>
      <c r="C28" s="28"/>
      <c r="D28" s="28"/>
      <c r="E28" s="28"/>
      <c r="F28" s="28"/>
      <c r="G28" s="397" t="s">
        <v>10</v>
      </c>
      <c r="H28" s="28"/>
      <c r="I28" s="28"/>
      <c r="J28" s="132"/>
      <c r="K28" s="198"/>
      <c r="L28" s="45" t="s">
        <v>398</v>
      </c>
      <c r="M28" s="329"/>
      <c r="N28" s="329"/>
      <c r="O28" s="149" t="s">
        <v>746</v>
      </c>
      <c r="P28" s="149" t="s">
        <v>747</v>
      </c>
      <c r="Q28" s="329"/>
      <c r="R28" s="329"/>
      <c r="S28" s="329"/>
      <c r="T28" s="329"/>
      <c r="U28" s="363" t="s">
        <v>749</v>
      </c>
      <c r="V28" s="462" t="s">
        <v>751</v>
      </c>
      <c r="W28" s="132"/>
      <c r="X28" s="198"/>
      <c r="Y28" s="45" t="s">
        <v>398</v>
      </c>
      <c r="Z28" s="435"/>
      <c r="AA28" s="436"/>
      <c r="AB28" s="436"/>
      <c r="AC28" s="436"/>
      <c r="AD28" s="436"/>
      <c r="AE28" s="436"/>
      <c r="AF28" s="436"/>
      <c r="AG28" s="452"/>
      <c r="AH28" s="210"/>
      <c r="AI28" s="35" t="s">
        <v>398</v>
      </c>
      <c r="AJ28" s="28"/>
      <c r="AK28" s="28"/>
      <c r="AL28" s="28"/>
      <c r="AM28" s="28"/>
      <c r="AN28" s="28"/>
      <c r="AO28" s="28"/>
      <c r="AP28" s="28"/>
      <c r="AQ28" s="28"/>
      <c r="AR28" s="210"/>
      <c r="AS28" s="45" t="s">
        <v>398</v>
      </c>
      <c r="AT28" s="143"/>
      <c r="AU28" s="64"/>
      <c r="AV28" s="64"/>
      <c r="AW28" s="64"/>
      <c r="AX28" s="64"/>
      <c r="AY28" s="64"/>
      <c r="AZ28" s="64"/>
      <c r="BA28" s="66"/>
      <c r="BB28" s="210"/>
      <c r="BC28" s="35" t="s">
        <v>398</v>
      </c>
      <c r="BD28" s="54"/>
      <c r="BE28" s="54"/>
      <c r="BF28" s="54"/>
      <c r="BG28" s="456"/>
      <c r="BH28" s="54"/>
      <c r="BI28" s="54"/>
      <c r="BJ28" s="54"/>
      <c r="BK28" s="331"/>
      <c r="BL28" s="132"/>
      <c r="BM28" s="198"/>
      <c r="BN28" s="213" t="s">
        <v>398</v>
      </c>
      <c r="BO28" s="163">
        <f t="shared" ref="BO28:BS28" si="14">countif($C28:$BM29,"*" &amp; BO$2 &amp; "*")</f>
        <v>0</v>
      </c>
      <c r="BP28" s="163">
        <f t="shared" si="14"/>
        <v>0</v>
      </c>
      <c r="BQ28" s="163">
        <f t="shared" si="14"/>
        <v>0</v>
      </c>
      <c r="BR28" s="163">
        <f t="shared" si="14"/>
        <v>0</v>
      </c>
      <c r="BS28" s="163">
        <f t="shared" si="14"/>
        <v>14</v>
      </c>
      <c r="BT28" s="132"/>
      <c r="BU28" s="132"/>
      <c r="BV28" s="132"/>
      <c r="BW28" s="28"/>
      <c r="BX28" s="28"/>
      <c r="BY28" s="28"/>
      <c r="BZ28" s="28"/>
      <c r="CA28" s="28"/>
      <c r="CB28" s="28"/>
    </row>
    <row r="29" ht="15.75" customHeight="1">
      <c r="A29" s="112"/>
      <c r="B29" s="35" t="s">
        <v>408</v>
      </c>
      <c r="C29" s="28"/>
      <c r="D29" s="28"/>
      <c r="E29" s="28"/>
      <c r="F29" s="28"/>
      <c r="G29" s="28"/>
      <c r="H29" s="28"/>
      <c r="I29" s="28"/>
      <c r="J29" s="132"/>
      <c r="K29" s="308"/>
      <c r="L29" s="45" t="s">
        <v>408</v>
      </c>
      <c r="M29" s="466"/>
      <c r="N29" s="466"/>
      <c r="O29" s="112"/>
      <c r="P29" s="112"/>
      <c r="Q29" s="466"/>
      <c r="R29" s="466"/>
      <c r="S29" s="466"/>
      <c r="T29" s="466"/>
      <c r="U29" s="112"/>
      <c r="V29" s="112"/>
      <c r="W29" s="121"/>
      <c r="X29" s="308"/>
      <c r="Y29" s="45" t="s">
        <v>408</v>
      </c>
      <c r="Z29" s="467"/>
      <c r="AA29" s="468"/>
      <c r="AB29" s="468"/>
      <c r="AC29" s="468"/>
      <c r="AD29" s="468"/>
      <c r="AE29" s="468"/>
      <c r="AF29" s="468"/>
      <c r="AG29" s="469"/>
      <c r="AH29" s="312"/>
      <c r="AI29" s="35" t="s">
        <v>408</v>
      </c>
      <c r="AJ29" s="115"/>
      <c r="AK29" s="115"/>
      <c r="AL29" s="115"/>
      <c r="AM29" s="115"/>
      <c r="AN29" s="115"/>
      <c r="AO29" s="115"/>
      <c r="AP29" s="115"/>
      <c r="AQ29" s="115"/>
      <c r="AR29" s="312"/>
      <c r="AS29" s="45" t="s">
        <v>408</v>
      </c>
      <c r="AT29" s="347"/>
      <c r="AU29" s="348"/>
      <c r="AV29" s="348"/>
      <c r="AW29" s="348"/>
      <c r="AX29" s="348"/>
      <c r="AY29" s="348"/>
      <c r="AZ29" s="348"/>
      <c r="BA29" s="349"/>
      <c r="BB29" s="312"/>
      <c r="BC29" s="35" t="s">
        <v>408</v>
      </c>
      <c r="BD29" s="229"/>
      <c r="BE29" s="229"/>
      <c r="BF29" s="229"/>
      <c r="BG29" s="319"/>
      <c r="BH29" s="229"/>
      <c r="BI29" s="229"/>
      <c r="BJ29" s="229"/>
      <c r="BK29" s="471"/>
      <c r="BL29" s="121"/>
      <c r="BM29" s="308"/>
      <c r="BN29" s="213" t="s">
        <v>408</v>
      </c>
      <c r="BO29" s="86"/>
      <c r="BP29" s="86"/>
      <c r="BQ29" s="86"/>
      <c r="BR29" s="86"/>
      <c r="BS29" s="86"/>
      <c r="BT29" s="86"/>
      <c r="BU29" s="86"/>
      <c r="BV29" s="86"/>
      <c r="BW29" s="28"/>
      <c r="BX29" s="28"/>
      <c r="BY29" s="28"/>
      <c r="BZ29" s="28"/>
      <c r="CA29" s="28"/>
      <c r="CB29" s="28"/>
    </row>
    <row r="30">
      <c r="A30" s="319"/>
      <c r="B30" s="95"/>
      <c r="C30" s="323"/>
      <c r="D30" s="323"/>
      <c r="E30" s="323"/>
      <c r="F30" s="323"/>
      <c r="G30" s="323"/>
      <c r="H30" s="323"/>
      <c r="I30" s="323"/>
      <c r="J30" s="323"/>
      <c r="K30" s="308"/>
      <c r="L30" s="95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95"/>
      <c r="X30" s="308"/>
      <c r="Y30" s="95"/>
      <c r="Z30" s="323"/>
      <c r="AA30" s="323"/>
      <c r="AB30" s="323"/>
      <c r="AC30" s="323"/>
      <c r="AD30" s="323"/>
      <c r="AE30" s="323"/>
      <c r="AF30" s="323"/>
      <c r="AG30" s="95"/>
      <c r="AH30" s="312"/>
      <c r="AI30" s="95"/>
      <c r="AJ30" s="323"/>
      <c r="AK30" s="323"/>
      <c r="AL30" s="323"/>
      <c r="AM30" s="323"/>
      <c r="AN30" s="323"/>
      <c r="AO30" s="323"/>
      <c r="AP30" s="323"/>
      <c r="AQ30" s="323"/>
      <c r="AR30" s="312"/>
      <c r="AS30" s="95"/>
      <c r="AT30" s="323"/>
      <c r="AU30" s="323"/>
      <c r="AV30" s="323"/>
      <c r="AW30" s="323"/>
      <c r="AX30" s="323"/>
      <c r="AY30" s="323"/>
      <c r="AZ30" s="323"/>
      <c r="BA30" s="323"/>
      <c r="BB30" s="312"/>
      <c r="BC30" s="95"/>
      <c r="BD30" s="327"/>
      <c r="BE30" s="4"/>
      <c r="BF30" s="5"/>
      <c r="BG30" s="95"/>
      <c r="BH30" s="323"/>
      <c r="BI30" s="323"/>
      <c r="BJ30" s="323"/>
      <c r="BK30" s="323"/>
      <c r="BL30" s="95"/>
      <c r="BM30" s="308"/>
      <c r="BN30" s="95"/>
      <c r="BO30" s="95"/>
      <c r="BP30" s="95"/>
      <c r="BQ30" s="95"/>
      <c r="BR30" s="95"/>
      <c r="BS30" s="95"/>
      <c r="BT30" s="95"/>
      <c r="BU30" s="95"/>
      <c r="BV30" s="95"/>
      <c r="BW30" s="28"/>
      <c r="BX30" s="28"/>
      <c r="BY30" s="28"/>
      <c r="BZ30" s="28"/>
      <c r="CA30" s="28"/>
      <c r="CB30" s="28"/>
    </row>
    <row r="31">
      <c r="A31" s="107" t="s">
        <v>552</v>
      </c>
      <c r="B31" s="109">
        <v>42591.0</v>
      </c>
      <c r="C31" s="111"/>
      <c r="D31" s="111"/>
      <c r="E31" s="111"/>
      <c r="F31" s="111"/>
      <c r="G31" s="111"/>
      <c r="H31" s="111"/>
      <c r="I31" s="111"/>
      <c r="J31" s="111"/>
      <c r="K31" s="113"/>
      <c r="L31" s="109">
        <v>42591.0</v>
      </c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32"/>
      <c r="X31" s="113"/>
      <c r="Y31" s="109">
        <v>42591.0</v>
      </c>
      <c r="Z31" s="115"/>
      <c r="AA31" s="115"/>
      <c r="AB31" s="115"/>
      <c r="AC31" s="115"/>
      <c r="AD31" s="115"/>
      <c r="AE31" s="115"/>
      <c r="AF31" s="115"/>
      <c r="AG31" s="121"/>
      <c r="AH31" s="124"/>
      <c r="AI31" s="109">
        <v>42591.0</v>
      </c>
      <c r="AJ31" s="28"/>
      <c r="AK31" s="28"/>
      <c r="AL31" s="28"/>
      <c r="AM31" s="28"/>
      <c r="AN31" s="28"/>
      <c r="AO31" s="28"/>
      <c r="AP31" s="28"/>
      <c r="AQ31" s="28"/>
      <c r="AR31" s="124"/>
      <c r="AS31" s="109">
        <v>42591.0</v>
      </c>
      <c r="AT31" s="28"/>
      <c r="AU31" s="28"/>
      <c r="AV31" s="28"/>
      <c r="AW31" s="28"/>
      <c r="AX31" s="28"/>
      <c r="AY31" s="28"/>
      <c r="AZ31" s="28"/>
      <c r="BA31" s="28"/>
      <c r="BB31" s="124"/>
      <c r="BC31" s="109">
        <v>42591.0</v>
      </c>
      <c r="BD31" s="28"/>
      <c r="BE31" s="28"/>
      <c r="BF31" s="28"/>
      <c r="BG31" s="330"/>
      <c r="BH31" s="28"/>
      <c r="BI31" s="28"/>
      <c r="BJ31" s="28"/>
      <c r="BK31" s="28"/>
      <c r="BL31" s="121"/>
      <c r="BM31" s="113"/>
      <c r="BN31" s="136">
        <v>42591.0</v>
      </c>
      <c r="BO31" s="121"/>
      <c r="BP31" s="121"/>
      <c r="BQ31" s="121"/>
      <c r="BR31" s="121"/>
      <c r="BS31" s="121"/>
      <c r="BT31" s="121"/>
      <c r="BU31" s="121"/>
      <c r="BV31" s="121"/>
      <c r="BW31" s="28"/>
      <c r="BX31" s="28"/>
      <c r="BY31" s="28"/>
      <c r="BZ31" s="28"/>
      <c r="CA31" s="28"/>
      <c r="CB31" s="28"/>
    </row>
    <row r="32">
      <c r="A32" s="96"/>
      <c r="B32" s="472">
        <v>42623.0</v>
      </c>
      <c r="C32" s="201" t="s">
        <v>756</v>
      </c>
      <c r="D32" s="201" t="s">
        <v>757</v>
      </c>
      <c r="E32" s="201" t="s">
        <v>758</v>
      </c>
      <c r="F32" s="462" t="s">
        <v>759</v>
      </c>
      <c r="G32" s="201" t="s">
        <v>760</v>
      </c>
      <c r="H32" s="462" t="s">
        <v>761</v>
      </c>
      <c r="I32" s="473"/>
      <c r="J32" s="473"/>
      <c r="K32" s="113"/>
      <c r="L32" s="109">
        <v>42623.0</v>
      </c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21"/>
      <c r="X32" s="113"/>
      <c r="Y32" s="109">
        <v>42623.0</v>
      </c>
      <c r="Z32" s="371" t="s">
        <v>763</v>
      </c>
      <c r="AG32" s="106"/>
      <c r="AH32" s="475" t="s">
        <v>282</v>
      </c>
      <c r="AI32" s="109">
        <v>42623.0</v>
      </c>
      <c r="AJ32" s="122" t="s">
        <v>766</v>
      </c>
      <c r="AK32" s="61"/>
      <c r="AL32" s="61"/>
      <c r="AM32" s="61"/>
      <c r="AN32" s="61"/>
      <c r="AO32" s="61"/>
      <c r="AP32" s="61"/>
      <c r="AQ32" s="46"/>
      <c r="AR32" s="476" t="s">
        <v>281</v>
      </c>
      <c r="AS32" s="109">
        <v>42623.0</v>
      </c>
      <c r="AT32" s="149" t="s">
        <v>771</v>
      </c>
      <c r="AU32" s="149" t="s">
        <v>773</v>
      </c>
      <c r="AV32" s="28"/>
      <c r="AW32" s="28"/>
      <c r="AX32" s="363" t="s">
        <v>774</v>
      </c>
      <c r="AY32" s="363" t="s">
        <v>775</v>
      </c>
      <c r="AZ32" s="481" t="s">
        <v>776</v>
      </c>
      <c r="BA32" s="481" t="s">
        <v>777</v>
      </c>
      <c r="BB32" s="124"/>
      <c r="BC32" s="109">
        <v>42623.0</v>
      </c>
      <c r="BD32" s="28"/>
      <c r="BE32" s="28"/>
      <c r="BF32" s="149" t="s">
        <v>782</v>
      </c>
      <c r="BG32" s="482"/>
      <c r="BH32" s="483" t="s">
        <v>784</v>
      </c>
      <c r="BI32" s="46"/>
      <c r="BJ32" s="201" t="s">
        <v>787</v>
      </c>
      <c r="BK32" s="46"/>
      <c r="BL32" s="157" t="s">
        <v>790</v>
      </c>
      <c r="BM32" s="198"/>
      <c r="BN32" s="136">
        <v>42623.0</v>
      </c>
      <c r="BO32" s="163">
        <f t="shared" ref="BO32:BS32" si="15">countif($C32:$BM33,"*" &amp; BO$2 &amp; "*")</f>
        <v>1</v>
      </c>
      <c r="BP32" s="163">
        <f t="shared" si="15"/>
        <v>1</v>
      </c>
      <c r="BQ32" s="163">
        <f t="shared" si="15"/>
        <v>0</v>
      </c>
      <c r="BR32" s="163">
        <f t="shared" si="15"/>
        <v>0</v>
      </c>
      <c r="BS32" s="163">
        <f t="shared" si="15"/>
        <v>22</v>
      </c>
      <c r="BT32" s="132"/>
      <c r="BU32" s="132"/>
      <c r="BV32" s="132"/>
      <c r="BW32" s="28"/>
      <c r="BX32" s="28"/>
      <c r="BY32" s="28"/>
      <c r="BZ32" s="28"/>
      <c r="CA32" s="28"/>
      <c r="CB32" s="28"/>
    </row>
    <row r="33">
      <c r="A33" s="96"/>
      <c r="B33" s="499">
        <v>42654.0</v>
      </c>
      <c r="C33" s="85"/>
      <c r="D33" s="85"/>
      <c r="E33" s="85"/>
      <c r="F33" s="112"/>
      <c r="G33" s="85"/>
      <c r="H33" s="112"/>
      <c r="I33" s="473"/>
      <c r="J33" s="473"/>
      <c r="K33" s="177"/>
      <c r="L33" s="168">
        <v>42654.0</v>
      </c>
      <c r="M33" s="111"/>
      <c r="N33" s="111"/>
      <c r="O33" s="111"/>
      <c r="P33" s="111"/>
      <c r="Q33" s="111"/>
      <c r="T33" s="111"/>
      <c r="U33" s="111"/>
      <c r="V33" s="111"/>
      <c r="W33" s="390"/>
      <c r="X33" s="177"/>
      <c r="Y33" s="168">
        <v>42654.0</v>
      </c>
      <c r="Z33" s="87"/>
      <c r="AA33" s="87"/>
      <c r="AB33" s="87"/>
      <c r="AC33" s="87"/>
      <c r="AD33" s="87"/>
      <c r="AE33" s="87"/>
      <c r="AF33" s="87"/>
      <c r="AG33" s="86"/>
      <c r="AH33" s="112"/>
      <c r="AI33" s="168">
        <v>42654.0</v>
      </c>
      <c r="AJ33" s="85"/>
      <c r="AK33" s="87"/>
      <c r="AL33" s="87"/>
      <c r="AM33" s="87"/>
      <c r="AN33" s="87"/>
      <c r="AO33" s="87"/>
      <c r="AP33" s="87"/>
      <c r="AQ33" s="86"/>
      <c r="AR33" s="112"/>
      <c r="AS33" s="168">
        <v>42654.0</v>
      </c>
      <c r="AT33" s="112"/>
      <c r="AU33" s="112"/>
      <c r="AV33" s="362" t="s">
        <v>794</v>
      </c>
      <c r="AW33" s="362" t="s">
        <v>794</v>
      </c>
      <c r="AX33" s="112"/>
      <c r="AY33" s="112"/>
      <c r="AZ33" s="112"/>
      <c r="BA33" s="112"/>
      <c r="BB33" s="170"/>
      <c r="BC33" s="168">
        <v>42654.0</v>
      </c>
      <c r="BD33" s="28"/>
      <c r="BE33" s="28"/>
      <c r="BF33" s="112"/>
      <c r="BG33" s="482"/>
      <c r="BH33" s="85"/>
      <c r="BI33" s="86"/>
      <c r="BJ33" s="85"/>
      <c r="BK33" s="86"/>
      <c r="BL33" s="112"/>
      <c r="BM33" s="198"/>
      <c r="BN33" s="172">
        <v>42654.0</v>
      </c>
      <c r="BO33" s="86"/>
      <c r="BP33" s="86"/>
      <c r="BQ33" s="86"/>
      <c r="BR33" s="86"/>
      <c r="BS33" s="86"/>
      <c r="BT33" s="86"/>
      <c r="BU33" s="86"/>
      <c r="BV33" s="86"/>
      <c r="BW33" s="28"/>
      <c r="BX33" s="28"/>
      <c r="BY33" s="28"/>
      <c r="BZ33" s="28"/>
      <c r="CA33" s="28"/>
      <c r="CB33" s="28"/>
    </row>
    <row r="34" ht="23.25" customHeight="1">
      <c r="A34" s="96"/>
      <c r="B34" s="499">
        <v>42686.0</v>
      </c>
      <c r="C34" s="503" t="s">
        <v>795</v>
      </c>
      <c r="D34" s="503" t="s">
        <v>798</v>
      </c>
      <c r="E34" s="462" t="s">
        <v>649</v>
      </c>
      <c r="F34" s="201" t="s">
        <v>801</v>
      </c>
      <c r="G34" s="149" t="s">
        <v>802</v>
      </c>
      <c r="H34" s="385" t="s">
        <v>803</v>
      </c>
      <c r="I34" s="507" t="s">
        <v>804</v>
      </c>
      <c r="J34" s="507" t="s">
        <v>760</v>
      </c>
      <c r="K34" s="177"/>
      <c r="L34" s="168">
        <v>42686.0</v>
      </c>
      <c r="X34" s="508"/>
      <c r="Y34" s="168">
        <v>42686.0</v>
      </c>
      <c r="Z34" s="371" t="s">
        <v>805</v>
      </c>
      <c r="AG34" s="106"/>
      <c r="AH34" s="475" t="s">
        <v>282</v>
      </c>
      <c r="AI34" s="168">
        <v>42686.0</v>
      </c>
      <c r="AJ34" s="509" t="s">
        <v>807</v>
      </c>
      <c r="AQ34" s="106"/>
      <c r="AR34" s="476" t="s">
        <v>281</v>
      </c>
      <c r="AS34" s="499">
        <v>42686.0</v>
      </c>
      <c r="AT34" s="362" t="s">
        <v>808</v>
      </c>
      <c r="AU34" s="362" t="s">
        <v>809</v>
      </c>
      <c r="AV34" s="150" t="s">
        <v>810</v>
      </c>
      <c r="AW34" s="150" t="s">
        <v>811</v>
      </c>
      <c r="AX34" s="399" t="s">
        <v>794</v>
      </c>
      <c r="AY34" s="399" t="s">
        <v>794</v>
      </c>
      <c r="AZ34" s="149" t="s">
        <v>812</v>
      </c>
      <c r="BA34" s="149" t="s">
        <v>813</v>
      </c>
      <c r="BB34" s="170"/>
      <c r="BC34" s="168">
        <v>42686.0</v>
      </c>
      <c r="BD34" s="483" t="s">
        <v>814</v>
      </c>
      <c r="BE34" s="61"/>
      <c r="BF34" s="46"/>
      <c r="BG34" s="512"/>
      <c r="BH34" s="515" t="s">
        <v>816</v>
      </c>
      <c r="BI34" s="46"/>
      <c r="BJ34" s="483"/>
      <c r="BK34" s="46"/>
      <c r="BM34" s="113"/>
      <c r="BN34" s="172">
        <v>42686.0</v>
      </c>
      <c r="BO34" s="163">
        <f t="shared" ref="BO34:BS34" si="16">countif($C34:$BM35,"*" &amp; BO$2 &amp; "*")</f>
        <v>1</v>
      </c>
      <c r="BP34" s="163">
        <f t="shared" si="16"/>
        <v>1</v>
      </c>
      <c r="BQ34" s="163">
        <f t="shared" si="16"/>
        <v>0</v>
      </c>
      <c r="BR34" s="163">
        <f t="shared" si="16"/>
        <v>0</v>
      </c>
      <c r="BS34" s="163">
        <f t="shared" si="16"/>
        <v>30</v>
      </c>
      <c r="BT34" s="132"/>
      <c r="BU34" s="132"/>
      <c r="BV34" s="132"/>
      <c r="BW34" s="28"/>
      <c r="BX34" s="28"/>
      <c r="BY34" s="28"/>
      <c r="BZ34" s="28"/>
      <c r="CA34" s="28"/>
      <c r="CB34" s="28"/>
    </row>
    <row r="35" ht="23.25" customHeight="1">
      <c r="A35" s="96"/>
      <c r="B35" s="499">
        <v>42717.0</v>
      </c>
      <c r="C35" s="503" t="s">
        <v>820</v>
      </c>
      <c r="D35" s="503" t="s">
        <v>821</v>
      </c>
      <c r="E35" s="112"/>
      <c r="F35" s="85"/>
      <c r="G35" s="112"/>
      <c r="H35" s="112"/>
      <c r="I35" s="149" t="s">
        <v>822</v>
      </c>
      <c r="J35" s="149" t="s">
        <v>823</v>
      </c>
      <c r="K35" s="177"/>
      <c r="L35" s="168">
        <v>42717.0</v>
      </c>
      <c r="X35" s="96"/>
      <c r="Y35" s="168">
        <v>42717.0</v>
      </c>
      <c r="Z35" s="87"/>
      <c r="AA35" s="87"/>
      <c r="AB35" s="87"/>
      <c r="AC35" s="87"/>
      <c r="AD35" s="87"/>
      <c r="AE35" s="87"/>
      <c r="AF35" s="87"/>
      <c r="AG35" s="86"/>
      <c r="AH35" s="112"/>
      <c r="AI35" s="168">
        <v>42717.0</v>
      </c>
      <c r="AJ35" s="87"/>
      <c r="AK35" s="87"/>
      <c r="AL35" s="87"/>
      <c r="AM35" s="87"/>
      <c r="AN35" s="87"/>
      <c r="AO35" s="87"/>
      <c r="AP35" s="87"/>
      <c r="AQ35" s="86"/>
      <c r="AR35" s="112"/>
      <c r="AS35" s="519">
        <v>42717.0</v>
      </c>
      <c r="AT35" s="399" t="s">
        <v>794</v>
      </c>
      <c r="AU35" s="399" t="s">
        <v>794</v>
      </c>
      <c r="AV35" s="112"/>
      <c r="AW35" s="112"/>
      <c r="AX35" s="362" t="s">
        <v>825</v>
      </c>
      <c r="AY35" s="362" t="s">
        <v>826</v>
      </c>
      <c r="AZ35" s="112"/>
      <c r="BA35" s="112"/>
      <c r="BB35" s="170"/>
      <c r="BC35" s="168">
        <v>42717.0</v>
      </c>
      <c r="BD35" s="85"/>
      <c r="BE35" s="87"/>
      <c r="BF35" s="86"/>
      <c r="BG35" s="520"/>
      <c r="BH35" s="85"/>
      <c r="BI35" s="86"/>
      <c r="BJ35" s="85"/>
      <c r="BK35" s="86"/>
      <c r="BM35" s="177"/>
      <c r="BN35" s="172">
        <v>42717.0</v>
      </c>
      <c r="BO35" s="86"/>
      <c r="BP35" s="86"/>
      <c r="BQ35" s="86"/>
      <c r="BR35" s="86"/>
      <c r="BS35" s="86"/>
      <c r="BT35" s="86"/>
      <c r="BU35" s="86"/>
      <c r="BV35" s="86"/>
      <c r="BW35" s="28"/>
      <c r="BX35" s="28"/>
      <c r="BY35" s="28"/>
      <c r="BZ35" s="28"/>
      <c r="CA35" s="28"/>
      <c r="CB35" s="28"/>
    </row>
    <row r="36" ht="28.5" customHeight="1">
      <c r="A36" s="96"/>
      <c r="B36" s="35" t="s">
        <v>310</v>
      </c>
      <c r="C36" s="522" t="s">
        <v>829</v>
      </c>
      <c r="D36" s="523" t="s">
        <v>830</v>
      </c>
      <c r="E36" s="149" t="s">
        <v>831</v>
      </c>
      <c r="F36" s="385" t="s">
        <v>833</v>
      </c>
      <c r="G36" s="363" t="s">
        <v>835</v>
      </c>
      <c r="H36" s="363" t="s">
        <v>836</v>
      </c>
      <c r="I36" s="526" t="s">
        <v>838</v>
      </c>
      <c r="J36" s="526" t="s">
        <v>840</v>
      </c>
      <c r="K36" s="198"/>
      <c r="L36" s="45" t="s">
        <v>310</v>
      </c>
      <c r="M36" s="228" t="s">
        <v>843</v>
      </c>
      <c r="N36" s="46"/>
      <c r="O36" s="201" t="s">
        <v>846</v>
      </c>
      <c r="P36" s="46"/>
      <c r="Q36" s="228" t="s">
        <v>851</v>
      </c>
      <c r="R36" s="46"/>
      <c r="S36" s="528"/>
      <c r="T36" s="528"/>
      <c r="U36" s="228" t="s">
        <v>853</v>
      </c>
      <c r="V36" s="46"/>
      <c r="W36" s="530"/>
      <c r="X36" s="188"/>
      <c r="Y36" s="45" t="s">
        <v>310</v>
      </c>
      <c r="Z36" s="199" t="s">
        <v>854</v>
      </c>
      <c r="AA36" s="61"/>
      <c r="AB36" s="61"/>
      <c r="AC36" s="61"/>
      <c r="AD36" s="61"/>
      <c r="AE36" s="61"/>
      <c r="AF36" s="61"/>
      <c r="AG36" s="46"/>
      <c r="AH36" s="475" t="s">
        <v>282</v>
      </c>
      <c r="AI36" s="35" t="s">
        <v>310</v>
      </c>
      <c r="AJ36" s="509" t="s">
        <v>855</v>
      </c>
      <c r="AQ36" s="106"/>
      <c r="AR36" s="476" t="s">
        <v>281</v>
      </c>
      <c r="AS36" s="45" t="s">
        <v>310</v>
      </c>
      <c r="AT36" s="531" t="s">
        <v>856</v>
      </c>
      <c r="AU36" s="531" t="s">
        <v>857</v>
      </c>
      <c r="AV36" s="149" t="s">
        <v>858</v>
      </c>
      <c r="AW36" s="149" t="s">
        <v>859</v>
      </c>
      <c r="AX36" s="149" t="s">
        <v>861</v>
      </c>
      <c r="AY36" s="149" t="s">
        <v>863</v>
      </c>
      <c r="AZ36" s="28"/>
      <c r="BB36" s="210"/>
      <c r="BC36" s="45" t="s">
        <v>310</v>
      </c>
      <c r="BD36" s="122" t="s">
        <v>864</v>
      </c>
      <c r="BE36" s="61"/>
      <c r="BF36" s="61"/>
      <c r="BG36" s="61"/>
      <c r="BH36" s="61"/>
      <c r="BI36" s="61"/>
      <c r="BJ36" s="61"/>
      <c r="BK36" s="61"/>
      <c r="BL36" s="46"/>
      <c r="BM36" s="144" t="s">
        <v>283</v>
      </c>
      <c r="BN36" s="213" t="s">
        <v>310</v>
      </c>
      <c r="BO36" s="163">
        <f t="shared" ref="BO36:BS36" si="17">countif($C36:$BM37,"*" &amp; BO$2 &amp; "*")</f>
        <v>1</v>
      </c>
      <c r="BP36" s="163">
        <f t="shared" si="17"/>
        <v>1</v>
      </c>
      <c r="BQ36" s="163">
        <f t="shared" si="17"/>
        <v>1</v>
      </c>
      <c r="BR36" s="163">
        <f t="shared" si="17"/>
        <v>1</v>
      </c>
      <c r="BS36" s="163">
        <f t="shared" si="17"/>
        <v>34</v>
      </c>
      <c r="BT36" s="132"/>
      <c r="BU36" s="132"/>
      <c r="BV36" s="132"/>
      <c r="BW36" s="28"/>
      <c r="BX36" s="28"/>
      <c r="BY36" s="28"/>
      <c r="BZ36" s="28"/>
      <c r="CA36" s="28"/>
      <c r="CB36" s="28"/>
    </row>
    <row r="37" ht="11.25" customHeight="1">
      <c r="A37" s="96"/>
      <c r="B37" s="35" t="s">
        <v>341</v>
      </c>
      <c r="C37" s="112"/>
      <c r="D37" s="112"/>
      <c r="E37" s="112"/>
      <c r="F37" s="112"/>
      <c r="G37" s="112"/>
      <c r="H37" s="112"/>
      <c r="I37" s="112"/>
      <c r="J37" s="112"/>
      <c r="K37" s="198"/>
      <c r="L37" s="45" t="s">
        <v>341</v>
      </c>
      <c r="M37" s="85"/>
      <c r="N37" s="86"/>
      <c r="O37" s="85"/>
      <c r="P37" s="86"/>
      <c r="Q37" s="85"/>
      <c r="R37" s="86"/>
      <c r="S37" s="535"/>
      <c r="T37" s="528"/>
      <c r="U37" s="85"/>
      <c r="V37" s="86"/>
      <c r="W37" s="536"/>
      <c r="X37" s="188"/>
      <c r="Y37" s="45" t="s">
        <v>341</v>
      </c>
      <c r="Z37" s="87"/>
      <c r="AA37" s="87"/>
      <c r="AB37" s="87"/>
      <c r="AC37" s="87"/>
      <c r="AD37" s="87"/>
      <c r="AE37" s="87"/>
      <c r="AF37" s="87"/>
      <c r="AG37" s="86"/>
      <c r="AH37" s="112"/>
      <c r="AI37" s="35" t="s">
        <v>341</v>
      </c>
      <c r="AJ37" s="87"/>
      <c r="AK37" s="87"/>
      <c r="AL37" s="87"/>
      <c r="AM37" s="87"/>
      <c r="AN37" s="87"/>
      <c r="AO37" s="87"/>
      <c r="AP37" s="87"/>
      <c r="AQ37" s="86"/>
      <c r="AR37" s="112"/>
      <c r="AS37" s="45" t="s">
        <v>341</v>
      </c>
      <c r="AT37" s="112"/>
      <c r="AU37" s="112"/>
      <c r="AV37" s="112"/>
      <c r="AW37" s="112"/>
      <c r="AX37" s="112"/>
      <c r="AY37" s="112"/>
      <c r="AZ37" s="28"/>
      <c r="BB37" s="210"/>
      <c r="BC37" s="45" t="s">
        <v>341</v>
      </c>
      <c r="BD37" s="85"/>
      <c r="BE37" s="87"/>
      <c r="BF37" s="87"/>
      <c r="BG37" s="87"/>
      <c r="BH37" s="87"/>
      <c r="BI37" s="87"/>
      <c r="BJ37" s="87"/>
      <c r="BK37" s="87"/>
      <c r="BL37" s="86"/>
      <c r="BM37" s="112"/>
      <c r="BN37" s="213" t="s">
        <v>341</v>
      </c>
      <c r="BO37" s="86"/>
      <c r="BP37" s="86"/>
      <c r="BQ37" s="86"/>
      <c r="BR37" s="86"/>
      <c r="BS37" s="86"/>
      <c r="BT37" s="86"/>
      <c r="BU37" s="86"/>
      <c r="BV37" s="86"/>
      <c r="BW37" s="28"/>
      <c r="BX37" s="28"/>
      <c r="BY37" s="28"/>
      <c r="BZ37" s="28"/>
      <c r="CA37" s="28"/>
      <c r="CB37" s="28"/>
    </row>
    <row r="38">
      <c r="A38" s="96"/>
      <c r="B38" s="35" t="s">
        <v>342</v>
      </c>
      <c r="C38" s="473"/>
      <c r="D38" s="473"/>
      <c r="E38" s="526" t="s">
        <v>877</v>
      </c>
      <c r="F38" s="149" t="s">
        <v>878</v>
      </c>
      <c r="G38" s="539" t="s">
        <v>880</v>
      </c>
      <c r="H38" s="539" t="s">
        <v>881</v>
      </c>
      <c r="I38" s="149" t="s">
        <v>882</v>
      </c>
      <c r="J38" s="149" t="s">
        <v>883</v>
      </c>
      <c r="K38" s="198"/>
      <c r="L38" s="35" t="s">
        <v>342</v>
      </c>
      <c r="M38" s="199" t="s">
        <v>884</v>
      </c>
      <c r="N38" s="61"/>
      <c r="O38" s="61"/>
      <c r="P38" s="61"/>
      <c r="Q38" s="61"/>
      <c r="R38" s="61"/>
      <c r="S38" s="61"/>
      <c r="T38" s="61"/>
      <c r="U38" s="61"/>
      <c r="V38" s="61"/>
      <c r="W38" s="46"/>
      <c r="X38" s="540" t="s">
        <v>281</v>
      </c>
      <c r="Y38" s="45" t="s">
        <v>342</v>
      </c>
      <c r="Z38" s="228" t="s">
        <v>885</v>
      </c>
      <c r="AA38" s="46"/>
      <c r="AB38" s="228" t="s">
        <v>886</v>
      </c>
      <c r="AC38" s="46"/>
      <c r="AF38" s="28"/>
      <c r="AG38" s="132"/>
      <c r="AH38" s="541"/>
      <c r="AI38" s="45" t="s">
        <v>342</v>
      </c>
      <c r="AJ38" s="203"/>
      <c r="AK38" s="542"/>
      <c r="AL38" s="542"/>
      <c r="AM38" s="542"/>
      <c r="AP38" s="239"/>
      <c r="AQ38" s="542"/>
      <c r="AR38" s="210"/>
      <c r="AS38" s="45" t="s">
        <v>342</v>
      </c>
      <c r="AT38" s="28"/>
      <c r="AU38" s="28"/>
      <c r="AV38" s="385" t="s">
        <v>887</v>
      </c>
      <c r="AW38" s="385" t="s">
        <v>888</v>
      </c>
      <c r="AX38" s="149" t="s">
        <v>890</v>
      </c>
      <c r="AY38" s="149" t="s">
        <v>892</v>
      </c>
      <c r="AZ38" s="363" t="s">
        <v>893</v>
      </c>
      <c r="BA38" s="363" t="s">
        <v>894</v>
      </c>
      <c r="BB38" s="210"/>
      <c r="BC38" s="35" t="s">
        <v>342</v>
      </c>
      <c r="BD38" s="228" t="s">
        <v>896</v>
      </c>
      <c r="BE38" s="61"/>
      <c r="BF38" s="46"/>
      <c r="BG38" s="545"/>
      <c r="BH38" s="546" t="s">
        <v>898</v>
      </c>
      <c r="BI38" s="46"/>
      <c r="BJ38" s="228" t="s">
        <v>900</v>
      </c>
      <c r="BK38" s="46"/>
      <c r="BM38" s="548"/>
      <c r="BN38" s="213" t="s">
        <v>342</v>
      </c>
      <c r="BO38" s="163">
        <f t="shared" ref="BO38:BS38" si="18">countif($C38:$BM39,"*" &amp; BO$2 &amp; "*")</f>
        <v>1</v>
      </c>
      <c r="BP38" s="163">
        <f t="shared" si="18"/>
        <v>0</v>
      </c>
      <c r="BQ38" s="163">
        <f t="shared" si="18"/>
        <v>0</v>
      </c>
      <c r="BR38" s="163">
        <f t="shared" si="18"/>
        <v>0</v>
      </c>
      <c r="BS38" s="163">
        <f t="shared" si="18"/>
        <v>29</v>
      </c>
      <c r="BT38" s="132"/>
      <c r="BU38" s="132"/>
      <c r="BV38" s="132"/>
      <c r="BW38" s="28"/>
      <c r="BX38" s="28"/>
      <c r="BY38" s="28"/>
      <c r="BZ38" s="28"/>
      <c r="CA38" s="28"/>
      <c r="CB38" s="28"/>
    </row>
    <row r="39" ht="19.5" customHeight="1">
      <c r="A39" s="96"/>
      <c r="B39" s="35" t="s">
        <v>369</v>
      </c>
      <c r="C39" s="473"/>
      <c r="D39" s="473"/>
      <c r="E39" s="112"/>
      <c r="F39" s="112"/>
      <c r="G39" s="112"/>
      <c r="H39" s="112"/>
      <c r="I39" s="112"/>
      <c r="J39" s="112"/>
      <c r="K39" s="198"/>
      <c r="L39" s="35" t="s">
        <v>369</v>
      </c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6"/>
      <c r="X39" s="112"/>
      <c r="Y39" s="45" t="s">
        <v>369</v>
      </c>
      <c r="Z39" s="85"/>
      <c r="AA39" s="86"/>
      <c r="AB39" s="85"/>
      <c r="AC39" s="86"/>
      <c r="AF39" s="28"/>
      <c r="AG39" s="132"/>
      <c r="AH39" s="541"/>
      <c r="AI39" s="45" t="s">
        <v>369</v>
      </c>
      <c r="AJ39" s="288"/>
      <c r="AK39" s="239"/>
      <c r="AL39" s="239"/>
      <c r="AM39" s="239"/>
      <c r="AP39" s="239"/>
      <c r="AQ39" s="239"/>
      <c r="AR39" s="210"/>
      <c r="AS39" s="45" t="s">
        <v>369</v>
      </c>
      <c r="AT39" s="28"/>
      <c r="AU39" s="28"/>
      <c r="AV39" s="112"/>
      <c r="AW39" s="112"/>
      <c r="AX39" s="112"/>
      <c r="AY39" s="112"/>
      <c r="AZ39" s="112"/>
      <c r="BA39" s="112"/>
      <c r="BB39" s="210"/>
      <c r="BC39" s="35" t="s">
        <v>369</v>
      </c>
      <c r="BD39" s="85"/>
      <c r="BE39" s="87"/>
      <c r="BF39" s="86"/>
      <c r="BG39" s="545"/>
      <c r="BH39" s="85"/>
      <c r="BI39" s="86"/>
      <c r="BJ39" s="85"/>
      <c r="BK39" s="86"/>
      <c r="BM39" s="112"/>
      <c r="BN39" s="213" t="s">
        <v>369</v>
      </c>
      <c r="BO39" s="86"/>
      <c r="BP39" s="86"/>
      <c r="BQ39" s="86"/>
      <c r="BR39" s="86"/>
      <c r="BS39" s="86"/>
      <c r="BT39" s="86"/>
      <c r="BU39" s="86"/>
      <c r="BV39" s="86"/>
      <c r="BW39" s="28"/>
      <c r="BX39" s="28"/>
      <c r="BY39" s="28"/>
      <c r="BZ39" s="28"/>
      <c r="CA39" s="28"/>
      <c r="CB39" s="28"/>
    </row>
    <row r="40" ht="27.0" customHeight="1">
      <c r="A40" s="96"/>
      <c r="B40" s="35" t="s">
        <v>375</v>
      </c>
      <c r="C40" s="473"/>
      <c r="D40" s="473"/>
      <c r="E40" s="362" t="s">
        <v>906</v>
      </c>
      <c r="F40" s="362" t="s">
        <v>907</v>
      </c>
      <c r="G40" s="149" t="s">
        <v>908</v>
      </c>
      <c r="H40" s="385" t="s">
        <v>909</v>
      </c>
      <c r="I40" s="549" t="s">
        <v>910</v>
      </c>
      <c r="J40" s="549" t="s">
        <v>911</v>
      </c>
      <c r="K40" s="198"/>
      <c r="L40" s="45" t="s">
        <v>375</v>
      </c>
      <c r="M40" s="199" t="s">
        <v>912</v>
      </c>
      <c r="N40" s="61"/>
      <c r="O40" s="61"/>
      <c r="P40" s="61"/>
      <c r="Q40" s="61"/>
      <c r="R40" s="61"/>
      <c r="S40" s="61"/>
      <c r="T40" s="61"/>
      <c r="U40" s="61"/>
      <c r="V40" s="61"/>
      <c r="W40" s="46"/>
      <c r="X40" s="550" t="s">
        <v>281</v>
      </c>
      <c r="Y40" s="45" t="s">
        <v>375</v>
      </c>
      <c r="Z40" s="28"/>
      <c r="AA40" s="28"/>
      <c r="AB40" s="28"/>
      <c r="AC40" s="28"/>
      <c r="AF40" s="28"/>
      <c r="AG40" s="132"/>
      <c r="AH40" s="210"/>
      <c r="AI40" s="45" t="s">
        <v>375</v>
      </c>
      <c r="AJ40" s="288"/>
      <c r="AK40" s="239"/>
      <c r="AL40" s="239"/>
      <c r="AM40" s="239"/>
      <c r="AN40" s="239"/>
      <c r="AO40" s="239"/>
      <c r="AP40" s="239"/>
      <c r="AQ40" s="239"/>
      <c r="AR40" s="210"/>
      <c r="AS40" s="45" t="s">
        <v>375</v>
      </c>
      <c r="AT40" s="28"/>
      <c r="AU40" s="28"/>
      <c r="AV40" s="28"/>
      <c r="AW40" s="28"/>
      <c r="AX40" s="28"/>
      <c r="AY40" s="28"/>
      <c r="AZ40" s="385" t="s">
        <v>915</v>
      </c>
      <c r="BA40" s="385" t="s">
        <v>916</v>
      </c>
      <c r="BB40" s="210"/>
      <c r="BC40" s="35" t="s">
        <v>375</v>
      </c>
      <c r="BD40" s="435"/>
      <c r="BE40" s="436"/>
      <c r="BF40" s="413" t="s">
        <v>917</v>
      </c>
      <c r="BG40" s="456"/>
      <c r="BH40" s="435"/>
      <c r="BI40" s="436"/>
      <c r="BJ40" s="203" t="s">
        <v>919</v>
      </c>
      <c r="BK40" s="46"/>
      <c r="BL40" s="241"/>
      <c r="BM40" s="198"/>
      <c r="BN40" s="213" t="s">
        <v>375</v>
      </c>
      <c r="BO40" s="163">
        <f t="shared" ref="BO40:BS40" si="19">countif($C40:$BM41,"*" &amp; BO$2 &amp; "*")</f>
        <v>1</v>
      </c>
      <c r="BP40" s="163">
        <f t="shared" si="19"/>
        <v>0</v>
      </c>
      <c r="BQ40" s="163">
        <f t="shared" si="19"/>
        <v>0</v>
      </c>
      <c r="BR40" s="163">
        <f t="shared" si="19"/>
        <v>0</v>
      </c>
      <c r="BS40" s="163">
        <f t="shared" si="19"/>
        <v>26</v>
      </c>
      <c r="BT40" s="132"/>
      <c r="BU40" s="132"/>
      <c r="BV40" s="132"/>
      <c r="BW40" s="28"/>
      <c r="BX40" s="28"/>
      <c r="BY40" s="28"/>
      <c r="BZ40" s="28"/>
      <c r="CA40" s="28"/>
      <c r="CB40" s="28"/>
    </row>
    <row r="41" ht="21.0" customHeight="1">
      <c r="A41" s="96"/>
      <c r="B41" s="35" t="s">
        <v>392</v>
      </c>
      <c r="C41" s="473"/>
      <c r="D41" s="473"/>
      <c r="F41" s="473"/>
      <c r="G41" s="112"/>
      <c r="H41" s="112"/>
      <c r="I41" s="112"/>
      <c r="J41" s="112"/>
      <c r="K41" s="198"/>
      <c r="L41" s="45" t="s">
        <v>392</v>
      </c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6"/>
      <c r="X41" s="112"/>
      <c r="Y41" s="45" t="s">
        <v>392</v>
      </c>
      <c r="Z41" s="28"/>
      <c r="AA41" s="28"/>
      <c r="AB41" s="28"/>
      <c r="AC41" s="28"/>
      <c r="AF41" s="28"/>
      <c r="AG41" s="132"/>
      <c r="AH41" s="210"/>
      <c r="AI41" s="45" t="s">
        <v>392</v>
      </c>
      <c r="AJ41" s="288"/>
      <c r="AK41" s="239"/>
      <c r="AL41" s="239"/>
      <c r="AM41" s="239"/>
      <c r="AN41" s="239"/>
      <c r="AO41" s="239"/>
      <c r="AP41" s="239"/>
      <c r="AQ41" s="239"/>
      <c r="AR41" s="210"/>
      <c r="AS41" s="45" t="s">
        <v>392</v>
      </c>
      <c r="AT41" s="28"/>
      <c r="AU41" s="28"/>
      <c r="AV41" s="149" t="s">
        <v>922</v>
      </c>
      <c r="AW41" s="149" t="s">
        <v>923</v>
      </c>
      <c r="AX41" s="28"/>
      <c r="AY41" s="28"/>
      <c r="AZ41" s="556" t="s">
        <v>925</v>
      </c>
      <c r="BA41" s="556" t="s">
        <v>926</v>
      </c>
      <c r="BB41" s="210"/>
      <c r="BC41" s="35" t="s">
        <v>392</v>
      </c>
      <c r="BD41" s="435"/>
      <c r="BE41" s="436"/>
      <c r="BF41" s="112"/>
      <c r="BG41" s="456"/>
      <c r="BH41" s="435"/>
      <c r="BI41" s="436"/>
      <c r="BJ41" s="85"/>
      <c r="BK41" s="86"/>
      <c r="BL41" s="241"/>
      <c r="BM41" s="198"/>
      <c r="BN41" s="213" t="s">
        <v>392</v>
      </c>
      <c r="BO41" s="86"/>
      <c r="BP41" s="86"/>
      <c r="BQ41" s="86"/>
      <c r="BR41" s="86"/>
      <c r="BS41" s="86"/>
      <c r="BT41" s="86"/>
      <c r="BU41" s="86"/>
      <c r="BV41" s="86"/>
      <c r="BW41" s="28"/>
      <c r="BX41" s="28"/>
      <c r="BY41" s="28"/>
      <c r="BZ41" s="28"/>
      <c r="CA41" s="28"/>
      <c r="CB41" s="28"/>
    </row>
    <row r="42">
      <c r="A42" s="96"/>
      <c r="B42" s="35" t="s">
        <v>398</v>
      </c>
      <c r="C42" s="473"/>
      <c r="D42" s="473"/>
      <c r="F42" s="473"/>
      <c r="H42" s="473"/>
      <c r="I42" s="522" t="s">
        <v>928</v>
      </c>
      <c r="J42" s="523" t="s">
        <v>929</v>
      </c>
      <c r="K42" s="198"/>
      <c r="L42" s="45" t="s">
        <v>398</v>
      </c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558"/>
      <c r="X42" s="258"/>
      <c r="Y42" s="45" t="s">
        <v>398</v>
      </c>
      <c r="Z42" s="111"/>
      <c r="AA42" s="111"/>
      <c r="AB42" s="111"/>
      <c r="AC42" s="111"/>
      <c r="AD42" s="36"/>
      <c r="AE42" s="36"/>
      <c r="AF42" s="28"/>
      <c r="AG42" s="132"/>
      <c r="AH42" s="210"/>
      <c r="AI42" s="45" t="s">
        <v>398</v>
      </c>
      <c r="AJ42" s="288"/>
      <c r="AK42" s="239"/>
      <c r="AL42" s="239"/>
      <c r="AM42" s="239"/>
      <c r="AN42" s="239"/>
      <c r="AO42" s="239"/>
      <c r="AP42" s="239"/>
      <c r="AQ42" s="239"/>
      <c r="AR42" s="210"/>
      <c r="AS42" s="45" t="s">
        <v>398</v>
      </c>
      <c r="AT42" s="28"/>
      <c r="AU42" s="28"/>
      <c r="AV42" s="96"/>
      <c r="AW42" s="96"/>
      <c r="AX42" s="28"/>
      <c r="AZ42" s="363" t="s">
        <v>931</v>
      </c>
      <c r="BA42" s="363" t="s">
        <v>932</v>
      </c>
      <c r="BB42" s="210"/>
      <c r="BC42" s="35" t="s">
        <v>398</v>
      </c>
      <c r="BD42" s="561"/>
      <c r="BE42" s="561"/>
      <c r="BF42" s="562"/>
      <c r="BG42" s="456"/>
      <c r="BH42" s="435"/>
      <c r="BI42" s="436"/>
      <c r="BJ42" s="436"/>
      <c r="BK42" s="452"/>
      <c r="BL42" s="241"/>
      <c r="BM42" s="198"/>
      <c r="BN42" s="213" t="s">
        <v>398</v>
      </c>
      <c r="BO42" s="163">
        <f t="shared" ref="BO42:BS42" si="20">countif($C42:$BM43,"*" &amp; BO$2 &amp; "*")</f>
        <v>0</v>
      </c>
      <c r="BP42" s="163">
        <f t="shared" si="20"/>
        <v>0</v>
      </c>
      <c r="BQ42" s="163">
        <f t="shared" si="20"/>
        <v>0</v>
      </c>
      <c r="BR42" s="163">
        <f t="shared" si="20"/>
        <v>0</v>
      </c>
      <c r="BS42" s="163">
        <f t="shared" si="20"/>
        <v>14</v>
      </c>
      <c r="BT42" s="132"/>
      <c r="BU42" s="132"/>
      <c r="BV42" s="132"/>
      <c r="BW42" s="28"/>
      <c r="BX42" s="28"/>
      <c r="BY42" s="28"/>
      <c r="BZ42" s="28"/>
      <c r="CA42" s="28"/>
      <c r="CB42" s="28"/>
    </row>
    <row r="43">
      <c r="A43" s="112"/>
      <c r="B43" s="35" t="s">
        <v>408</v>
      </c>
      <c r="C43" s="565"/>
      <c r="D43" s="565"/>
      <c r="E43" s="565"/>
      <c r="F43" s="565"/>
      <c r="G43" s="87"/>
      <c r="H43" s="565"/>
      <c r="I43" s="112"/>
      <c r="J43" s="112"/>
      <c r="K43" s="308"/>
      <c r="L43" s="45" t="s">
        <v>408</v>
      </c>
      <c r="M43" s="111"/>
      <c r="N43" s="111"/>
      <c r="O43" s="111"/>
      <c r="P43" s="111"/>
      <c r="Q43" s="111"/>
      <c r="T43" s="111"/>
      <c r="U43" s="111"/>
      <c r="V43" s="111"/>
      <c r="W43" s="566"/>
      <c r="X43" s="308"/>
      <c r="Y43" s="45" t="s">
        <v>408</v>
      </c>
      <c r="Z43" s="314"/>
      <c r="AA43" s="314"/>
      <c r="AB43" s="314"/>
      <c r="AC43" s="314"/>
      <c r="AD43" s="36"/>
      <c r="AE43" s="36"/>
      <c r="AF43" s="115"/>
      <c r="AG43" s="121"/>
      <c r="AH43" s="312"/>
      <c r="AI43" s="45" t="s">
        <v>408</v>
      </c>
      <c r="AJ43" s="284"/>
      <c r="AK43" s="285"/>
      <c r="AL43" s="285"/>
      <c r="AM43" s="285"/>
      <c r="AN43" s="285"/>
      <c r="AO43" s="285"/>
      <c r="AP43" s="285"/>
      <c r="AQ43" s="285"/>
      <c r="AR43" s="312"/>
      <c r="AS43" s="45" t="s">
        <v>408</v>
      </c>
      <c r="AT43" s="115"/>
      <c r="AU43" s="115"/>
      <c r="AV43" s="112"/>
      <c r="AW43" s="112"/>
      <c r="AX43" s="115"/>
      <c r="AZ43" s="112"/>
      <c r="BA43" s="112"/>
      <c r="BB43" s="312"/>
      <c r="BC43" s="35" t="s">
        <v>408</v>
      </c>
      <c r="BD43" s="569"/>
      <c r="BE43" s="569"/>
      <c r="BF43" s="570"/>
      <c r="BG43" s="319"/>
      <c r="BH43" s="467"/>
      <c r="BI43" s="468"/>
      <c r="BJ43" s="468"/>
      <c r="BK43" s="469"/>
      <c r="BL43" s="571"/>
      <c r="BM43" s="308"/>
      <c r="BN43" s="213" t="s">
        <v>408</v>
      </c>
      <c r="BO43" s="86"/>
      <c r="BP43" s="86"/>
      <c r="BQ43" s="86"/>
      <c r="BR43" s="86"/>
      <c r="BS43" s="86"/>
      <c r="BT43" s="86"/>
      <c r="BU43" s="86"/>
      <c r="BV43" s="86"/>
      <c r="BW43" s="28"/>
      <c r="BX43" s="28"/>
      <c r="BY43" s="28"/>
      <c r="BZ43" s="28"/>
      <c r="CA43" s="28"/>
      <c r="CB43" s="28"/>
    </row>
    <row r="44">
      <c r="A44" s="319"/>
      <c r="B44" s="95"/>
      <c r="C44" s="323"/>
      <c r="D44" s="323"/>
      <c r="E44" s="323"/>
      <c r="F44" s="323"/>
      <c r="G44" s="323"/>
      <c r="H44" s="323"/>
      <c r="I44" s="323"/>
      <c r="J44" s="323"/>
      <c r="K44" s="308"/>
      <c r="L44" s="95"/>
      <c r="M44" s="323"/>
      <c r="N44" s="323"/>
      <c r="O44" s="323"/>
      <c r="P44" s="323"/>
      <c r="Q44" s="323"/>
      <c r="R44" s="323"/>
      <c r="S44" s="323"/>
      <c r="T44" s="323"/>
      <c r="U44" s="323"/>
      <c r="V44" s="323"/>
      <c r="W44" s="95"/>
      <c r="X44" s="308"/>
      <c r="Y44" s="95"/>
      <c r="Z44" s="323"/>
      <c r="AA44" s="323"/>
      <c r="AB44" s="323"/>
      <c r="AC44" s="323"/>
      <c r="AD44" s="14"/>
      <c r="AE44" s="14"/>
      <c r="AF44" s="323"/>
      <c r="AG44" s="95"/>
      <c r="AH44" s="312"/>
      <c r="AI44" s="95"/>
      <c r="AJ44" s="323"/>
      <c r="AK44" s="323"/>
      <c r="AL44" s="323"/>
      <c r="AM44" s="323"/>
      <c r="AN44" s="323"/>
      <c r="AO44" s="323"/>
      <c r="AP44" s="323"/>
      <c r="AQ44" s="323"/>
      <c r="AR44" s="312"/>
      <c r="AS44" s="95"/>
      <c r="AT44" s="327"/>
      <c r="AU44" s="4"/>
      <c r="AV44" s="4"/>
      <c r="AW44" s="4"/>
      <c r="AX44" s="4"/>
      <c r="AY44" s="4"/>
      <c r="AZ44" s="4"/>
      <c r="BA44" s="5"/>
      <c r="BB44" s="312"/>
      <c r="BC44" s="323"/>
      <c r="BD44" s="327"/>
      <c r="BE44" s="321"/>
      <c r="BF44" s="321"/>
      <c r="BG44" s="14"/>
      <c r="BH44" s="321"/>
      <c r="BI44" s="321"/>
      <c r="BJ44" s="321"/>
      <c r="BK44" s="321"/>
      <c r="BL44" s="21"/>
      <c r="BM44" s="308"/>
      <c r="BN44" s="95"/>
      <c r="BO44" s="95"/>
      <c r="BP44" s="95"/>
      <c r="BQ44" s="95"/>
      <c r="BR44" s="95"/>
      <c r="BS44" s="95"/>
      <c r="BT44" s="95"/>
      <c r="BU44" s="95"/>
      <c r="BV44" s="95"/>
      <c r="BW44" s="28"/>
      <c r="BX44" s="28"/>
      <c r="BY44" s="28"/>
      <c r="BZ44" s="28"/>
      <c r="CA44" s="28"/>
      <c r="CB44" s="28"/>
    </row>
    <row r="45">
      <c r="A45" s="107" t="s">
        <v>704</v>
      </c>
      <c r="B45" s="109">
        <v>42591.0</v>
      </c>
      <c r="C45" s="28"/>
      <c r="D45" s="28"/>
      <c r="E45" s="28"/>
      <c r="F45" s="28"/>
      <c r="G45" s="28"/>
      <c r="H45" s="28"/>
      <c r="I45" s="28"/>
      <c r="J45" s="132"/>
      <c r="K45" s="113"/>
      <c r="L45" s="109">
        <v>42591.0</v>
      </c>
      <c r="M45" s="329"/>
      <c r="N45" s="329"/>
      <c r="O45" s="329"/>
      <c r="P45" s="329"/>
      <c r="Q45" s="329"/>
      <c r="R45" s="329"/>
      <c r="S45" s="329"/>
      <c r="T45" s="329"/>
      <c r="U45" s="329"/>
      <c r="V45" s="329"/>
      <c r="W45" s="132"/>
      <c r="X45" s="113"/>
      <c r="Y45" s="109">
        <v>42591.0</v>
      </c>
      <c r="Z45" s="28"/>
      <c r="AA45" s="28"/>
      <c r="AB45" s="28"/>
      <c r="AC45" s="28"/>
      <c r="AD45" s="28"/>
      <c r="AE45" s="28"/>
      <c r="AF45" s="28"/>
      <c r="AG45" s="132"/>
      <c r="AH45" s="124"/>
      <c r="AI45" s="109">
        <v>42591.0</v>
      </c>
      <c r="AJ45" s="28"/>
      <c r="AK45" s="28"/>
      <c r="AL45" s="28"/>
      <c r="AM45" s="28"/>
      <c r="AN45" s="28"/>
      <c r="AO45" s="28"/>
      <c r="AP45" s="28"/>
      <c r="AQ45" s="28"/>
      <c r="AR45" s="574"/>
      <c r="AS45" s="109">
        <v>42591.0</v>
      </c>
      <c r="AT45" s="28"/>
      <c r="AU45" s="28"/>
      <c r="AV45" s="28"/>
      <c r="AW45" s="28"/>
      <c r="AX45" s="28"/>
      <c r="AY45" s="28"/>
      <c r="AZ45" s="28"/>
      <c r="BA45" s="28"/>
      <c r="BB45" s="124"/>
      <c r="BC45" s="109">
        <v>42591.0</v>
      </c>
      <c r="BD45" s="575" t="s">
        <v>937</v>
      </c>
      <c r="BE45" s="87"/>
      <c r="BF45" s="87"/>
      <c r="BG45" s="456"/>
      <c r="BH45" s="575" t="s">
        <v>937</v>
      </c>
      <c r="BI45" s="87"/>
      <c r="BJ45" s="87"/>
      <c r="BK45" s="87"/>
      <c r="BL45" s="121"/>
      <c r="BM45" s="113"/>
      <c r="BN45" s="136">
        <v>42591.0</v>
      </c>
      <c r="BO45" s="121"/>
      <c r="BP45" s="121"/>
      <c r="BQ45" s="121"/>
      <c r="BR45" s="121"/>
      <c r="BS45" s="121"/>
      <c r="BT45" s="121"/>
      <c r="BU45" s="121"/>
      <c r="BV45" s="121"/>
      <c r="BW45" s="28"/>
      <c r="BX45" s="28"/>
      <c r="BY45" s="397"/>
      <c r="BZ45" s="28"/>
      <c r="CA45" s="28"/>
      <c r="CB45" s="28"/>
    </row>
    <row r="46">
      <c r="A46" s="96"/>
      <c r="B46" s="109">
        <v>42623.0</v>
      </c>
      <c r="C46" s="149" t="s">
        <v>938</v>
      </c>
      <c r="D46" s="149" t="s">
        <v>939</v>
      </c>
      <c r="E46" s="363" t="s">
        <v>940</v>
      </c>
      <c r="F46" s="363" t="s">
        <v>941</v>
      </c>
      <c r="G46" s="201" t="s">
        <v>942</v>
      </c>
      <c r="H46" s="46"/>
      <c r="I46" s="201" t="s">
        <v>943</v>
      </c>
      <c r="J46" s="46"/>
      <c r="K46" s="113"/>
      <c r="L46" s="109">
        <v>42623.0</v>
      </c>
      <c r="M46" s="413" t="s">
        <v>944</v>
      </c>
      <c r="N46" s="413" t="s">
        <v>945</v>
      </c>
      <c r="O46" s="579" t="s">
        <v>946</v>
      </c>
      <c r="P46" s="46"/>
      <c r="Q46" s="413" t="s">
        <v>944</v>
      </c>
      <c r="R46" s="413" t="s">
        <v>945</v>
      </c>
      <c r="S46" s="232" t="s">
        <v>949</v>
      </c>
      <c r="T46" s="232" t="s">
        <v>950</v>
      </c>
      <c r="U46" s="583"/>
      <c r="V46" s="583"/>
      <c r="W46" s="28"/>
      <c r="X46" s="113"/>
      <c r="Y46" s="109">
        <v>42623.0</v>
      </c>
      <c r="Z46" s="579" t="s">
        <v>951</v>
      </c>
      <c r="AA46" s="46"/>
      <c r="AB46" s="584" t="s">
        <v>952</v>
      </c>
      <c r="AC46" s="46"/>
      <c r="AD46" s="579" t="s">
        <v>953</v>
      </c>
      <c r="AE46" s="46"/>
      <c r="AF46" s="150" t="s">
        <v>954</v>
      </c>
      <c r="AG46" s="150" t="s">
        <v>955</v>
      </c>
      <c r="AH46" s="124"/>
      <c r="AI46" s="109">
        <v>42623.0</v>
      </c>
      <c r="AJ46" s="28"/>
      <c r="AK46" s="28"/>
      <c r="AL46" s="579" t="s">
        <v>956</v>
      </c>
      <c r="AM46" s="46"/>
      <c r="AN46" s="28"/>
      <c r="AO46" s="28"/>
      <c r="AP46" s="579" t="s">
        <v>957</v>
      </c>
      <c r="AQ46" s="46"/>
      <c r="AR46" s="198"/>
      <c r="AS46" s="109">
        <v>42623.0</v>
      </c>
      <c r="AT46" s="28"/>
      <c r="AU46" s="28"/>
      <c r="AV46" s="28"/>
      <c r="AW46" s="28"/>
      <c r="AX46" s="28"/>
      <c r="AY46" s="28"/>
      <c r="AZ46" s="28"/>
      <c r="BA46" s="28"/>
      <c r="BB46" s="124"/>
      <c r="BC46" s="109">
        <v>42623.0</v>
      </c>
      <c r="BD46" s="211" t="s">
        <v>958</v>
      </c>
      <c r="BL46" s="106"/>
      <c r="BM46" s="147" t="s">
        <v>283</v>
      </c>
      <c r="BN46" s="136">
        <v>42623.0</v>
      </c>
      <c r="BO46" s="163">
        <f t="shared" ref="BO46:BS46" si="21">countif($C46:$BM47,"*" &amp; BO$2 &amp; "*")</f>
        <v>0</v>
      </c>
      <c r="BP46" s="163">
        <f t="shared" si="21"/>
        <v>0</v>
      </c>
      <c r="BQ46" s="163">
        <f t="shared" si="21"/>
        <v>1</v>
      </c>
      <c r="BR46" s="163">
        <f t="shared" si="21"/>
        <v>0</v>
      </c>
      <c r="BS46" s="163">
        <f t="shared" si="21"/>
        <v>22</v>
      </c>
      <c r="BT46" s="132"/>
      <c r="BU46" s="132"/>
      <c r="BV46" s="132"/>
      <c r="BW46" s="397"/>
      <c r="BX46" s="397"/>
      <c r="BY46" s="397"/>
      <c r="CA46" s="28"/>
      <c r="CB46" s="28"/>
    </row>
    <row r="47">
      <c r="A47" s="96"/>
      <c r="B47" s="168">
        <v>42654.0</v>
      </c>
      <c r="C47" s="112"/>
      <c r="D47" s="112"/>
      <c r="E47" s="112"/>
      <c r="F47" s="112"/>
      <c r="G47" s="85"/>
      <c r="H47" s="86"/>
      <c r="I47" s="85"/>
      <c r="J47" s="86"/>
      <c r="K47" s="177"/>
      <c r="L47" s="168">
        <v>42654.0</v>
      </c>
      <c r="M47" s="112"/>
      <c r="N47" s="112"/>
      <c r="O47" s="85"/>
      <c r="P47" s="86"/>
      <c r="Q47" s="112"/>
      <c r="R47" s="112"/>
      <c r="S47" s="112"/>
      <c r="T47" s="112"/>
      <c r="U47" s="583"/>
      <c r="V47" s="583"/>
      <c r="W47" s="115"/>
      <c r="X47" s="177"/>
      <c r="Y47" s="168">
        <v>42654.0</v>
      </c>
      <c r="Z47" s="85"/>
      <c r="AA47" s="86"/>
      <c r="AB47" s="85"/>
      <c r="AC47" s="86"/>
      <c r="AD47" s="142"/>
      <c r="AE47" s="106"/>
      <c r="AF47" s="112"/>
      <c r="AG47" s="112"/>
      <c r="AH47" s="170"/>
      <c r="AI47" s="168">
        <v>42654.0</v>
      </c>
      <c r="AJ47" s="28"/>
      <c r="AK47" s="28"/>
      <c r="AL47" s="85"/>
      <c r="AM47" s="86"/>
      <c r="AN47" s="28"/>
      <c r="AO47" s="28"/>
      <c r="AP47" s="85"/>
      <c r="AQ47" s="86"/>
      <c r="AR47" s="198"/>
      <c r="AS47" s="168">
        <v>42654.0</v>
      </c>
      <c r="AT47" s="28"/>
      <c r="AU47" s="28"/>
      <c r="AV47" s="28"/>
      <c r="AW47" s="28"/>
      <c r="AX47" s="28"/>
      <c r="AY47" s="28"/>
      <c r="AZ47" s="28"/>
      <c r="BA47" s="28"/>
      <c r="BB47" s="170"/>
      <c r="BC47" s="168">
        <v>42654.0</v>
      </c>
      <c r="BD47" s="87"/>
      <c r="BE47" s="87"/>
      <c r="BF47" s="87"/>
      <c r="BG47" s="87"/>
      <c r="BH47" s="87"/>
      <c r="BI47" s="87"/>
      <c r="BJ47" s="87"/>
      <c r="BK47" s="87"/>
      <c r="BL47" s="86"/>
      <c r="BM47" s="112"/>
      <c r="BN47" s="172">
        <v>42654.0</v>
      </c>
      <c r="BO47" s="86"/>
      <c r="BP47" s="86"/>
      <c r="BQ47" s="86"/>
      <c r="BR47" s="86"/>
      <c r="BS47" s="86"/>
      <c r="BT47" s="86"/>
      <c r="BU47" s="86"/>
      <c r="BV47" s="86"/>
      <c r="BW47" s="397"/>
      <c r="BX47" s="397"/>
      <c r="BY47" s="397"/>
      <c r="CA47" s="28"/>
      <c r="CB47" s="28"/>
    </row>
    <row r="48">
      <c r="A48" s="96"/>
      <c r="B48" s="168">
        <v>42686.0</v>
      </c>
      <c r="C48" s="201" t="s">
        <v>966</v>
      </c>
      <c r="D48" s="46"/>
      <c r="E48" s="201" t="s">
        <v>967</v>
      </c>
      <c r="F48" s="46"/>
      <c r="G48" s="28"/>
      <c r="H48" s="132"/>
      <c r="I48" s="150" t="s">
        <v>968</v>
      </c>
      <c r="J48" s="150" t="s">
        <v>969</v>
      </c>
      <c r="K48" s="177"/>
      <c r="L48" s="168">
        <v>42686.0</v>
      </c>
      <c r="M48" s="232" t="s">
        <v>970</v>
      </c>
      <c r="N48" s="238" t="s">
        <v>971</v>
      </c>
      <c r="O48" s="232" t="s">
        <v>972</v>
      </c>
      <c r="P48" s="232" t="s">
        <v>973</v>
      </c>
      <c r="Q48" s="329"/>
      <c r="R48" s="329"/>
      <c r="S48" s="579" t="s">
        <v>974</v>
      </c>
      <c r="T48" s="46"/>
      <c r="U48" s="399"/>
      <c r="V48" s="399"/>
      <c r="W48" s="597" t="s">
        <v>975</v>
      </c>
      <c r="X48" s="177"/>
      <c r="Y48" s="168">
        <v>42686.0</v>
      </c>
      <c r="Z48" s="579" t="s">
        <v>976</v>
      </c>
      <c r="AA48" s="46"/>
      <c r="AB48" s="123" t="s">
        <v>977</v>
      </c>
      <c r="AC48" s="46"/>
      <c r="AD48" s="123" t="s">
        <v>978</v>
      </c>
      <c r="AE48" s="46"/>
      <c r="AF48" s="149" t="s">
        <v>980</v>
      </c>
      <c r="AG48" s="149" t="s">
        <v>981</v>
      </c>
      <c r="AH48" s="170"/>
      <c r="AI48" s="168">
        <v>42686.0</v>
      </c>
      <c r="AJ48" s="579" t="s">
        <v>956</v>
      </c>
      <c r="AK48" s="46"/>
      <c r="AL48" s="150" t="s">
        <v>983</v>
      </c>
      <c r="AM48" s="150" t="s">
        <v>985</v>
      </c>
      <c r="AN48" s="579" t="s">
        <v>986</v>
      </c>
      <c r="AO48" s="46"/>
      <c r="AP48" s="608" t="s">
        <v>987</v>
      </c>
      <c r="AR48" s="198"/>
      <c r="AS48" s="168">
        <v>42686.0</v>
      </c>
      <c r="AT48" s="114" t="s">
        <v>988</v>
      </c>
      <c r="AU48" s="61"/>
      <c r="AV48" s="61"/>
      <c r="AW48" s="61"/>
      <c r="AX48" s="61"/>
      <c r="AY48" s="61"/>
      <c r="AZ48" s="61"/>
      <c r="BA48" s="46"/>
      <c r="BB48" s="611" t="s">
        <v>281</v>
      </c>
      <c r="BC48" s="168">
        <v>42686.0</v>
      </c>
      <c r="BD48" s="211" t="s">
        <v>989</v>
      </c>
      <c r="BL48" s="106"/>
      <c r="BM48" s="612" t="s">
        <v>283</v>
      </c>
      <c r="BN48" s="172">
        <v>42686.0</v>
      </c>
      <c r="BO48" s="163">
        <f t="shared" ref="BO48:BS48" si="22">countif($C48:$BM49,"*" &amp; BO$2 &amp; "*")</f>
        <v>2</v>
      </c>
      <c r="BP48" s="163">
        <f t="shared" si="22"/>
        <v>2</v>
      </c>
      <c r="BQ48" s="163">
        <f t="shared" si="22"/>
        <v>1</v>
      </c>
      <c r="BR48" s="163">
        <f t="shared" si="22"/>
        <v>0</v>
      </c>
      <c r="BS48" s="190">
        <f t="shared" si="22"/>
        <v>28</v>
      </c>
      <c r="BT48" s="132"/>
      <c r="BU48" s="132"/>
      <c r="BV48" s="132"/>
      <c r="BW48" s="397"/>
      <c r="BX48" s="397"/>
      <c r="BY48" s="397"/>
      <c r="CA48" s="28"/>
      <c r="CB48" s="28"/>
    </row>
    <row r="49" ht="20.25" customHeight="1">
      <c r="A49" s="96"/>
      <c r="B49" s="168">
        <v>42717.0</v>
      </c>
      <c r="C49" s="85"/>
      <c r="D49" s="86"/>
      <c r="E49" s="85"/>
      <c r="F49" s="86"/>
      <c r="G49" s="579" t="s">
        <v>991</v>
      </c>
      <c r="H49" s="46"/>
      <c r="I49" s="112"/>
      <c r="J49" s="112"/>
      <c r="K49" s="177"/>
      <c r="L49" s="168">
        <v>42717.0</v>
      </c>
      <c r="M49" s="112"/>
      <c r="N49" s="112"/>
      <c r="O49" s="112"/>
      <c r="P49" s="112"/>
      <c r="Q49" s="329"/>
      <c r="R49" s="329"/>
      <c r="S49" s="85"/>
      <c r="T49" s="86"/>
      <c r="U49" s="399"/>
      <c r="V49" s="399"/>
      <c r="W49" s="86"/>
      <c r="X49" s="177"/>
      <c r="Y49" s="168">
        <v>42717.0</v>
      </c>
      <c r="Z49" s="142"/>
      <c r="AA49" s="106"/>
      <c r="AB49" s="123" t="s">
        <v>994</v>
      </c>
      <c r="AC49" s="46"/>
      <c r="AD49" s="123" t="s">
        <v>995</v>
      </c>
      <c r="AE49" s="46"/>
      <c r="AF49" s="112"/>
      <c r="AG49" s="112"/>
      <c r="AH49" s="170"/>
      <c r="AI49" s="168">
        <v>42717.0</v>
      </c>
      <c r="AJ49" s="85"/>
      <c r="AK49" s="86"/>
      <c r="AL49" s="112"/>
      <c r="AM49" s="112"/>
      <c r="AN49" s="85"/>
      <c r="AO49" s="86"/>
      <c r="AP49" s="201" t="s">
        <v>997</v>
      </c>
      <c r="AQ49" s="46"/>
      <c r="AR49" s="198"/>
      <c r="AS49" s="168">
        <v>42717.0</v>
      </c>
      <c r="AT49" s="85"/>
      <c r="AU49" s="87"/>
      <c r="AV49" s="87"/>
      <c r="AW49" s="87"/>
      <c r="AX49" s="87"/>
      <c r="AY49" s="87"/>
      <c r="AZ49" s="87"/>
      <c r="BA49" s="86"/>
      <c r="BB49" s="112"/>
      <c r="BC49" s="168">
        <v>42717.0</v>
      </c>
      <c r="BD49" s="87"/>
      <c r="BE49" s="87"/>
      <c r="BF49" s="87"/>
      <c r="BG49" s="87"/>
      <c r="BH49" s="87"/>
      <c r="BI49" s="87"/>
      <c r="BJ49" s="87"/>
      <c r="BK49" s="87"/>
      <c r="BL49" s="86"/>
      <c r="BM49" s="112"/>
      <c r="BN49" s="172">
        <v>42717.0</v>
      </c>
      <c r="BO49" s="86"/>
      <c r="BP49" s="86"/>
      <c r="BQ49" s="86"/>
      <c r="BR49" s="86"/>
      <c r="BS49" s="86"/>
      <c r="BT49" s="86"/>
      <c r="BU49" s="86"/>
      <c r="BV49" s="86"/>
      <c r="BW49" s="397"/>
      <c r="BX49" s="397"/>
      <c r="BY49" s="397"/>
      <c r="CA49" s="28"/>
      <c r="CB49" s="28"/>
    </row>
    <row r="50">
      <c r="A50" s="96"/>
      <c r="B50" s="35" t="s">
        <v>310</v>
      </c>
      <c r="C50" s="363" t="s">
        <v>1002</v>
      </c>
      <c r="D50" s="363" t="s">
        <v>1005</v>
      </c>
      <c r="G50" s="579" t="s">
        <v>1008</v>
      </c>
      <c r="H50" s="46"/>
      <c r="I50" s="579" t="s">
        <v>1010</v>
      </c>
      <c r="J50" s="46"/>
      <c r="K50" s="368"/>
      <c r="L50" s="45" t="s">
        <v>310</v>
      </c>
      <c r="M50" s="232" t="s">
        <v>1013</v>
      </c>
      <c r="N50" s="232" t="s">
        <v>1015</v>
      </c>
      <c r="O50" s="329"/>
      <c r="P50" s="329"/>
      <c r="Q50" s="363" t="s">
        <v>1017</v>
      </c>
      <c r="R50" s="462" t="s">
        <v>1019</v>
      </c>
      <c r="S50" s="149" t="s">
        <v>1020</v>
      </c>
      <c r="T50" s="149" t="s">
        <v>1022</v>
      </c>
      <c r="U50" s="629" t="s">
        <v>1025</v>
      </c>
      <c r="V50" s="46"/>
      <c r="W50" s="423" t="s">
        <v>1028</v>
      </c>
      <c r="X50" s="198"/>
      <c r="Y50" s="45" t="s">
        <v>310</v>
      </c>
      <c r="Z50" s="579" t="s">
        <v>1030</v>
      </c>
      <c r="AA50" s="46"/>
      <c r="AB50" s="579" t="s">
        <v>1032</v>
      </c>
      <c r="AC50" s="46"/>
      <c r="AD50" s="579" t="s">
        <v>1035</v>
      </c>
      <c r="AE50" s="46"/>
      <c r="AF50" s="123" t="s">
        <v>1037</v>
      </c>
      <c r="AG50" s="46"/>
      <c r="AH50" s="210"/>
      <c r="AI50" s="45" t="s">
        <v>310</v>
      </c>
      <c r="AJ50" s="579" t="s">
        <v>1039</v>
      </c>
      <c r="AK50" s="46"/>
      <c r="AL50" s="579" t="s">
        <v>1040</v>
      </c>
      <c r="AM50" s="46"/>
      <c r="AN50" s="28"/>
      <c r="AO50" s="28"/>
      <c r="AP50" s="201" t="s">
        <v>1041</v>
      </c>
      <c r="AQ50" s="46"/>
      <c r="AR50" s="198"/>
      <c r="AS50" s="35" t="s">
        <v>310</v>
      </c>
      <c r="AT50" s="337" t="s">
        <v>1043</v>
      </c>
      <c r="BA50" s="106"/>
      <c r="BB50" s="635" t="s">
        <v>281</v>
      </c>
      <c r="BC50" s="45" t="s">
        <v>310</v>
      </c>
      <c r="BD50" s="211" t="s">
        <v>1045</v>
      </c>
      <c r="BL50" s="106"/>
      <c r="BM50" s="612" t="s">
        <v>283</v>
      </c>
      <c r="BN50" s="213" t="s">
        <v>310</v>
      </c>
      <c r="BO50" s="163">
        <f t="shared" ref="BO50:BS50" si="23">countif($C50:$BM51,"*" &amp; BO$2 &amp; "*")</f>
        <v>1</v>
      </c>
      <c r="BP50" s="163">
        <f t="shared" si="23"/>
        <v>1</v>
      </c>
      <c r="BQ50" s="163">
        <f t="shared" si="23"/>
        <v>1</v>
      </c>
      <c r="BR50" s="163">
        <f t="shared" si="23"/>
        <v>0</v>
      </c>
      <c r="BS50" s="163">
        <f t="shared" si="23"/>
        <v>33</v>
      </c>
      <c r="BT50" s="132"/>
      <c r="BU50" s="132"/>
      <c r="BV50" s="132"/>
      <c r="BW50" s="397"/>
      <c r="BX50" s="397"/>
      <c r="BY50" s="397"/>
      <c r="CA50" s="28"/>
      <c r="CB50" s="28"/>
    </row>
    <row r="51">
      <c r="A51" s="96"/>
      <c r="B51" s="35" t="s">
        <v>341</v>
      </c>
      <c r="C51" s="112"/>
      <c r="D51" s="112"/>
      <c r="G51" s="85"/>
      <c r="H51" s="86"/>
      <c r="I51" s="85"/>
      <c r="J51" s="86"/>
      <c r="K51" s="198"/>
      <c r="L51" s="45" t="s">
        <v>341</v>
      </c>
      <c r="M51" s="112"/>
      <c r="N51" s="112"/>
      <c r="O51" s="329"/>
      <c r="P51" s="329"/>
      <c r="Q51" s="112"/>
      <c r="R51" s="112"/>
      <c r="S51" s="112"/>
      <c r="T51" s="112"/>
      <c r="U51" s="85"/>
      <c r="V51" s="86"/>
      <c r="W51" s="86"/>
      <c r="X51" s="198"/>
      <c r="Y51" s="45" t="s">
        <v>341</v>
      </c>
      <c r="Z51" s="85"/>
      <c r="AA51" s="86"/>
      <c r="AB51" s="85"/>
      <c r="AC51" s="86"/>
      <c r="AD51" s="85"/>
      <c r="AE51" s="86"/>
      <c r="AF51" s="85"/>
      <c r="AG51" s="86"/>
      <c r="AH51" s="210"/>
      <c r="AI51" s="45" t="s">
        <v>341</v>
      </c>
      <c r="AJ51" s="85"/>
      <c r="AK51" s="86"/>
      <c r="AL51" s="85"/>
      <c r="AM51" s="86"/>
      <c r="AN51" s="28"/>
      <c r="AO51" s="28"/>
      <c r="AP51" s="85"/>
      <c r="AQ51" s="86"/>
      <c r="AR51" s="198"/>
      <c r="AS51" s="35" t="s">
        <v>341</v>
      </c>
      <c r="AT51" s="85"/>
      <c r="AU51" s="87"/>
      <c r="AV51" s="87"/>
      <c r="AW51" s="87"/>
      <c r="AX51" s="87"/>
      <c r="AY51" s="87"/>
      <c r="AZ51" s="87"/>
      <c r="BA51" s="86"/>
      <c r="BB51" s="112"/>
      <c r="BC51" s="45" t="s">
        <v>341</v>
      </c>
      <c r="BD51" s="87"/>
      <c r="BE51" s="87"/>
      <c r="BF51" s="87"/>
      <c r="BG51" s="87"/>
      <c r="BH51" s="87"/>
      <c r="BI51" s="87"/>
      <c r="BJ51" s="87"/>
      <c r="BK51" s="87"/>
      <c r="BL51" s="86"/>
      <c r="BM51" s="112"/>
      <c r="BN51" s="213" t="s">
        <v>341</v>
      </c>
      <c r="BO51" s="86"/>
      <c r="BP51" s="86"/>
      <c r="BQ51" s="86"/>
      <c r="BR51" s="86"/>
      <c r="BS51" s="86"/>
      <c r="BT51" s="86"/>
      <c r="BU51" s="86"/>
      <c r="BV51" s="86"/>
      <c r="BW51" s="397"/>
      <c r="BX51" s="397"/>
      <c r="BY51" s="397"/>
      <c r="CA51" s="28"/>
      <c r="CB51" s="28"/>
    </row>
    <row r="52">
      <c r="A52" s="96"/>
      <c r="B52" s="648" t="s">
        <v>342</v>
      </c>
      <c r="C52" s="28"/>
      <c r="D52" s="28"/>
      <c r="E52" s="150" t="s">
        <v>1067</v>
      </c>
      <c r="F52" s="150" t="s">
        <v>1068</v>
      </c>
      <c r="I52" s="28"/>
      <c r="J52" s="132"/>
      <c r="K52" s="653"/>
      <c r="L52" s="655" t="s">
        <v>342</v>
      </c>
      <c r="M52" s="149" t="s">
        <v>1071</v>
      </c>
      <c r="N52" s="149" t="s">
        <v>1072</v>
      </c>
      <c r="O52" s="413" t="s">
        <v>1073</v>
      </c>
      <c r="P52" s="629" t="s">
        <v>1074</v>
      </c>
      <c r="Q52" s="232" t="s">
        <v>1076</v>
      </c>
      <c r="R52" s="363" t="s">
        <v>1078</v>
      </c>
      <c r="S52" s="413" t="s">
        <v>1080</v>
      </c>
      <c r="T52" s="629" t="s">
        <v>1081</v>
      </c>
      <c r="U52" s="228" t="s">
        <v>1082</v>
      </c>
      <c r="V52" s="46"/>
      <c r="W52" s="665"/>
      <c r="X52" s="653"/>
      <c r="Y52" s="655" t="s">
        <v>342</v>
      </c>
      <c r="Z52" s="629" t="s">
        <v>714</v>
      </c>
      <c r="AA52" s="46"/>
      <c r="AB52" s="579" t="s">
        <v>1084</v>
      </c>
      <c r="AC52" s="46"/>
      <c r="AD52" s="28"/>
      <c r="AE52" s="28"/>
      <c r="AF52" s="365" t="s">
        <v>1086</v>
      </c>
      <c r="AG52" s="46"/>
      <c r="AH52" s="667"/>
      <c r="AI52" s="655" t="s">
        <v>342</v>
      </c>
      <c r="AL52" s="670" t="s">
        <v>1089</v>
      </c>
      <c r="AM52" s="670" t="s">
        <v>1090</v>
      </c>
      <c r="AN52" s="579" t="s">
        <v>987</v>
      </c>
      <c r="AO52" s="46"/>
      <c r="AP52" s="232" t="s">
        <v>1093</v>
      </c>
      <c r="AQ52" s="238" t="s">
        <v>1094</v>
      </c>
      <c r="AR52" s="653"/>
      <c r="AS52" s="655" t="s">
        <v>342</v>
      </c>
      <c r="AV52" s="542"/>
      <c r="AW52" s="542"/>
      <c r="AX52" s="670" t="s">
        <v>1096</v>
      </c>
      <c r="AY52" s="670" t="s">
        <v>1097</v>
      </c>
      <c r="AZ52" s="542"/>
      <c r="BA52" s="672"/>
      <c r="BB52" s="667"/>
      <c r="BC52" s="648" t="s">
        <v>342</v>
      </c>
      <c r="BD52" s="673"/>
      <c r="BE52" s="673"/>
      <c r="BF52" s="673"/>
      <c r="BG52" s="455"/>
      <c r="BH52" s="673"/>
      <c r="BI52" s="673"/>
      <c r="BJ52" s="674"/>
      <c r="BK52" s="674"/>
      <c r="BL52" s="390" t="s">
        <v>1101</v>
      </c>
      <c r="BM52" s="198"/>
      <c r="BN52" s="675" t="s">
        <v>342</v>
      </c>
      <c r="BO52" s="163">
        <f t="shared" ref="BO52:BS52" si="24">countif($C52:$BM53,"*" &amp; BO$2 &amp; "*")</f>
        <v>0</v>
      </c>
      <c r="BP52" s="163">
        <f t="shared" si="24"/>
        <v>0</v>
      </c>
      <c r="BQ52" s="163">
        <f t="shared" si="24"/>
        <v>0</v>
      </c>
      <c r="BR52" s="163">
        <f t="shared" si="24"/>
        <v>0</v>
      </c>
      <c r="BS52" s="163">
        <f t="shared" si="24"/>
        <v>32</v>
      </c>
      <c r="BT52" s="132"/>
      <c r="BU52" s="132"/>
      <c r="BV52" s="132"/>
      <c r="BW52" s="397"/>
      <c r="BX52" s="397"/>
      <c r="BY52" s="397"/>
      <c r="CA52" s="28"/>
      <c r="CB52" s="28"/>
    </row>
    <row r="53">
      <c r="A53" s="96"/>
      <c r="B53" s="648" t="s">
        <v>369</v>
      </c>
      <c r="C53" s="28"/>
      <c r="D53" s="28"/>
      <c r="E53" s="112"/>
      <c r="F53" s="112"/>
      <c r="I53" s="28"/>
      <c r="J53" s="132"/>
      <c r="K53" s="653"/>
      <c r="L53" s="655" t="s">
        <v>369</v>
      </c>
      <c r="M53" s="112"/>
      <c r="N53" s="112"/>
      <c r="O53" s="112"/>
      <c r="P53" s="85"/>
      <c r="Q53" s="112"/>
      <c r="R53" s="112"/>
      <c r="S53" s="112"/>
      <c r="T53" s="85"/>
      <c r="U53" s="85"/>
      <c r="V53" s="86"/>
      <c r="W53" s="665"/>
      <c r="X53" s="653"/>
      <c r="Y53" s="655" t="s">
        <v>369</v>
      </c>
      <c r="Z53" s="142"/>
      <c r="AA53" s="106"/>
      <c r="AB53" s="85"/>
      <c r="AC53" s="86"/>
      <c r="AD53" s="28"/>
      <c r="AE53" s="28"/>
      <c r="AF53" s="85"/>
      <c r="AG53" s="86"/>
      <c r="AH53" s="667"/>
      <c r="AI53" s="655" t="s">
        <v>369</v>
      </c>
      <c r="AL53" s="112"/>
      <c r="AM53" s="112"/>
      <c r="AN53" s="85"/>
      <c r="AO53" s="86"/>
      <c r="AP53" s="112"/>
      <c r="AQ53" s="112"/>
      <c r="AR53" s="653"/>
      <c r="AS53" s="655" t="s">
        <v>369</v>
      </c>
      <c r="AV53" s="239"/>
      <c r="AW53" s="239"/>
      <c r="AX53" s="112"/>
      <c r="AY53" s="112"/>
      <c r="AZ53" s="239"/>
      <c r="BA53" s="241"/>
      <c r="BB53" s="667"/>
      <c r="BC53" s="648" t="s">
        <v>369</v>
      </c>
      <c r="BD53" s="673"/>
      <c r="BE53" s="673"/>
      <c r="BF53" s="673"/>
      <c r="BG53" s="198"/>
      <c r="BH53" s="673"/>
      <c r="BI53" s="673"/>
      <c r="BJ53" s="674"/>
      <c r="BK53" s="674"/>
      <c r="BL53" s="86"/>
      <c r="BM53" s="198"/>
      <c r="BN53" s="675" t="s">
        <v>369</v>
      </c>
      <c r="BO53" s="86"/>
      <c r="BP53" s="86"/>
      <c r="BQ53" s="86"/>
      <c r="BR53" s="86"/>
      <c r="BS53" s="86"/>
      <c r="BT53" s="86"/>
      <c r="BU53" s="86"/>
      <c r="BV53" s="86"/>
      <c r="BW53" s="397"/>
      <c r="BX53" s="397"/>
      <c r="BY53" s="397"/>
      <c r="CA53" s="28"/>
      <c r="CB53" s="28"/>
    </row>
    <row r="54">
      <c r="A54" s="96"/>
      <c r="B54" s="35" t="s">
        <v>375</v>
      </c>
      <c r="C54" s="28"/>
      <c r="D54" s="28"/>
      <c r="E54" s="28"/>
      <c r="F54" s="28"/>
      <c r="G54" s="150" t="s">
        <v>1118</v>
      </c>
      <c r="H54" s="150" t="s">
        <v>1121</v>
      </c>
      <c r="I54" s="28"/>
      <c r="J54" s="132"/>
      <c r="K54" s="198"/>
      <c r="L54" s="45" t="s">
        <v>375</v>
      </c>
      <c r="O54" s="28"/>
      <c r="P54" s="28"/>
      <c r="Q54" s="201" t="s">
        <v>1143</v>
      </c>
      <c r="R54" s="201" t="s">
        <v>1147</v>
      </c>
      <c r="S54" s="462" t="s">
        <v>1149</v>
      </c>
      <c r="T54" s="462" t="s">
        <v>1151</v>
      </c>
      <c r="U54" s="363" t="s">
        <v>1153</v>
      </c>
      <c r="V54" s="363" t="s">
        <v>1156</v>
      </c>
      <c r="W54" s="132"/>
      <c r="X54" s="198"/>
      <c r="Y54" s="45" t="s">
        <v>375</v>
      </c>
      <c r="Z54" s="85"/>
      <c r="AA54" s="86"/>
      <c r="AB54" s="28"/>
      <c r="AC54" s="28"/>
      <c r="AD54" s="385" t="s">
        <v>1159</v>
      </c>
      <c r="AE54" s="385" t="s">
        <v>1160</v>
      </c>
      <c r="AF54" s="28"/>
      <c r="AG54" s="28"/>
      <c r="AH54" s="210"/>
      <c r="AI54" s="45" t="s">
        <v>375</v>
      </c>
      <c r="AJ54" s="670" t="s">
        <v>1164</v>
      </c>
      <c r="AK54" s="670" t="s">
        <v>1165</v>
      </c>
      <c r="AL54" s="28"/>
      <c r="AM54" s="28"/>
      <c r="AN54" s="149" t="s">
        <v>1169</v>
      </c>
      <c r="AO54" s="149" t="s">
        <v>1172</v>
      </c>
      <c r="AP54" s="28"/>
      <c r="AQ54" s="28"/>
      <c r="AR54" s="198"/>
      <c r="AS54" s="45" t="s">
        <v>375</v>
      </c>
      <c r="AT54" s="670" t="s">
        <v>1174</v>
      </c>
      <c r="AU54" s="670" t="s">
        <v>1176</v>
      </c>
      <c r="AV54" s="239"/>
      <c r="AW54" s="239"/>
      <c r="AZ54" s="239"/>
      <c r="BA54" s="241"/>
      <c r="BB54" s="210"/>
      <c r="BC54" s="35" t="s">
        <v>375</v>
      </c>
      <c r="BD54" s="250"/>
      <c r="BE54" s="250"/>
      <c r="BF54" s="250"/>
      <c r="BG54" s="198"/>
      <c r="BH54" s="250"/>
      <c r="BI54" s="250"/>
      <c r="BJ54" s="250"/>
      <c r="BK54" s="695"/>
      <c r="BL54" s="132"/>
      <c r="BM54" s="198"/>
      <c r="BN54" s="213" t="s">
        <v>375</v>
      </c>
      <c r="BO54" s="163">
        <f t="shared" ref="BO54:BS54" si="25">countif($C54:$BM55,"*" &amp; BO$2 &amp; "*")</f>
        <v>0</v>
      </c>
      <c r="BP54" s="163">
        <f t="shared" si="25"/>
        <v>0</v>
      </c>
      <c r="BQ54" s="163">
        <f t="shared" si="25"/>
        <v>0</v>
      </c>
      <c r="BR54" s="163">
        <f t="shared" si="25"/>
        <v>0</v>
      </c>
      <c r="BS54" s="163">
        <f t="shared" si="25"/>
        <v>26</v>
      </c>
      <c r="BT54" s="132"/>
      <c r="BU54" s="132"/>
      <c r="BV54" s="132"/>
      <c r="BW54" s="28"/>
      <c r="BX54" s="28"/>
      <c r="BZ54" s="28"/>
      <c r="CA54" s="28"/>
      <c r="CB54" s="28"/>
    </row>
    <row r="55">
      <c r="A55" s="96"/>
      <c r="B55" s="35" t="s">
        <v>392</v>
      </c>
      <c r="C55" s="28"/>
      <c r="D55" s="28"/>
      <c r="E55" s="28"/>
      <c r="F55" s="28"/>
      <c r="G55" s="112"/>
      <c r="H55" s="112"/>
      <c r="I55" s="28"/>
      <c r="J55" s="132"/>
      <c r="K55" s="198"/>
      <c r="L55" s="45" t="s">
        <v>392</v>
      </c>
      <c r="O55" s="28"/>
      <c r="P55" s="28"/>
      <c r="Q55" s="85"/>
      <c r="R55" s="85"/>
      <c r="S55" s="112"/>
      <c r="T55" s="112"/>
      <c r="U55" s="112"/>
      <c r="V55" s="112"/>
      <c r="W55" s="132"/>
      <c r="X55" s="198"/>
      <c r="Y55" s="45" t="s">
        <v>392</v>
      </c>
      <c r="Z55" s="28"/>
      <c r="AA55" s="28"/>
      <c r="AB55" s="28"/>
      <c r="AC55" s="28"/>
      <c r="AD55" s="112"/>
      <c r="AE55" s="112"/>
      <c r="AF55" s="28"/>
      <c r="AG55" s="28"/>
      <c r="AH55" s="210"/>
      <c r="AI55" s="45" t="s">
        <v>392</v>
      </c>
      <c r="AJ55" s="112"/>
      <c r="AK55" s="112"/>
      <c r="AL55" s="28"/>
      <c r="AM55" s="28"/>
      <c r="AN55" s="112"/>
      <c r="AO55" s="112"/>
      <c r="AP55" s="28"/>
      <c r="AQ55" s="28"/>
      <c r="AR55" s="198"/>
      <c r="AS55" s="45" t="s">
        <v>392</v>
      </c>
      <c r="AT55" s="112"/>
      <c r="AU55" s="112"/>
      <c r="AV55" s="239"/>
      <c r="AW55" s="239"/>
      <c r="AZ55" s="239"/>
      <c r="BA55" s="241"/>
      <c r="BB55" s="210"/>
      <c r="BC55" s="35" t="s">
        <v>392</v>
      </c>
      <c r="BD55" s="250"/>
      <c r="BE55" s="250"/>
      <c r="BF55" s="250"/>
      <c r="BG55" s="198"/>
      <c r="BH55" s="250"/>
      <c r="BI55" s="250"/>
      <c r="BJ55" s="250"/>
      <c r="BK55" s="695"/>
      <c r="BL55" s="132"/>
      <c r="BM55" s="198"/>
      <c r="BN55" s="213" t="s">
        <v>392</v>
      </c>
      <c r="BO55" s="86"/>
      <c r="BP55" s="86"/>
      <c r="BQ55" s="86"/>
      <c r="BR55" s="86"/>
      <c r="BS55" s="86"/>
      <c r="BT55" s="86"/>
      <c r="BU55" s="86"/>
      <c r="BV55" s="86"/>
      <c r="BW55" s="28"/>
      <c r="BX55" s="28"/>
      <c r="BZ55" s="28"/>
      <c r="CA55" s="28"/>
      <c r="CB55" s="28"/>
    </row>
    <row r="56">
      <c r="A56" s="96"/>
      <c r="B56" s="35" t="s">
        <v>398</v>
      </c>
      <c r="C56" s="28"/>
      <c r="D56" s="28"/>
      <c r="E56" s="28"/>
      <c r="F56" s="28"/>
      <c r="G56" s="28"/>
      <c r="H56" s="28"/>
      <c r="I56" s="28"/>
      <c r="J56" s="132"/>
      <c r="K56" s="198"/>
      <c r="L56" s="45" t="s">
        <v>398</v>
      </c>
      <c r="M56" s="28"/>
      <c r="N56" s="28"/>
      <c r="O56" s="28"/>
      <c r="P56" s="28"/>
      <c r="Q56" s="28"/>
      <c r="R56" s="28"/>
      <c r="S56" s="28"/>
      <c r="T56" s="28"/>
      <c r="U56" s="149" t="s">
        <v>1201</v>
      </c>
      <c r="V56" s="149" t="s">
        <v>1202</v>
      </c>
      <c r="W56" s="132"/>
      <c r="X56" s="198"/>
      <c r="Y56" s="45" t="s">
        <v>398</v>
      </c>
      <c r="Z56" s="28"/>
      <c r="AA56" s="28"/>
      <c r="AB56" s="28"/>
      <c r="AC56" s="28"/>
      <c r="AD56" s="28"/>
      <c r="AE56" s="28"/>
      <c r="AF56" s="28"/>
      <c r="AG56" s="28"/>
      <c r="AH56" s="210"/>
      <c r="AI56" s="45" t="s">
        <v>398</v>
      </c>
      <c r="AJ56" s="28"/>
      <c r="AK56" s="28"/>
      <c r="AN56" s="670" t="s">
        <v>1203</v>
      </c>
      <c r="AO56" s="670" t="s">
        <v>1205</v>
      </c>
      <c r="AP56" s="28"/>
      <c r="AQ56" s="28"/>
      <c r="AR56" s="198"/>
      <c r="AS56" s="45" t="s">
        <v>398</v>
      </c>
      <c r="AT56" s="363" t="s">
        <v>1207</v>
      </c>
      <c r="AU56" s="363" t="s">
        <v>1208</v>
      </c>
      <c r="AV56" s="239"/>
      <c r="AW56" s="239"/>
      <c r="AZ56" s="239"/>
      <c r="BA56" s="241"/>
      <c r="BB56" s="210"/>
      <c r="BC56" s="35" t="s">
        <v>398</v>
      </c>
      <c r="BD56" s="250"/>
      <c r="BE56" s="250"/>
      <c r="BF56" s="250"/>
      <c r="BG56" s="198"/>
      <c r="BH56" s="250"/>
      <c r="BI56" s="250"/>
      <c r="BJ56" s="250"/>
      <c r="BK56" s="695"/>
      <c r="BL56" s="132"/>
      <c r="BM56" s="198"/>
      <c r="BN56" s="213" t="s">
        <v>398</v>
      </c>
      <c r="BO56" s="163">
        <f t="shared" ref="BO56:BS56" si="26">countif($C56:$BM57,"*" &amp; BO$2 &amp; "*")</f>
        <v>0</v>
      </c>
      <c r="BP56" s="163">
        <f t="shared" si="26"/>
        <v>0</v>
      </c>
      <c r="BQ56" s="163">
        <f t="shared" si="26"/>
        <v>0</v>
      </c>
      <c r="BR56" s="163">
        <f t="shared" si="26"/>
        <v>0</v>
      </c>
      <c r="BS56" s="163">
        <f t="shared" si="26"/>
        <v>16</v>
      </c>
      <c r="BT56" s="132"/>
      <c r="BU56" s="132"/>
      <c r="BV56" s="132"/>
      <c r="BW56" s="28"/>
      <c r="BX56" s="28"/>
      <c r="BZ56" s="28"/>
      <c r="CA56" s="28"/>
      <c r="CB56" s="28"/>
    </row>
    <row r="57">
      <c r="A57" s="112"/>
      <c r="B57" s="35" t="s">
        <v>408</v>
      </c>
      <c r="C57" s="28"/>
      <c r="D57" s="28"/>
      <c r="E57" s="28"/>
      <c r="F57" s="28"/>
      <c r="G57" s="28"/>
      <c r="H57" s="28"/>
      <c r="I57" s="28"/>
      <c r="J57" s="132"/>
      <c r="K57" s="308"/>
      <c r="L57" s="45" t="s">
        <v>408</v>
      </c>
      <c r="M57" s="115"/>
      <c r="N57" s="115"/>
      <c r="O57" s="115"/>
      <c r="P57" s="115"/>
      <c r="Q57" s="115"/>
      <c r="R57" s="115"/>
      <c r="S57" s="115"/>
      <c r="T57" s="115"/>
      <c r="U57" s="112"/>
      <c r="V57" s="112"/>
      <c r="W57" s="121"/>
      <c r="X57" s="308"/>
      <c r="Y57" s="45" t="s">
        <v>408</v>
      </c>
      <c r="Z57" s="115"/>
      <c r="AA57" s="115"/>
      <c r="AB57" s="115"/>
      <c r="AC57" s="115"/>
      <c r="AD57" s="115"/>
      <c r="AE57" s="115"/>
      <c r="AF57" s="115"/>
      <c r="AG57" s="121"/>
      <c r="AH57" s="312"/>
      <c r="AI57" s="45" t="s">
        <v>408</v>
      </c>
      <c r="AJ57" s="115"/>
      <c r="AK57" s="115"/>
      <c r="AN57" s="112"/>
      <c r="AO57" s="112"/>
      <c r="AP57" s="115"/>
      <c r="AQ57" s="115"/>
      <c r="AR57" s="308"/>
      <c r="AS57" s="45" t="s">
        <v>408</v>
      </c>
      <c r="AT57" s="112"/>
      <c r="AU57" s="112"/>
      <c r="AV57" s="285"/>
      <c r="AW57" s="285"/>
      <c r="AZ57" s="285"/>
      <c r="BA57" s="571"/>
      <c r="BB57" s="312"/>
      <c r="BC57" s="35" t="s">
        <v>408</v>
      </c>
      <c r="BD57" s="705"/>
      <c r="BE57" s="705"/>
      <c r="BF57" s="705"/>
      <c r="BG57" s="308"/>
      <c r="BH57" s="705"/>
      <c r="BI57" s="705"/>
      <c r="BJ57" s="705"/>
      <c r="BK57" s="707"/>
      <c r="BL57" s="121"/>
      <c r="BM57" s="308"/>
      <c r="BN57" s="213" t="s">
        <v>408</v>
      </c>
      <c r="BO57" s="86"/>
      <c r="BP57" s="86"/>
      <c r="BQ57" s="86"/>
      <c r="BR57" s="86"/>
      <c r="BS57" s="86"/>
      <c r="BT57" s="86"/>
      <c r="BU57" s="86"/>
      <c r="BV57" s="86"/>
      <c r="BW57" s="28"/>
      <c r="BX57" s="711" t="s">
        <v>827</v>
      </c>
      <c r="BY57" s="28"/>
      <c r="BZ57" s="28"/>
      <c r="CA57" s="28"/>
      <c r="CB57" s="28"/>
    </row>
    <row r="58">
      <c r="A58" s="319"/>
      <c r="B58" s="95"/>
      <c r="C58" s="323"/>
      <c r="D58" s="323"/>
      <c r="E58" s="323"/>
      <c r="F58" s="323"/>
      <c r="G58" s="323"/>
      <c r="H58" s="323"/>
      <c r="I58" s="323"/>
      <c r="J58" s="323"/>
      <c r="K58" s="308"/>
      <c r="L58" s="95"/>
      <c r="M58" s="323"/>
      <c r="N58" s="323"/>
      <c r="O58" s="323"/>
      <c r="P58" s="323"/>
      <c r="Q58" s="323"/>
      <c r="R58" s="323"/>
      <c r="S58" s="323"/>
      <c r="T58" s="323"/>
      <c r="U58" s="323"/>
      <c r="V58" s="323"/>
      <c r="W58" s="95"/>
      <c r="X58" s="308"/>
      <c r="Y58" s="95"/>
      <c r="Z58" s="323"/>
      <c r="AA58" s="323"/>
      <c r="AB58" s="323"/>
      <c r="AC58" s="323"/>
      <c r="AD58" s="323"/>
      <c r="AE58" s="323"/>
      <c r="AF58" s="323"/>
      <c r="AG58" s="95"/>
      <c r="AH58" s="312"/>
      <c r="AI58" s="95"/>
      <c r="AJ58" s="717"/>
      <c r="AK58" s="14"/>
      <c r="AL58" s="717"/>
      <c r="AM58" s="717"/>
      <c r="AN58" s="323"/>
      <c r="AO58" s="323"/>
      <c r="AP58" s="323"/>
      <c r="AQ58" s="323"/>
      <c r="AR58" s="312"/>
      <c r="AS58" s="95"/>
      <c r="AT58" s="323"/>
      <c r="AU58" s="323"/>
      <c r="AV58" s="323"/>
      <c r="AW58" s="323"/>
      <c r="AX58" s="323"/>
      <c r="AY58" s="323"/>
      <c r="AZ58" s="323"/>
      <c r="BA58" s="95"/>
      <c r="BB58" s="312"/>
      <c r="BC58" s="95"/>
      <c r="BD58" s="327"/>
      <c r="BE58" s="4"/>
      <c r="BF58" s="5"/>
      <c r="BG58" s="723"/>
      <c r="BH58" s="321"/>
      <c r="BI58" s="321"/>
      <c r="BJ58" s="321"/>
      <c r="BK58" s="323"/>
      <c r="BL58" s="95"/>
      <c r="BM58" s="308"/>
      <c r="BN58" s="95"/>
      <c r="BO58" s="95"/>
      <c r="BP58" s="95"/>
      <c r="BQ58" s="95"/>
      <c r="BR58" s="95"/>
      <c r="BS58" s="95"/>
      <c r="BT58" s="95"/>
      <c r="BU58" s="95"/>
      <c r="BV58" s="95"/>
      <c r="BW58" s="28"/>
      <c r="BX58" s="115"/>
      <c r="BY58" s="115"/>
      <c r="BZ58" s="115"/>
      <c r="CA58" s="115"/>
      <c r="CB58" s="28"/>
    </row>
    <row r="59">
      <c r="A59" s="107" t="s">
        <v>828</v>
      </c>
      <c r="B59" s="109">
        <v>42591.0</v>
      </c>
      <c r="C59" s="28"/>
      <c r="D59" s="28"/>
      <c r="E59" s="28"/>
      <c r="F59" s="28"/>
      <c r="G59" s="28"/>
      <c r="H59" s="28"/>
      <c r="I59" s="28"/>
      <c r="J59" s="132"/>
      <c r="K59" s="113"/>
      <c r="L59" s="168">
        <v>42591.0</v>
      </c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132"/>
      <c r="X59" s="113"/>
      <c r="Y59" s="109">
        <v>42591.0</v>
      </c>
      <c r="Z59" s="28"/>
      <c r="AA59" s="28"/>
      <c r="AB59" s="28"/>
      <c r="AC59" s="28"/>
      <c r="AD59" s="28"/>
      <c r="AE59" s="28"/>
      <c r="AF59" s="28"/>
      <c r="AG59" s="132"/>
      <c r="AH59" s="113"/>
      <c r="AI59" s="109">
        <v>42591.0</v>
      </c>
      <c r="AJ59" s="28"/>
      <c r="AK59" s="28"/>
      <c r="AL59" s="28"/>
      <c r="AM59" s="28"/>
      <c r="AN59" s="28"/>
      <c r="AO59" s="28"/>
      <c r="AP59" s="28"/>
      <c r="AQ59" s="28"/>
      <c r="AR59" s="124"/>
      <c r="AS59" s="109">
        <v>42591.0</v>
      </c>
      <c r="AT59" s="28"/>
      <c r="AU59" s="28"/>
      <c r="AV59" s="28"/>
      <c r="AW59" s="28"/>
      <c r="AX59" s="28"/>
      <c r="AY59" s="28"/>
      <c r="AZ59" s="28"/>
      <c r="BA59" s="28"/>
      <c r="BB59" s="724"/>
      <c r="BC59" s="109">
        <v>42591.0</v>
      </c>
      <c r="BD59" s="250"/>
      <c r="BE59" s="250"/>
      <c r="BF59" s="250"/>
      <c r="BG59" s="726"/>
      <c r="BH59" s="250"/>
      <c r="BI59" s="250"/>
      <c r="BJ59" s="250"/>
      <c r="BK59" s="250"/>
      <c r="BL59" s="132"/>
      <c r="BM59" s="113"/>
      <c r="BN59" s="136">
        <v>42591.0</v>
      </c>
      <c r="BO59" s="121"/>
      <c r="BP59" s="121"/>
      <c r="BQ59" s="121"/>
      <c r="BR59" s="121"/>
      <c r="BS59" s="121"/>
      <c r="BT59" s="121"/>
      <c r="BU59" s="121"/>
      <c r="BV59" s="121"/>
      <c r="BW59" s="132"/>
      <c r="BX59" s="727" t="s">
        <v>860</v>
      </c>
      <c r="BY59" s="106"/>
      <c r="BZ59" s="728" t="s">
        <v>862</v>
      </c>
      <c r="CA59" s="106"/>
      <c r="CB59" s="28"/>
    </row>
    <row r="60">
      <c r="A60" s="96"/>
      <c r="B60" s="472">
        <v>42623.0</v>
      </c>
      <c r="C60" s="729" t="s">
        <v>1228</v>
      </c>
      <c r="D60" s="61"/>
      <c r="E60" s="61"/>
      <c r="F60" s="61"/>
      <c r="G60" s="61"/>
      <c r="H60" s="61"/>
      <c r="I60" s="61"/>
      <c r="J60" s="46"/>
      <c r="K60" s="335" t="s">
        <v>413</v>
      </c>
      <c r="L60" s="168">
        <v>42623.0</v>
      </c>
      <c r="M60" s="199" t="s">
        <v>1229</v>
      </c>
      <c r="N60" s="61"/>
      <c r="O60" s="61"/>
      <c r="P60" s="61"/>
      <c r="Q60" s="61"/>
      <c r="R60" s="61"/>
      <c r="S60" s="61"/>
      <c r="T60" s="61"/>
      <c r="U60" s="61"/>
      <c r="V60" s="61"/>
      <c r="W60" s="46"/>
      <c r="X60" s="475" t="s">
        <v>281</v>
      </c>
      <c r="Y60" s="109">
        <v>42623.0</v>
      </c>
      <c r="Z60" s="385" t="s">
        <v>1230</v>
      </c>
      <c r="AA60" s="385" t="s">
        <v>1231</v>
      </c>
      <c r="AB60" s="149" t="s">
        <v>1232</v>
      </c>
      <c r="AC60" s="149" t="s">
        <v>1233</v>
      </c>
      <c r="AD60" s="385" t="s">
        <v>1234</v>
      </c>
      <c r="AE60" s="385" t="s">
        <v>1235</v>
      </c>
      <c r="AF60" s="629" t="s">
        <v>1236</v>
      </c>
      <c r="AG60" s="46"/>
      <c r="AH60" s="113"/>
      <c r="AI60" s="109">
        <v>42623.0</v>
      </c>
      <c r="AJ60" s="732" t="s">
        <v>1237</v>
      </c>
      <c r="AK60" s="46"/>
      <c r="AL60" s="732" t="s">
        <v>1238</v>
      </c>
      <c r="AM60" s="46"/>
      <c r="AN60" s="732" t="s">
        <v>1239</v>
      </c>
      <c r="AO60" s="46"/>
      <c r="AP60" s="733" t="s">
        <v>1240</v>
      </c>
      <c r="AQ60" s="46"/>
      <c r="AR60" s="124"/>
      <c r="AS60" s="109">
        <v>42623.0</v>
      </c>
      <c r="AV60" s="28"/>
      <c r="AW60" s="28"/>
      <c r="AZ60" s="28"/>
      <c r="BA60" s="28"/>
      <c r="BB60" s="113"/>
      <c r="BC60" s="109">
        <v>42623.0</v>
      </c>
      <c r="BF60" s="250"/>
      <c r="BG60" s="726"/>
      <c r="BH60" s="250"/>
      <c r="BI60" s="250"/>
      <c r="BJ60" s="228" t="s">
        <v>1241</v>
      </c>
      <c r="BK60" s="46"/>
      <c r="BL60" s="250"/>
      <c r="BM60" s="113"/>
      <c r="BN60" s="136">
        <v>42623.0</v>
      </c>
      <c r="BO60" s="163">
        <f t="shared" ref="BO60:BS60" si="27">countif($C60:$BM61,"*" &amp; BO$2 &amp; "*")</f>
        <v>1</v>
      </c>
      <c r="BP60" s="163">
        <f t="shared" si="27"/>
        <v>0</v>
      </c>
      <c r="BQ60" s="163">
        <f t="shared" si="27"/>
        <v>0</v>
      </c>
      <c r="BR60" s="163">
        <f t="shared" si="27"/>
        <v>0</v>
      </c>
      <c r="BS60" s="163">
        <f t="shared" si="27"/>
        <v>16</v>
      </c>
      <c r="BT60" s="132"/>
      <c r="BU60" s="132"/>
      <c r="BV60" s="132"/>
      <c r="BW60" s="736"/>
      <c r="BY60" s="106"/>
      <c r="CA60" s="106"/>
      <c r="CB60" s="28"/>
    </row>
    <row r="61">
      <c r="A61" s="96"/>
      <c r="B61" s="499">
        <v>42654.0</v>
      </c>
      <c r="C61" s="85"/>
      <c r="D61" s="87"/>
      <c r="E61" s="87"/>
      <c r="F61" s="87"/>
      <c r="G61" s="87"/>
      <c r="H61" s="87"/>
      <c r="I61" s="87"/>
      <c r="J61" s="86"/>
      <c r="K61" s="112"/>
      <c r="L61" s="737">
        <v>45576.0</v>
      </c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6"/>
      <c r="X61" s="112"/>
      <c r="Y61" s="168">
        <v>42654.0</v>
      </c>
      <c r="Z61" s="112"/>
      <c r="AA61" s="112"/>
      <c r="AB61" s="112"/>
      <c r="AC61" s="112"/>
      <c r="AD61" s="112"/>
      <c r="AE61" s="112"/>
      <c r="AF61" s="85"/>
      <c r="AG61" s="86"/>
      <c r="AH61" s="177"/>
      <c r="AI61" s="168">
        <v>42654.0</v>
      </c>
      <c r="AJ61" s="85"/>
      <c r="AK61" s="86"/>
      <c r="AL61" s="85"/>
      <c r="AM61" s="86"/>
      <c r="AN61" s="85"/>
      <c r="AO61" s="86"/>
      <c r="AP61" s="85"/>
      <c r="AQ61" s="86"/>
      <c r="AR61" s="170"/>
      <c r="AS61" s="168">
        <v>42654.0</v>
      </c>
      <c r="AZ61" s="28"/>
      <c r="BA61" s="28"/>
      <c r="BB61" s="177"/>
      <c r="BC61" s="168">
        <v>42654.0</v>
      </c>
      <c r="BF61" s="250"/>
      <c r="BG61" s="726"/>
      <c r="BH61" s="250"/>
      <c r="BI61" s="250"/>
      <c r="BJ61" s="142"/>
      <c r="BK61" s="106"/>
      <c r="BL61" s="250"/>
      <c r="BM61" s="113"/>
      <c r="BN61" s="172">
        <v>42654.0</v>
      </c>
      <c r="BO61" s="86"/>
      <c r="BP61" s="86"/>
      <c r="BQ61" s="86"/>
      <c r="BR61" s="86"/>
      <c r="BS61" s="86"/>
      <c r="BT61" s="86"/>
      <c r="BU61" s="86"/>
      <c r="BV61" s="86"/>
      <c r="BW61" s="132"/>
      <c r="BY61" s="106"/>
      <c r="CA61" s="106"/>
      <c r="CB61" s="28"/>
    </row>
    <row r="62">
      <c r="A62" s="96"/>
      <c r="B62" s="168">
        <v>42686.0</v>
      </c>
      <c r="C62" s="729" t="s">
        <v>1242</v>
      </c>
      <c r="D62" s="61"/>
      <c r="E62" s="61"/>
      <c r="F62" s="61"/>
      <c r="G62" s="61"/>
      <c r="H62" s="61"/>
      <c r="I62" s="61"/>
      <c r="J62" s="46"/>
      <c r="K62" s="335" t="s">
        <v>413</v>
      </c>
      <c r="L62" s="168">
        <v>42686.0</v>
      </c>
      <c r="M62" s="199" t="s">
        <v>1243</v>
      </c>
      <c r="N62" s="61"/>
      <c r="O62" s="61"/>
      <c r="P62" s="61"/>
      <c r="Q62" s="61"/>
      <c r="R62" s="61"/>
      <c r="S62" s="61"/>
      <c r="T62" s="61"/>
      <c r="U62" s="61"/>
      <c r="V62" s="61"/>
      <c r="W62" s="46"/>
      <c r="X62" s="540" t="s">
        <v>281</v>
      </c>
      <c r="Y62" s="168">
        <v>42686.0</v>
      </c>
      <c r="Z62" s="385" t="s">
        <v>1244</v>
      </c>
      <c r="AA62" s="385" t="s">
        <v>1245</v>
      </c>
      <c r="AB62" s="385" t="s">
        <v>1246</v>
      </c>
      <c r="AC62" s="385" t="s">
        <v>1247</v>
      </c>
      <c r="AD62" s="149" t="s">
        <v>1248</v>
      </c>
      <c r="AE62" s="149" t="s">
        <v>1249</v>
      </c>
      <c r="AF62" s="747" t="s">
        <v>1250</v>
      </c>
      <c r="AG62" s="86"/>
      <c r="AH62" s="177"/>
      <c r="AI62" s="168">
        <v>42686.0</v>
      </c>
      <c r="AJ62" s="732" t="s">
        <v>1251</v>
      </c>
      <c r="AK62" s="46"/>
      <c r="AL62" s="546" t="s">
        <v>1253</v>
      </c>
      <c r="AM62" s="46"/>
      <c r="AN62" s="579" t="s">
        <v>1254</v>
      </c>
      <c r="AO62" s="46"/>
      <c r="AP62" s="123" t="s">
        <v>1255</v>
      </c>
      <c r="AQ62" s="46"/>
      <c r="AR62" s="170"/>
      <c r="AS62" s="168">
        <v>42686.0</v>
      </c>
      <c r="AV62" s="149" t="s">
        <v>1257</v>
      </c>
      <c r="AW62" s="149" t="s">
        <v>1258</v>
      </c>
      <c r="AZ62" s="28"/>
      <c r="BA62" s="28"/>
      <c r="BB62" s="177"/>
      <c r="BC62" s="168">
        <v>42686.0</v>
      </c>
      <c r="BD62" s="250"/>
      <c r="BE62" s="250"/>
      <c r="BF62" s="250"/>
      <c r="BG62" s="726"/>
      <c r="BH62" s="250"/>
      <c r="BI62" s="250"/>
      <c r="BJ62" s="85"/>
      <c r="BK62" s="86"/>
      <c r="BL62" s="250"/>
      <c r="BM62" s="113"/>
      <c r="BN62" s="172">
        <v>42686.0</v>
      </c>
      <c r="BO62" s="163">
        <f t="shared" ref="BO62:BS62" si="28">countif($C62:$BM63,"*" &amp; BO$2 &amp; "*")</f>
        <v>1</v>
      </c>
      <c r="BP62" s="163">
        <f t="shared" si="28"/>
        <v>0</v>
      </c>
      <c r="BQ62" s="163">
        <f t="shared" si="28"/>
        <v>0</v>
      </c>
      <c r="BR62" s="163">
        <f t="shared" si="28"/>
        <v>0</v>
      </c>
      <c r="BS62" s="163">
        <f t="shared" si="28"/>
        <v>19</v>
      </c>
      <c r="BT62" s="132"/>
      <c r="BU62" s="132"/>
      <c r="BV62" s="132"/>
      <c r="BW62" s="736"/>
      <c r="BX62" s="87"/>
      <c r="BY62" s="86"/>
      <c r="BZ62" s="87"/>
      <c r="CA62" s="86"/>
      <c r="CB62" s="28"/>
    </row>
    <row r="63">
      <c r="A63" s="96"/>
      <c r="B63" s="168">
        <v>42717.0</v>
      </c>
      <c r="C63" s="85"/>
      <c r="D63" s="87"/>
      <c r="E63" s="87"/>
      <c r="F63" s="87"/>
      <c r="G63" s="87"/>
      <c r="H63" s="87"/>
      <c r="I63" s="87"/>
      <c r="J63" s="86"/>
      <c r="K63" s="112"/>
      <c r="L63" s="168">
        <v>42717.0</v>
      </c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6"/>
      <c r="X63" s="112"/>
      <c r="Y63" s="168">
        <v>42717.0</v>
      </c>
      <c r="Z63" s="112"/>
      <c r="AA63" s="112"/>
      <c r="AB63" s="112"/>
      <c r="AC63" s="112"/>
      <c r="AD63" s="112"/>
      <c r="AE63" s="112"/>
      <c r="AF63" s="115"/>
      <c r="AG63" s="121"/>
      <c r="AH63" s="177"/>
      <c r="AI63" s="168">
        <v>42717.0</v>
      </c>
      <c r="AJ63" s="85"/>
      <c r="AK63" s="86"/>
      <c r="AL63" s="85"/>
      <c r="AM63" s="86"/>
      <c r="AN63" s="85"/>
      <c r="AO63" s="86"/>
      <c r="AP63" s="85"/>
      <c r="AQ63" s="86"/>
      <c r="AR63" s="170"/>
      <c r="AS63" s="168">
        <v>42717.0</v>
      </c>
      <c r="AV63" s="112"/>
      <c r="AW63" s="112"/>
      <c r="AZ63" s="28"/>
      <c r="BA63" s="28"/>
      <c r="BB63" s="177"/>
      <c r="BC63" s="168">
        <v>42717.0</v>
      </c>
      <c r="BD63" s="748" t="s">
        <v>1263</v>
      </c>
      <c r="BE63" s="46"/>
      <c r="BF63" s="250"/>
      <c r="BG63" s="726"/>
      <c r="BH63" s="228" t="s">
        <v>1264</v>
      </c>
      <c r="BI63" s="46"/>
      <c r="BJ63" s="250"/>
      <c r="BK63" s="250"/>
      <c r="BL63" s="749"/>
      <c r="BM63" s="113"/>
      <c r="BN63" s="172">
        <v>42717.0</v>
      </c>
      <c r="BO63" s="86"/>
      <c r="BP63" s="86"/>
      <c r="BQ63" s="86"/>
      <c r="BR63" s="86"/>
      <c r="BS63" s="86"/>
      <c r="BT63" s="86"/>
      <c r="BU63" s="86"/>
      <c r="BV63" s="86"/>
      <c r="BW63" s="132"/>
      <c r="BX63" s="750" t="s">
        <v>927</v>
      </c>
      <c r="BY63" s="106"/>
      <c r="BZ63" s="728" t="s">
        <v>930</v>
      </c>
      <c r="CA63" s="106"/>
      <c r="CB63" s="28"/>
    </row>
    <row r="64">
      <c r="A64" s="96"/>
      <c r="B64" s="35" t="s">
        <v>310</v>
      </c>
      <c r="C64" s="228" t="s">
        <v>1265</v>
      </c>
      <c r="D64" s="46"/>
      <c r="E64" s="228" t="s">
        <v>1266</v>
      </c>
      <c r="F64" s="46"/>
      <c r="G64" s="228" t="s">
        <v>1267</v>
      </c>
      <c r="H64" s="46"/>
      <c r="I64" s="228" t="s">
        <v>1268</v>
      </c>
      <c r="J64" s="46"/>
      <c r="K64" s="724"/>
      <c r="L64" s="35" t="s">
        <v>310</v>
      </c>
      <c r="M64" s="141" t="s">
        <v>1269</v>
      </c>
      <c r="W64" s="106"/>
      <c r="X64" s="550" t="s">
        <v>281</v>
      </c>
      <c r="Y64" s="45" t="s">
        <v>310</v>
      </c>
      <c r="AB64" s="751" t="s">
        <v>1270</v>
      </c>
      <c r="AC64" s="751" t="s">
        <v>1271</v>
      </c>
      <c r="AD64" s="385" t="s">
        <v>1272</v>
      </c>
      <c r="AE64" s="385" t="s">
        <v>1273</v>
      </c>
      <c r="AF64" s="149" t="s">
        <v>1274</v>
      </c>
      <c r="AG64" s="149" t="s">
        <v>1275</v>
      </c>
      <c r="AH64" s="198"/>
      <c r="AI64" s="45" t="s">
        <v>310</v>
      </c>
      <c r="AJ64" s="28"/>
      <c r="AK64" s="28"/>
      <c r="AL64" s="28"/>
      <c r="AM64" s="28"/>
      <c r="AP64" s="28"/>
      <c r="AQ64" s="28"/>
      <c r="AR64" s="210"/>
      <c r="AS64" s="45" t="s">
        <v>310</v>
      </c>
      <c r="AT64" s="149" t="s">
        <v>1276</v>
      </c>
      <c r="AU64" s="149" t="s">
        <v>1277</v>
      </c>
      <c r="AV64" s="579" t="s">
        <v>1278</v>
      </c>
      <c r="AW64" s="579" t="s">
        <v>1279</v>
      </c>
      <c r="AX64" s="149" t="s">
        <v>1280</v>
      </c>
      <c r="AY64" s="149" t="s">
        <v>1281</v>
      </c>
      <c r="AZ64" s="579" t="s">
        <v>1282</v>
      </c>
      <c r="BA64" s="579" t="s">
        <v>1283</v>
      </c>
      <c r="BB64" s="198"/>
      <c r="BC64" s="35" t="s">
        <v>310</v>
      </c>
      <c r="BD64" s="142"/>
      <c r="BE64" s="106"/>
      <c r="BF64" s="250"/>
      <c r="BG64" s="726"/>
      <c r="BH64" s="142"/>
      <c r="BI64" s="106"/>
      <c r="BJ64" s="250"/>
      <c r="BK64" s="250"/>
      <c r="BL64" s="390" t="s">
        <v>1284</v>
      </c>
      <c r="BM64" s="113"/>
      <c r="BN64" s="213" t="s">
        <v>310</v>
      </c>
      <c r="BO64" s="163">
        <f t="shared" ref="BO64:BS64" si="29">countif($G64:$BM65,"*" &amp; BO$2 &amp; "*")</f>
        <v>1</v>
      </c>
      <c r="BP64" s="163">
        <f t="shared" si="29"/>
        <v>0</v>
      </c>
      <c r="BQ64" s="163">
        <f t="shared" si="29"/>
        <v>0</v>
      </c>
      <c r="BR64" s="163">
        <f t="shared" si="29"/>
        <v>0</v>
      </c>
      <c r="BS64" s="163">
        <f t="shared" si="29"/>
        <v>29</v>
      </c>
      <c r="BT64" s="132"/>
      <c r="BU64" s="132"/>
      <c r="BV64" s="132"/>
      <c r="BW64" s="736"/>
      <c r="BY64" s="106"/>
      <c r="CA64" s="106"/>
      <c r="CB64" s="28"/>
    </row>
    <row r="65">
      <c r="A65" s="96"/>
      <c r="B65" s="35" t="s">
        <v>341</v>
      </c>
      <c r="C65" s="85"/>
      <c r="D65" s="86"/>
      <c r="E65" s="85"/>
      <c r="F65" s="86"/>
      <c r="G65" s="85"/>
      <c r="H65" s="86"/>
      <c r="I65" s="85"/>
      <c r="J65" s="86"/>
      <c r="K65" s="112"/>
      <c r="L65" s="35" t="s">
        <v>341</v>
      </c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6"/>
      <c r="X65" s="112"/>
      <c r="Y65" s="45" t="s">
        <v>341</v>
      </c>
      <c r="AB65" s="112"/>
      <c r="AC65" s="112"/>
      <c r="AD65" s="112"/>
      <c r="AE65" s="112"/>
      <c r="AF65" s="112"/>
      <c r="AG65" s="112"/>
      <c r="AH65" s="198"/>
      <c r="AI65" s="45" t="s">
        <v>341</v>
      </c>
      <c r="AJ65" s="28"/>
      <c r="AK65" s="28"/>
      <c r="AL65" s="28"/>
      <c r="AM65" s="28"/>
      <c r="AP65" s="28"/>
      <c r="AQ65" s="28"/>
      <c r="AR65" s="210"/>
      <c r="AS65" s="45" t="s">
        <v>341</v>
      </c>
      <c r="AT65" s="112"/>
      <c r="AU65" s="112"/>
      <c r="AV65" s="85"/>
      <c r="AW65" s="85"/>
      <c r="AX65" s="112"/>
      <c r="AY65" s="112"/>
      <c r="AZ65" s="85"/>
      <c r="BA65" s="85"/>
      <c r="BB65" s="198"/>
      <c r="BC65" s="35" t="s">
        <v>341</v>
      </c>
      <c r="BD65" s="85"/>
      <c r="BE65" s="86"/>
      <c r="BF65" s="250"/>
      <c r="BG65" s="726"/>
      <c r="BH65" s="85"/>
      <c r="BI65" s="86"/>
      <c r="BJ65" s="250"/>
      <c r="BK65" s="250"/>
      <c r="BL65" s="86"/>
      <c r="BM65" s="113"/>
      <c r="BN65" s="213" t="s">
        <v>341</v>
      </c>
      <c r="BO65" s="86"/>
      <c r="BP65" s="86"/>
      <c r="BQ65" s="86"/>
      <c r="BR65" s="86"/>
      <c r="BS65" s="86"/>
      <c r="BT65" s="86"/>
      <c r="BU65" s="86"/>
      <c r="BV65" s="86"/>
      <c r="BW65" s="132"/>
      <c r="BY65" s="106"/>
      <c r="CA65" s="106"/>
      <c r="CB65" s="28"/>
    </row>
    <row r="66">
      <c r="A66" s="96"/>
      <c r="B66" s="35" t="s">
        <v>342</v>
      </c>
      <c r="C66" s="753" t="s">
        <v>1287</v>
      </c>
      <c r="D66" s="46"/>
      <c r="E66" s="753" t="s">
        <v>1289</v>
      </c>
      <c r="F66" s="46"/>
      <c r="G66" s="753" t="s">
        <v>1291</v>
      </c>
      <c r="H66" s="46"/>
      <c r="I66" s="753" t="s">
        <v>1291</v>
      </c>
      <c r="J66" s="46"/>
      <c r="K66" s="198"/>
      <c r="L66" s="45" t="s">
        <v>342</v>
      </c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32"/>
      <c r="X66" s="550"/>
      <c r="Y66" s="45" t="s">
        <v>342</v>
      </c>
      <c r="AB66" s="149" t="s">
        <v>1293</v>
      </c>
      <c r="AC66" s="149" t="s">
        <v>1295</v>
      </c>
      <c r="AF66" s="385" t="s">
        <v>1297</v>
      </c>
      <c r="AG66" s="385" t="s">
        <v>1299</v>
      </c>
      <c r="AH66" s="198"/>
      <c r="AI66" s="45" t="s">
        <v>342</v>
      </c>
      <c r="AJ66" s="228" t="s">
        <v>1300</v>
      </c>
      <c r="AK66" s="46"/>
      <c r="AR66" s="210"/>
      <c r="AS66" s="45" t="s">
        <v>342</v>
      </c>
      <c r="AT66" s="579" t="s">
        <v>1302</v>
      </c>
      <c r="AU66" s="579" t="s">
        <v>1303</v>
      </c>
      <c r="AV66" s="149" t="s">
        <v>1304</v>
      </c>
      <c r="AW66" s="149" t="s">
        <v>1306</v>
      </c>
      <c r="AX66" s="149" t="s">
        <v>1307</v>
      </c>
      <c r="AY66" s="149" t="s">
        <v>1308</v>
      </c>
      <c r="AZ66" s="149" t="s">
        <v>1309</v>
      </c>
      <c r="BA66" s="149" t="s">
        <v>1310</v>
      </c>
      <c r="BB66" s="198"/>
      <c r="BC66" s="35" t="s">
        <v>342</v>
      </c>
      <c r="BD66" s="629" t="s">
        <v>1312</v>
      </c>
      <c r="BE66" s="46"/>
      <c r="BF66" s="756" t="s">
        <v>1313</v>
      </c>
      <c r="BG66" s="726"/>
      <c r="BH66" s="250"/>
      <c r="BI66" s="250"/>
      <c r="BJ66" s="250"/>
      <c r="BK66" s="250"/>
      <c r="BL66" s="423" t="s">
        <v>1314</v>
      </c>
      <c r="BM66" s="113"/>
      <c r="BN66" s="213" t="s">
        <v>342</v>
      </c>
      <c r="BO66" s="163">
        <f t="shared" ref="BO66:BS66" si="30">countif($C66:$BM67,"*" &amp; BO$2 &amp; "*")</f>
        <v>0</v>
      </c>
      <c r="BP66" s="163">
        <f t="shared" si="30"/>
        <v>4</v>
      </c>
      <c r="BQ66" s="163">
        <f t="shared" si="30"/>
        <v>0</v>
      </c>
      <c r="BR66" s="163">
        <f t="shared" si="30"/>
        <v>0</v>
      </c>
      <c r="BS66" s="163">
        <f t="shared" si="30"/>
        <v>30</v>
      </c>
      <c r="BT66" s="132"/>
      <c r="BU66" s="132"/>
      <c r="BV66" s="132"/>
      <c r="BW66" s="132"/>
      <c r="BX66" s="87"/>
      <c r="BY66" s="86"/>
      <c r="BZ66" s="87"/>
      <c r="CA66" s="86"/>
      <c r="CB66" s="28"/>
    </row>
    <row r="67" ht="21.75" customHeight="1">
      <c r="A67" s="96"/>
      <c r="B67" s="35" t="s">
        <v>369</v>
      </c>
      <c r="C67" s="85"/>
      <c r="D67" s="86"/>
      <c r="E67" s="85"/>
      <c r="F67" s="86"/>
      <c r="G67" s="85"/>
      <c r="H67" s="86"/>
      <c r="I67" s="85"/>
      <c r="J67" s="86"/>
      <c r="K67" s="198"/>
      <c r="L67" s="45" t="s">
        <v>369</v>
      </c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761"/>
      <c r="X67" s="112"/>
      <c r="Y67" s="45" t="s">
        <v>369</v>
      </c>
      <c r="AB67" s="112"/>
      <c r="AC67" s="112"/>
      <c r="AF67" s="112"/>
      <c r="AG67" s="112"/>
      <c r="AH67" s="198"/>
      <c r="AI67" s="45" t="s">
        <v>369</v>
      </c>
      <c r="AJ67" s="142"/>
      <c r="AK67" s="106"/>
      <c r="AR67" s="210"/>
      <c r="AS67" s="45" t="s">
        <v>369</v>
      </c>
      <c r="AT67" s="85"/>
      <c r="AU67" s="85"/>
      <c r="AV67" s="112"/>
      <c r="AW67" s="112"/>
      <c r="AX67" s="112"/>
      <c r="AY67" s="112"/>
      <c r="AZ67" s="112"/>
      <c r="BA67" s="112"/>
      <c r="BB67" s="198"/>
      <c r="BC67" s="35" t="s">
        <v>369</v>
      </c>
      <c r="BD67" s="85"/>
      <c r="BE67" s="86"/>
      <c r="BF67" s="96"/>
      <c r="BG67" s="726"/>
      <c r="BH67" s="250"/>
      <c r="BI67" s="250"/>
      <c r="BJ67" s="250"/>
      <c r="BK67" s="250"/>
      <c r="BL67" s="86"/>
      <c r="BM67" s="113"/>
      <c r="BN67" s="213" t="s">
        <v>369</v>
      </c>
      <c r="BO67" s="86"/>
      <c r="BP67" s="86"/>
      <c r="BQ67" s="86"/>
      <c r="BR67" s="86"/>
      <c r="BS67" s="86"/>
      <c r="BT67" s="86"/>
      <c r="BU67" s="86"/>
      <c r="BV67" s="86"/>
      <c r="BW67" s="132"/>
      <c r="BX67" s="762" t="s">
        <v>959</v>
      </c>
      <c r="BY67" s="106"/>
      <c r="BZ67" s="728" t="s">
        <v>960</v>
      </c>
      <c r="CA67" s="106"/>
      <c r="CB67" s="28"/>
    </row>
    <row r="68">
      <c r="A68" s="96"/>
      <c r="B68" s="35" t="s">
        <v>375</v>
      </c>
      <c r="C68" s="288"/>
      <c r="D68" s="239"/>
      <c r="E68" s="239"/>
      <c r="F68" s="239"/>
      <c r="G68" s="239"/>
      <c r="H68" s="239"/>
      <c r="I68" s="239"/>
      <c r="J68" s="241"/>
      <c r="K68" s="198"/>
      <c r="L68" s="45" t="s">
        <v>375</v>
      </c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763"/>
      <c r="X68" s="198"/>
      <c r="Y68" s="45" t="s">
        <v>375</v>
      </c>
      <c r="AD68" s="28"/>
      <c r="AE68" s="28"/>
      <c r="AF68" s="28"/>
      <c r="AG68" s="28"/>
      <c r="AH68" s="198"/>
      <c r="AI68" s="45" t="s">
        <v>375</v>
      </c>
      <c r="AJ68" s="85"/>
      <c r="AK68" s="86"/>
      <c r="AR68" s="210"/>
      <c r="AS68" s="45" t="s">
        <v>375</v>
      </c>
      <c r="BB68" s="198"/>
      <c r="BC68" s="35" t="s">
        <v>375</v>
      </c>
      <c r="BD68" s="250"/>
      <c r="BE68" s="250"/>
      <c r="BF68" s="112"/>
      <c r="BG68" s="726"/>
      <c r="BH68" s="250"/>
      <c r="BI68" s="250"/>
      <c r="BJ68" s="250"/>
      <c r="BK68" s="250"/>
      <c r="BL68" s="132"/>
      <c r="BM68" s="113"/>
      <c r="BN68" s="213" t="s">
        <v>375</v>
      </c>
      <c r="BO68" s="163">
        <f t="shared" ref="BO68:BS68" si="31">countif($C68:$BM69,"*" &amp; BO$2 &amp; "*")</f>
        <v>0</v>
      </c>
      <c r="BP68" s="163">
        <f t="shared" si="31"/>
        <v>0</v>
      </c>
      <c r="BQ68" s="163">
        <f t="shared" si="31"/>
        <v>0</v>
      </c>
      <c r="BR68" s="163">
        <f t="shared" si="31"/>
        <v>0</v>
      </c>
      <c r="BS68" s="163">
        <f t="shared" si="31"/>
        <v>10</v>
      </c>
      <c r="BT68" s="132"/>
      <c r="BU68" s="132"/>
      <c r="BV68" s="132"/>
      <c r="BW68" s="132"/>
      <c r="BY68" s="106"/>
      <c r="CA68" s="106"/>
      <c r="CB68" s="28"/>
    </row>
    <row r="69">
      <c r="A69" s="96"/>
      <c r="B69" s="35" t="s">
        <v>392</v>
      </c>
      <c r="C69" s="288"/>
      <c r="D69" s="239"/>
      <c r="E69" s="239"/>
      <c r="F69" s="239"/>
      <c r="G69" s="239"/>
      <c r="H69" s="239"/>
      <c r="I69" s="239"/>
      <c r="J69" s="241"/>
      <c r="K69" s="198"/>
      <c r="L69" s="45" t="s">
        <v>392</v>
      </c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32"/>
      <c r="X69" s="198"/>
      <c r="Y69" s="45" t="s">
        <v>392</v>
      </c>
      <c r="AD69" s="28"/>
      <c r="AE69" s="28"/>
      <c r="AF69" s="28"/>
      <c r="AG69" s="28"/>
      <c r="AH69" s="198"/>
      <c r="AI69" s="45" t="s">
        <v>392</v>
      </c>
      <c r="AR69" s="210"/>
      <c r="AS69" s="45" t="s">
        <v>392</v>
      </c>
      <c r="BB69" s="198"/>
      <c r="BC69" s="35" t="s">
        <v>392</v>
      </c>
      <c r="BD69" s="250"/>
      <c r="BE69" s="250"/>
      <c r="BF69" s="250"/>
      <c r="BG69" s="726"/>
      <c r="BH69" s="250"/>
      <c r="BI69" s="250"/>
      <c r="BJ69" s="250"/>
      <c r="BK69" s="250"/>
      <c r="BL69" s="132"/>
      <c r="BM69" s="113"/>
      <c r="BN69" s="213" t="s">
        <v>392</v>
      </c>
      <c r="BO69" s="86"/>
      <c r="BP69" s="86"/>
      <c r="BQ69" s="86"/>
      <c r="BR69" s="86"/>
      <c r="BS69" s="86"/>
      <c r="BT69" s="86"/>
      <c r="BU69" s="86"/>
      <c r="BV69" s="86"/>
      <c r="BW69" s="132"/>
      <c r="BY69" s="106"/>
      <c r="CA69" s="106"/>
      <c r="CB69" s="28"/>
    </row>
    <row r="70">
      <c r="A70" s="96"/>
      <c r="B70" s="35" t="s">
        <v>398</v>
      </c>
      <c r="C70" s="288"/>
      <c r="D70" s="239"/>
      <c r="E70" s="239"/>
      <c r="F70" s="239"/>
      <c r="G70" s="239"/>
      <c r="H70" s="239"/>
      <c r="I70" s="239"/>
      <c r="J70" s="241"/>
      <c r="K70" s="198"/>
      <c r="L70" s="45" t="s">
        <v>398</v>
      </c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32"/>
      <c r="X70" s="198"/>
      <c r="Y70" s="45" t="s">
        <v>398</v>
      </c>
      <c r="Z70" s="28"/>
      <c r="AA70" s="28"/>
      <c r="AB70" s="28"/>
      <c r="AC70" s="28"/>
      <c r="AD70" s="28"/>
      <c r="AE70" s="28"/>
      <c r="AF70" s="28"/>
      <c r="AG70" s="28"/>
      <c r="AH70" s="198"/>
      <c r="AI70" s="45" t="s">
        <v>398</v>
      </c>
      <c r="AL70" s="28"/>
      <c r="AM70" s="28"/>
      <c r="AN70" s="28"/>
      <c r="AO70" s="28"/>
      <c r="AP70" s="28"/>
      <c r="AQ70" s="28"/>
      <c r="AR70" s="210"/>
      <c r="AS70" s="45" t="s">
        <v>398</v>
      </c>
      <c r="AW70" s="28"/>
      <c r="AX70" s="28"/>
      <c r="AY70" s="28"/>
      <c r="AZ70" s="28"/>
      <c r="BA70" s="28"/>
      <c r="BB70" s="198"/>
      <c r="BC70" s="35" t="s">
        <v>398</v>
      </c>
      <c r="BD70" s="250"/>
      <c r="BE70" s="250"/>
      <c r="BF70" s="250"/>
      <c r="BG70" s="726"/>
      <c r="BH70" s="250"/>
      <c r="BI70" s="250"/>
      <c r="BJ70" s="250"/>
      <c r="BK70" s="250"/>
      <c r="BL70" s="132"/>
      <c r="BM70" s="113"/>
      <c r="BN70" s="213" t="s">
        <v>398</v>
      </c>
      <c r="BO70" s="163">
        <f t="shared" ref="BO70:BS70" si="32">countif($C70:$BM71,"*" &amp; BO$2 &amp; "*")</f>
        <v>0</v>
      </c>
      <c r="BP70" s="163">
        <f t="shared" si="32"/>
        <v>0</v>
      </c>
      <c r="BQ70" s="163">
        <f t="shared" si="32"/>
        <v>0</v>
      </c>
      <c r="BR70" s="163">
        <f t="shared" si="32"/>
        <v>0</v>
      </c>
      <c r="BS70" s="163">
        <f t="shared" si="32"/>
        <v>10</v>
      </c>
      <c r="BT70" s="132"/>
      <c r="BU70" s="132"/>
      <c r="BV70" s="132"/>
      <c r="BW70" s="132"/>
      <c r="BX70" s="87"/>
      <c r="BY70" s="86"/>
      <c r="BZ70" s="87"/>
      <c r="CA70" s="86"/>
      <c r="CB70" s="28"/>
    </row>
    <row r="71">
      <c r="A71" s="112"/>
      <c r="B71" s="35" t="s">
        <v>408</v>
      </c>
      <c r="C71" s="284"/>
      <c r="D71" s="285"/>
      <c r="E71" s="285"/>
      <c r="F71" s="285"/>
      <c r="G71" s="285"/>
      <c r="H71" s="285"/>
      <c r="I71" s="285"/>
      <c r="J71" s="571"/>
      <c r="K71" s="308"/>
      <c r="L71" s="45" t="s">
        <v>408</v>
      </c>
      <c r="M71" s="314"/>
      <c r="N71" s="314"/>
      <c r="O71" s="314"/>
      <c r="P71" s="314"/>
      <c r="Q71" s="314"/>
      <c r="R71" s="314"/>
      <c r="S71" s="314"/>
      <c r="T71" s="314"/>
      <c r="U71" s="314"/>
      <c r="V71" s="314"/>
      <c r="W71" s="121"/>
      <c r="X71" s="308"/>
      <c r="Y71" s="45" t="s">
        <v>408</v>
      </c>
      <c r="Z71" s="115"/>
      <c r="AA71" s="115"/>
      <c r="AB71" s="115"/>
      <c r="AC71" s="115"/>
      <c r="AD71" s="115"/>
      <c r="AE71" s="115"/>
      <c r="AF71" s="115"/>
      <c r="AG71" s="115"/>
      <c r="AH71" s="308"/>
      <c r="AI71" s="45" t="s">
        <v>408</v>
      </c>
      <c r="AL71" s="115"/>
      <c r="AM71" s="115"/>
      <c r="AN71" s="115"/>
      <c r="AO71" s="115"/>
      <c r="AP71" s="115"/>
      <c r="AQ71" s="115"/>
      <c r="AR71" s="312"/>
      <c r="AS71" s="45" t="s">
        <v>408</v>
      </c>
      <c r="AW71" s="115"/>
      <c r="AX71" s="115"/>
      <c r="AY71" s="115"/>
      <c r="AZ71" s="115"/>
      <c r="BA71" s="115"/>
      <c r="BB71" s="308"/>
      <c r="BC71" s="35" t="s">
        <v>408</v>
      </c>
      <c r="BD71" s="705"/>
      <c r="BE71" s="705"/>
      <c r="BF71" s="705"/>
      <c r="BG71" s="769"/>
      <c r="BH71" s="705"/>
      <c r="BI71" s="705"/>
      <c r="BJ71" s="705"/>
      <c r="BK71" s="705"/>
      <c r="BL71" s="121"/>
      <c r="BM71" s="770"/>
      <c r="BN71" s="213" t="s">
        <v>408</v>
      </c>
      <c r="BO71" s="86"/>
      <c r="BP71" s="86"/>
      <c r="BQ71" s="86"/>
      <c r="BR71" s="86"/>
      <c r="BS71" s="86"/>
      <c r="BT71" s="86"/>
      <c r="BU71" s="86"/>
      <c r="BV71" s="86"/>
      <c r="BW71" s="28"/>
      <c r="BX71" s="28"/>
      <c r="BY71" s="28"/>
      <c r="BZ71" s="28"/>
      <c r="CA71" s="28"/>
      <c r="CB71" s="28"/>
    </row>
    <row r="72">
      <c r="A72" s="319"/>
      <c r="B72" s="95"/>
      <c r="C72" s="323"/>
      <c r="D72" s="323"/>
      <c r="E72" s="323"/>
      <c r="F72" s="323"/>
      <c r="G72" s="323"/>
      <c r="H72" s="323"/>
      <c r="I72" s="323"/>
      <c r="J72" s="323"/>
      <c r="K72" s="308"/>
      <c r="L72" s="95"/>
      <c r="M72" s="323"/>
      <c r="N72" s="323"/>
      <c r="O72" s="323"/>
      <c r="P72" s="323"/>
      <c r="Q72" s="323"/>
      <c r="R72" s="323"/>
      <c r="S72" s="323"/>
      <c r="T72" s="323"/>
      <c r="U72" s="323"/>
      <c r="V72" s="323"/>
      <c r="W72" s="95"/>
      <c r="X72" s="308"/>
      <c r="Y72" s="95"/>
      <c r="Z72" s="323"/>
      <c r="AA72" s="323"/>
      <c r="AB72" s="323"/>
      <c r="AC72" s="323"/>
      <c r="AD72" s="323"/>
      <c r="AE72" s="323"/>
      <c r="AF72" s="323"/>
      <c r="AG72" s="95"/>
      <c r="AH72" s="312"/>
      <c r="AI72" s="95"/>
      <c r="AJ72" s="323"/>
      <c r="AK72" s="323"/>
      <c r="AL72" s="323"/>
      <c r="AM72" s="323"/>
      <c r="AN72" s="323"/>
      <c r="AO72" s="323"/>
      <c r="AP72" s="323"/>
      <c r="AQ72" s="323"/>
      <c r="AR72" s="312"/>
      <c r="AS72" s="95"/>
      <c r="AT72" s="323"/>
      <c r="AU72" s="87"/>
      <c r="AV72" s="87"/>
      <c r="AW72" s="87"/>
      <c r="AX72" s="87"/>
      <c r="AY72" s="87"/>
      <c r="AZ72" s="87"/>
      <c r="BA72" s="86"/>
      <c r="BB72" s="312"/>
      <c r="BC72" s="95"/>
      <c r="BD72" s="323"/>
      <c r="BE72" s="87"/>
      <c r="BF72" s="86"/>
      <c r="BG72" s="723"/>
      <c r="BH72" s="323"/>
      <c r="BI72" s="87"/>
      <c r="BJ72" s="87"/>
      <c r="BK72" s="86"/>
      <c r="BL72" s="95"/>
      <c r="BM72" s="308"/>
      <c r="BN72" s="28"/>
      <c r="BO72" s="28"/>
      <c r="BP72" s="28"/>
      <c r="BQ72" s="132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</row>
    <row r="73" ht="19.5" hidden="1" customHeight="1">
      <c r="A73" s="773"/>
      <c r="B73" s="213"/>
      <c r="C73" s="774"/>
      <c r="D73" s="775" t="s">
        <v>1328</v>
      </c>
      <c r="E73" s="775" t="s">
        <v>1330</v>
      </c>
      <c r="F73" s="775" t="s">
        <v>1331</v>
      </c>
      <c r="G73" s="775" t="s">
        <v>1332</v>
      </c>
      <c r="H73" s="776" t="s">
        <v>1333</v>
      </c>
      <c r="I73" s="87"/>
      <c r="J73" s="87"/>
      <c r="K73" s="319"/>
      <c r="L73" s="213"/>
      <c r="M73" s="777"/>
      <c r="N73" s="775" t="s">
        <v>1328</v>
      </c>
      <c r="O73" s="775" t="s">
        <v>1330</v>
      </c>
      <c r="P73" s="775" t="s">
        <v>1331</v>
      </c>
      <c r="Q73" s="775" t="s">
        <v>1332</v>
      </c>
      <c r="R73" s="776" t="s">
        <v>1333</v>
      </c>
      <c r="S73" s="87"/>
      <c r="T73" s="87"/>
      <c r="U73" s="87"/>
      <c r="V73" s="87"/>
      <c r="W73" s="86"/>
      <c r="X73" s="319"/>
      <c r="Y73" s="213"/>
      <c r="Z73" s="777"/>
      <c r="AA73" s="775" t="s">
        <v>1328</v>
      </c>
      <c r="AB73" s="775" t="s">
        <v>1330</v>
      </c>
      <c r="AC73" s="775" t="s">
        <v>1331</v>
      </c>
      <c r="AD73" s="775" t="s">
        <v>1332</v>
      </c>
      <c r="AE73" s="776" t="s">
        <v>1333</v>
      </c>
      <c r="AF73" s="87"/>
      <c r="AG73" s="86"/>
      <c r="AH73" s="95"/>
      <c r="AI73" s="115"/>
      <c r="AJ73" s="777"/>
      <c r="AK73" s="775" t="s">
        <v>1328</v>
      </c>
      <c r="AL73" s="775" t="s">
        <v>1330</v>
      </c>
      <c r="AM73" s="775" t="s">
        <v>1331</v>
      </c>
      <c r="AN73" s="775" t="s">
        <v>1332</v>
      </c>
      <c r="AO73" s="776" t="s">
        <v>1333</v>
      </c>
      <c r="AP73" s="87"/>
      <c r="AQ73" s="86"/>
      <c r="AR73" s="95"/>
      <c r="AS73" s="213"/>
      <c r="AT73" s="777"/>
      <c r="AU73" s="775" t="s">
        <v>1328</v>
      </c>
      <c r="AV73" s="775" t="s">
        <v>1330</v>
      </c>
      <c r="AW73" s="775" t="s">
        <v>1331</v>
      </c>
      <c r="AX73" s="775" t="s">
        <v>1332</v>
      </c>
      <c r="AY73" s="776" t="s">
        <v>1333</v>
      </c>
      <c r="AZ73" s="87"/>
      <c r="BA73" s="87"/>
      <c r="BB73" s="95"/>
      <c r="BC73" s="213"/>
      <c r="BD73" s="774"/>
      <c r="BE73" s="121"/>
      <c r="BF73" s="121"/>
      <c r="BG73" s="121"/>
      <c r="BH73" s="115"/>
      <c r="BI73" s="115"/>
      <c r="BJ73" s="115"/>
      <c r="BK73" s="115"/>
      <c r="BL73" s="121"/>
      <c r="BM73" s="319"/>
      <c r="BN73" s="28"/>
      <c r="BO73" s="28"/>
      <c r="BP73" s="28"/>
      <c r="BQ73" s="132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</row>
    <row r="74" ht="61.5" hidden="1" customHeight="1">
      <c r="A74" s="773"/>
      <c r="B74" s="213"/>
      <c r="C74" s="778" t="s">
        <v>1334</v>
      </c>
      <c r="D74" s="775">
        <v>3.0</v>
      </c>
      <c r="E74" s="775">
        <v>1.0</v>
      </c>
      <c r="F74" s="775">
        <v>1.0</v>
      </c>
      <c r="G74" s="775">
        <v>0.0</v>
      </c>
      <c r="H74" s="776" t="s">
        <v>1335</v>
      </c>
      <c r="I74" s="87"/>
      <c r="J74" s="87"/>
      <c r="K74" s="319"/>
      <c r="L74" s="779"/>
      <c r="M74" s="778" t="s">
        <v>1334</v>
      </c>
      <c r="N74" s="775">
        <v>3.0</v>
      </c>
      <c r="O74" s="775">
        <v>1.0</v>
      </c>
      <c r="P74" s="775">
        <v>1.0</v>
      </c>
      <c r="Q74" s="775">
        <v>0.0</v>
      </c>
      <c r="R74" s="776" t="s">
        <v>1336</v>
      </c>
      <c r="S74" s="87"/>
      <c r="T74" s="87"/>
      <c r="U74" s="87"/>
      <c r="V74" s="87"/>
      <c r="W74" s="86"/>
      <c r="X74" s="319"/>
      <c r="Y74" s="779"/>
      <c r="Z74" s="778" t="s">
        <v>1334</v>
      </c>
      <c r="AA74" s="775">
        <v>3.0</v>
      </c>
      <c r="AB74" s="775">
        <v>1.0</v>
      </c>
      <c r="AC74" s="775">
        <v>1.0</v>
      </c>
      <c r="AD74" s="775">
        <v>0.0</v>
      </c>
      <c r="AE74" s="776" t="s">
        <v>1336</v>
      </c>
      <c r="AF74" s="87"/>
      <c r="AG74" s="86"/>
      <c r="AH74" s="95"/>
      <c r="AI74" s="314"/>
      <c r="AJ74" s="778" t="s">
        <v>1334</v>
      </c>
      <c r="AK74" s="775">
        <v>3.0</v>
      </c>
      <c r="AL74" s="775">
        <v>1.0</v>
      </c>
      <c r="AM74" s="775">
        <v>1.0</v>
      </c>
      <c r="AN74" s="775">
        <v>0.0</v>
      </c>
      <c r="AO74" s="776" t="s">
        <v>1337</v>
      </c>
      <c r="AP74" s="87"/>
      <c r="AQ74" s="86"/>
      <c r="AR74" s="95"/>
      <c r="AS74" s="779"/>
      <c r="AT74" s="778" t="s">
        <v>1334</v>
      </c>
      <c r="AU74" s="775">
        <v>3.0</v>
      </c>
      <c r="AV74" s="775">
        <v>1.0</v>
      </c>
      <c r="AW74" s="775">
        <v>1.0</v>
      </c>
      <c r="AX74" s="775">
        <v>0.0</v>
      </c>
      <c r="AY74" s="776" t="s">
        <v>1338</v>
      </c>
      <c r="AZ74" s="87"/>
      <c r="BA74" s="87"/>
      <c r="BB74" s="95"/>
      <c r="BC74" s="779"/>
      <c r="BD74" s="780" t="s">
        <v>1334</v>
      </c>
      <c r="BE74" s="121"/>
      <c r="BF74" s="121"/>
      <c r="BG74" s="121"/>
      <c r="BH74" s="115"/>
      <c r="BI74" s="115"/>
      <c r="BJ74" s="115"/>
      <c r="BK74" s="115"/>
      <c r="BL74" s="121"/>
      <c r="BM74" s="319"/>
      <c r="BN74" s="28"/>
      <c r="BO74" s="28"/>
      <c r="BP74" s="28"/>
      <c r="BQ74" s="132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</row>
    <row r="75" ht="60.75" hidden="1" customHeight="1">
      <c r="A75" s="773"/>
      <c r="B75" s="213"/>
      <c r="C75" s="778" t="s">
        <v>1339</v>
      </c>
      <c r="D75" s="775">
        <v>2.0</v>
      </c>
      <c r="E75" s="775">
        <v>1.0</v>
      </c>
      <c r="F75" s="775">
        <v>1.0</v>
      </c>
      <c r="G75" s="775">
        <v>0.0</v>
      </c>
      <c r="H75" s="776" t="s">
        <v>1340</v>
      </c>
      <c r="I75" s="87"/>
      <c r="J75" s="87"/>
      <c r="K75" s="319"/>
      <c r="L75" s="779"/>
      <c r="M75" s="778" t="s">
        <v>1339</v>
      </c>
      <c r="N75" s="775">
        <v>3.0</v>
      </c>
      <c r="O75" s="775">
        <v>1.0</v>
      </c>
      <c r="P75" s="775">
        <v>1.0</v>
      </c>
      <c r="Q75" s="775">
        <v>0.0</v>
      </c>
      <c r="R75" s="776" t="s">
        <v>1340</v>
      </c>
      <c r="S75" s="87"/>
      <c r="T75" s="87"/>
      <c r="U75" s="87"/>
      <c r="V75" s="87"/>
      <c r="W75" s="87"/>
      <c r="X75" s="319"/>
      <c r="Y75" s="779"/>
      <c r="Z75" s="778" t="s">
        <v>1339</v>
      </c>
      <c r="AA75" s="775">
        <v>3.0</v>
      </c>
      <c r="AB75" s="775">
        <v>1.0</v>
      </c>
      <c r="AC75" s="775">
        <v>1.0</v>
      </c>
      <c r="AD75" s="775">
        <v>0.0</v>
      </c>
      <c r="AE75" s="776" t="s">
        <v>1341</v>
      </c>
      <c r="AF75" s="87"/>
      <c r="AG75" s="86"/>
      <c r="AH75" s="95"/>
      <c r="AI75" s="314"/>
      <c r="AJ75" s="778" t="s">
        <v>1339</v>
      </c>
      <c r="AK75" s="775">
        <v>3.0</v>
      </c>
      <c r="AL75" s="775">
        <v>1.0</v>
      </c>
      <c r="AM75" s="775">
        <v>1.0</v>
      </c>
      <c r="AN75" s="775">
        <v>0.0</v>
      </c>
      <c r="AO75" s="776" t="s">
        <v>1340</v>
      </c>
      <c r="AP75" s="87"/>
      <c r="AQ75" s="87"/>
      <c r="AR75" s="95"/>
      <c r="AS75" s="779"/>
      <c r="AT75" s="778" t="s">
        <v>1339</v>
      </c>
      <c r="AU75" s="775">
        <v>2.0</v>
      </c>
      <c r="AV75" s="775">
        <v>1.0</v>
      </c>
      <c r="AW75" s="775">
        <v>1.0</v>
      </c>
      <c r="AX75" s="775">
        <v>0.0</v>
      </c>
      <c r="AY75" s="776" t="s">
        <v>1342</v>
      </c>
      <c r="AZ75" s="87"/>
      <c r="BA75" s="87"/>
      <c r="BB75" s="95"/>
      <c r="BC75" s="779"/>
      <c r="BD75" s="778" t="s">
        <v>1339</v>
      </c>
      <c r="BE75" s="781" t="s">
        <v>1343</v>
      </c>
      <c r="BF75" s="781"/>
      <c r="BG75" s="749"/>
      <c r="BH75" s="782" t="s">
        <v>1343</v>
      </c>
      <c r="BI75" s="87"/>
      <c r="BJ75" s="87"/>
      <c r="BK75" s="87"/>
      <c r="BL75" s="87"/>
      <c r="BM75" s="319"/>
      <c r="BN75" s="28"/>
      <c r="BO75" s="28"/>
      <c r="BP75" s="28"/>
      <c r="BQ75" s="132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</row>
    <row r="76" ht="19.5" hidden="1" customHeight="1">
      <c r="A76" s="773"/>
      <c r="B76" s="213"/>
      <c r="C76" s="778" t="s">
        <v>1344</v>
      </c>
      <c r="D76" s="775">
        <v>3.0</v>
      </c>
      <c r="E76" s="775">
        <v>1.0</v>
      </c>
      <c r="F76" s="775">
        <v>1.0</v>
      </c>
      <c r="G76" s="775">
        <v>0.0</v>
      </c>
      <c r="H76" s="783"/>
      <c r="I76" s="87"/>
      <c r="J76" s="87"/>
      <c r="K76" s="319"/>
      <c r="L76" s="779"/>
      <c r="M76" s="778" t="s">
        <v>1344</v>
      </c>
      <c r="N76" s="775">
        <v>3.0</v>
      </c>
      <c r="O76" s="775">
        <v>1.0</v>
      </c>
      <c r="P76" s="775">
        <v>1.0</v>
      </c>
      <c r="Q76" s="775">
        <v>0.0</v>
      </c>
      <c r="R76" s="776" t="s">
        <v>1345</v>
      </c>
      <c r="S76" s="87"/>
      <c r="T76" s="87"/>
      <c r="U76" s="87"/>
      <c r="V76" s="87"/>
      <c r="W76" s="86"/>
      <c r="X76" s="319"/>
      <c r="Y76" s="779"/>
      <c r="Z76" s="778" t="s">
        <v>1344</v>
      </c>
      <c r="AA76" s="775">
        <v>3.0</v>
      </c>
      <c r="AB76" s="775">
        <v>1.0</v>
      </c>
      <c r="AC76" s="775">
        <v>1.0</v>
      </c>
      <c r="AD76" s="775">
        <v>0.0</v>
      </c>
      <c r="AE76" s="776" t="s">
        <v>1346</v>
      </c>
      <c r="AF76" s="87"/>
      <c r="AG76" s="86"/>
      <c r="AH76" s="95"/>
      <c r="AI76" s="314"/>
      <c r="AJ76" s="778" t="s">
        <v>1344</v>
      </c>
      <c r="AK76" s="775">
        <v>3.0</v>
      </c>
      <c r="AL76" s="775">
        <v>1.0</v>
      </c>
      <c r="AM76" s="775">
        <v>1.0</v>
      </c>
      <c r="AN76" s="775">
        <v>0.0</v>
      </c>
      <c r="AO76" s="776" t="s">
        <v>1345</v>
      </c>
      <c r="AP76" s="87"/>
      <c r="AQ76" s="86"/>
      <c r="AR76" s="95"/>
      <c r="AS76" s="779"/>
      <c r="AT76" s="778" t="s">
        <v>1344</v>
      </c>
      <c r="AU76" s="775">
        <v>3.0</v>
      </c>
      <c r="AV76" s="775">
        <v>1.0</v>
      </c>
      <c r="AW76" s="775">
        <v>1.0</v>
      </c>
      <c r="AX76" s="775">
        <v>0.0</v>
      </c>
      <c r="AY76" s="776" t="s">
        <v>1347</v>
      </c>
      <c r="AZ76" s="87"/>
      <c r="BA76" s="87"/>
      <c r="BB76" s="95"/>
      <c r="BC76" s="779"/>
      <c r="BD76" s="778" t="s">
        <v>1344</v>
      </c>
      <c r="BE76" s="784" t="s">
        <v>1348</v>
      </c>
      <c r="BF76" s="784"/>
      <c r="BG76" s="749"/>
      <c r="BH76" s="785" t="s">
        <v>1348</v>
      </c>
      <c r="BI76" s="87"/>
      <c r="BJ76" s="87"/>
      <c r="BK76" s="87"/>
      <c r="BL76" s="86"/>
      <c r="BM76" s="319"/>
      <c r="BN76" s="28"/>
      <c r="BO76" s="28"/>
      <c r="BP76" s="28"/>
      <c r="BQ76" s="132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</row>
    <row r="77" ht="19.5" hidden="1" customHeight="1">
      <c r="A77" s="773"/>
      <c r="B77" s="213"/>
      <c r="C77" s="778" t="s">
        <v>1349</v>
      </c>
      <c r="D77" s="775">
        <v>3.0</v>
      </c>
      <c r="E77" s="775">
        <v>0.0</v>
      </c>
      <c r="F77" s="775">
        <v>1.5</v>
      </c>
      <c r="G77" s="775">
        <v>0.0</v>
      </c>
      <c r="H77" s="776" t="s">
        <v>1350</v>
      </c>
      <c r="I77" s="87"/>
      <c r="J77" s="87"/>
      <c r="K77" s="319"/>
      <c r="L77" s="779"/>
      <c r="M77" s="778" t="s">
        <v>1349</v>
      </c>
      <c r="N77" s="775">
        <v>3.0</v>
      </c>
      <c r="O77" s="775">
        <v>0.0</v>
      </c>
      <c r="P77" s="775">
        <v>1.5</v>
      </c>
      <c r="Q77" s="775">
        <v>0.0</v>
      </c>
      <c r="R77" s="783"/>
      <c r="S77" s="87"/>
      <c r="T77" s="87"/>
      <c r="U77" s="87"/>
      <c r="V77" s="87"/>
      <c r="W77" s="86"/>
      <c r="X77" s="319"/>
      <c r="Y77" s="779"/>
      <c r="Z77" s="778" t="s">
        <v>1349</v>
      </c>
      <c r="AA77" s="775">
        <v>3.0</v>
      </c>
      <c r="AB77" s="775">
        <v>0.0</v>
      </c>
      <c r="AC77" s="775">
        <v>1.5</v>
      </c>
      <c r="AD77" s="775">
        <v>0.0</v>
      </c>
      <c r="AE77" s="783"/>
      <c r="AF77" s="87"/>
      <c r="AG77" s="86"/>
      <c r="AH77" s="95"/>
      <c r="AI77" s="314"/>
      <c r="AJ77" s="778" t="s">
        <v>1349</v>
      </c>
      <c r="AK77" s="775">
        <v>3.0</v>
      </c>
      <c r="AL77" s="775">
        <v>0.0</v>
      </c>
      <c r="AM77" s="775">
        <v>1.5</v>
      </c>
      <c r="AN77" s="775">
        <v>0.0</v>
      </c>
      <c r="AO77" s="783"/>
      <c r="AP77" s="87"/>
      <c r="AQ77" s="86"/>
      <c r="AR77" s="95"/>
      <c r="AS77" s="779"/>
      <c r="AT77" s="778" t="s">
        <v>1349</v>
      </c>
      <c r="AU77" s="775">
        <v>3.0</v>
      </c>
      <c r="AV77" s="775">
        <v>0.0</v>
      </c>
      <c r="AW77" s="775">
        <v>1.5</v>
      </c>
      <c r="AX77" s="775">
        <v>0.0</v>
      </c>
      <c r="AY77" s="783"/>
      <c r="AZ77" s="87"/>
      <c r="BA77" s="87"/>
      <c r="BB77" s="95"/>
      <c r="BC77" s="779"/>
      <c r="BD77" s="780" t="s">
        <v>1349</v>
      </c>
      <c r="BE77" s="121"/>
      <c r="BF77" s="121"/>
      <c r="BG77" s="121"/>
      <c r="BH77" s="790"/>
      <c r="BI77" s="87"/>
      <c r="BJ77" s="87"/>
      <c r="BK77" s="87"/>
      <c r="BL77" s="86"/>
      <c r="BM77" s="319"/>
      <c r="BN77" s="28"/>
      <c r="BO77" s="28"/>
      <c r="BP77" s="28"/>
      <c r="BQ77" s="132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</row>
    <row r="78" ht="19.5" hidden="1" customHeight="1">
      <c r="A78" s="773"/>
      <c r="B78" s="213"/>
      <c r="C78" s="778" t="s">
        <v>1351</v>
      </c>
      <c r="D78" s="775">
        <v>2.0</v>
      </c>
      <c r="E78" s="775">
        <v>0.0</v>
      </c>
      <c r="F78" s="775">
        <v>1.0</v>
      </c>
      <c r="G78" s="775">
        <v>0.0</v>
      </c>
      <c r="H78" s="783"/>
      <c r="I78" s="87"/>
      <c r="J78" s="87"/>
      <c r="K78" s="319"/>
      <c r="L78" s="779"/>
      <c r="M78" s="778" t="s">
        <v>1351</v>
      </c>
      <c r="N78" s="775">
        <v>2.0</v>
      </c>
      <c r="O78" s="775">
        <v>0.0</v>
      </c>
      <c r="P78" s="775">
        <v>1.0</v>
      </c>
      <c r="Q78" s="775">
        <v>0.0</v>
      </c>
      <c r="R78" s="783"/>
      <c r="S78" s="87"/>
      <c r="T78" s="87"/>
      <c r="U78" s="87"/>
      <c r="V78" s="87"/>
      <c r="W78" s="86"/>
      <c r="X78" s="319"/>
      <c r="Y78" s="779"/>
      <c r="Z78" s="778" t="s">
        <v>1351</v>
      </c>
      <c r="AA78" s="775">
        <v>2.0</v>
      </c>
      <c r="AB78" s="775">
        <v>0.0</v>
      </c>
      <c r="AC78" s="775">
        <v>1.0</v>
      </c>
      <c r="AD78" s="775">
        <v>0.0</v>
      </c>
      <c r="AE78" s="783"/>
      <c r="AF78" s="87"/>
      <c r="AG78" s="86"/>
      <c r="AH78" s="95"/>
      <c r="AI78" s="314"/>
      <c r="AJ78" s="778" t="s">
        <v>1351</v>
      </c>
      <c r="AK78" s="775">
        <v>2.0</v>
      </c>
      <c r="AL78" s="775">
        <v>0.0</v>
      </c>
      <c r="AM78" s="775">
        <v>1.0</v>
      </c>
      <c r="AN78" s="775">
        <v>0.0</v>
      </c>
      <c r="AO78" s="783"/>
      <c r="AP78" s="87"/>
      <c r="AQ78" s="86"/>
      <c r="AR78" s="95"/>
      <c r="AS78" s="779"/>
      <c r="AT78" s="778" t="s">
        <v>1351</v>
      </c>
      <c r="AU78" s="775">
        <v>2.0</v>
      </c>
      <c r="AV78" s="775">
        <v>0.0</v>
      </c>
      <c r="AW78" s="775">
        <v>1.0</v>
      </c>
      <c r="AX78" s="775">
        <v>0.0</v>
      </c>
      <c r="AY78" s="783"/>
      <c r="AZ78" s="87"/>
      <c r="BA78" s="87"/>
      <c r="BB78" s="95"/>
      <c r="BC78" s="779"/>
      <c r="BD78" s="780" t="s">
        <v>1351</v>
      </c>
      <c r="BE78" s="121"/>
      <c r="BF78" s="121"/>
      <c r="BG78" s="121"/>
      <c r="BH78" s="790"/>
      <c r="BI78" s="87"/>
      <c r="BJ78" s="87"/>
      <c r="BK78" s="87"/>
      <c r="BL78" s="86"/>
      <c r="BM78" s="319"/>
      <c r="BN78" s="28"/>
      <c r="BO78" s="28"/>
      <c r="BP78" s="28"/>
      <c r="BQ78" s="132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</row>
    <row r="79" ht="19.5" hidden="1" customHeight="1">
      <c r="A79" s="773"/>
      <c r="B79" s="213"/>
      <c r="C79" s="778" t="s">
        <v>1354</v>
      </c>
      <c r="D79" s="775">
        <v>0.0</v>
      </c>
      <c r="E79" s="775">
        <v>0.0</v>
      </c>
      <c r="F79" s="775">
        <v>0.0</v>
      </c>
      <c r="G79" s="775">
        <v>1.0</v>
      </c>
      <c r="H79" s="783"/>
      <c r="I79" s="87"/>
      <c r="J79" s="87"/>
      <c r="K79" s="319"/>
      <c r="L79" s="779"/>
      <c r="M79" s="778" t="s">
        <v>1354</v>
      </c>
      <c r="N79" s="775">
        <v>0.0</v>
      </c>
      <c r="O79" s="775">
        <v>0.0</v>
      </c>
      <c r="P79" s="775">
        <v>0.0</v>
      </c>
      <c r="Q79" s="775">
        <v>1.0</v>
      </c>
      <c r="R79" s="776" t="s">
        <v>1355</v>
      </c>
      <c r="S79" s="87"/>
      <c r="T79" s="87"/>
      <c r="U79" s="87"/>
      <c r="V79" s="87"/>
      <c r="W79" s="86"/>
      <c r="X79" s="319"/>
      <c r="Y79" s="779"/>
      <c r="Z79" s="778" t="s">
        <v>1354</v>
      </c>
      <c r="AA79" s="775">
        <v>0.0</v>
      </c>
      <c r="AB79" s="775">
        <v>0.0</v>
      </c>
      <c r="AC79" s="775">
        <v>0.0</v>
      </c>
      <c r="AD79" s="775">
        <v>1.0</v>
      </c>
      <c r="AE79" s="783"/>
      <c r="AF79" s="87"/>
      <c r="AG79" s="86"/>
      <c r="AH79" s="95"/>
      <c r="AI79" s="314"/>
      <c r="AJ79" s="778" t="s">
        <v>1354</v>
      </c>
      <c r="AK79" s="775">
        <v>0.0</v>
      </c>
      <c r="AL79" s="775">
        <v>0.0</v>
      </c>
      <c r="AM79" s="775">
        <v>0.0</v>
      </c>
      <c r="AN79" s="775">
        <v>1.0</v>
      </c>
      <c r="AO79" s="783"/>
      <c r="AP79" s="87"/>
      <c r="AQ79" s="86"/>
      <c r="AR79" s="95"/>
      <c r="AS79" s="779"/>
      <c r="AT79" s="778" t="s">
        <v>1354</v>
      </c>
      <c r="AU79" s="775">
        <v>0.0</v>
      </c>
      <c r="AV79" s="775">
        <v>0.0</v>
      </c>
      <c r="AW79" s="775">
        <v>0.0</v>
      </c>
      <c r="AX79" s="775">
        <v>1.0</v>
      </c>
      <c r="AY79" s="783"/>
      <c r="AZ79" s="87"/>
      <c r="BA79" s="87"/>
      <c r="BB79" s="95"/>
      <c r="BC79" s="779"/>
      <c r="BD79" s="780" t="s">
        <v>1354</v>
      </c>
      <c r="BE79" s="121"/>
      <c r="BF79" s="121"/>
      <c r="BG79" s="121"/>
      <c r="BH79" s="790"/>
      <c r="BI79" s="87"/>
      <c r="BJ79" s="87"/>
      <c r="BK79" s="87"/>
      <c r="BL79" s="86"/>
      <c r="BM79" s="319"/>
      <c r="BN79" s="28"/>
      <c r="BO79" s="28"/>
      <c r="BP79" s="28"/>
      <c r="BQ79" s="132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</row>
    <row r="80" ht="19.5" hidden="1" customHeight="1">
      <c r="A80" s="773"/>
      <c r="B80" s="213"/>
      <c r="C80" s="778" t="s">
        <v>1357</v>
      </c>
      <c r="D80" s="775">
        <v>2.0</v>
      </c>
      <c r="E80" s="775">
        <v>0.0</v>
      </c>
      <c r="F80" s="775">
        <v>1.0</v>
      </c>
      <c r="G80" s="775">
        <v>0.0</v>
      </c>
      <c r="H80" s="783"/>
      <c r="I80" s="87"/>
      <c r="J80" s="87"/>
      <c r="K80" s="319"/>
      <c r="L80" s="779"/>
      <c r="M80" s="778" t="s">
        <v>1357</v>
      </c>
      <c r="N80" s="775">
        <v>2.0</v>
      </c>
      <c r="O80" s="775">
        <v>0.0</v>
      </c>
      <c r="P80" s="775">
        <v>1.0</v>
      </c>
      <c r="Q80" s="775">
        <v>0.0</v>
      </c>
      <c r="R80" s="783"/>
      <c r="S80" s="87"/>
      <c r="T80" s="87"/>
      <c r="U80" s="87"/>
      <c r="V80" s="87"/>
      <c r="W80" s="86"/>
      <c r="X80" s="319"/>
      <c r="Y80" s="779"/>
      <c r="Z80" s="778" t="s">
        <v>1357</v>
      </c>
      <c r="AA80" s="775">
        <v>2.0</v>
      </c>
      <c r="AB80" s="775">
        <v>0.0</v>
      </c>
      <c r="AC80" s="775">
        <v>1.0</v>
      </c>
      <c r="AD80" s="775">
        <v>0.0</v>
      </c>
      <c r="AE80" s="783"/>
      <c r="AF80" s="87"/>
      <c r="AG80" s="86"/>
      <c r="AH80" s="95"/>
      <c r="AI80" s="314"/>
      <c r="AJ80" s="778" t="s">
        <v>1357</v>
      </c>
      <c r="AK80" s="775">
        <v>2.0</v>
      </c>
      <c r="AL80" s="775">
        <v>0.0</v>
      </c>
      <c r="AM80" s="775">
        <v>1.0</v>
      </c>
      <c r="AN80" s="775">
        <v>0.0</v>
      </c>
      <c r="AO80" s="783"/>
      <c r="AP80" s="87"/>
      <c r="AQ80" s="86"/>
      <c r="AR80" s="95"/>
      <c r="AS80" s="779"/>
      <c r="AT80" s="778" t="s">
        <v>1357</v>
      </c>
      <c r="AU80" s="775">
        <v>2.0</v>
      </c>
      <c r="AV80" s="775">
        <v>0.0</v>
      </c>
      <c r="AW80" s="775">
        <v>1.0</v>
      </c>
      <c r="AX80" s="775">
        <v>0.0</v>
      </c>
      <c r="AY80" s="783"/>
      <c r="AZ80" s="87"/>
      <c r="BA80" s="87"/>
      <c r="BB80" s="95"/>
      <c r="BC80" s="779"/>
      <c r="BD80" s="780" t="s">
        <v>1357</v>
      </c>
      <c r="BE80" s="121"/>
      <c r="BF80" s="121"/>
      <c r="BG80" s="121"/>
      <c r="BH80" s="790"/>
      <c r="BI80" s="87"/>
      <c r="BJ80" s="87"/>
      <c r="BK80" s="87"/>
      <c r="BL80" s="86"/>
      <c r="BM80" s="319"/>
      <c r="BN80" s="28"/>
      <c r="BO80" s="28"/>
      <c r="BP80" s="28"/>
      <c r="BQ80" s="132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</row>
    <row r="81" ht="19.5" hidden="1" customHeight="1">
      <c r="A81" s="773"/>
      <c r="B81" s="213"/>
      <c r="C81" s="774"/>
      <c r="D81" s="775"/>
      <c r="E81" s="775"/>
      <c r="F81" s="775"/>
      <c r="G81" s="775"/>
      <c r="H81" s="775"/>
      <c r="I81" s="775"/>
      <c r="J81" s="775"/>
      <c r="K81" s="319"/>
      <c r="L81" s="213"/>
      <c r="M81" s="777"/>
      <c r="N81" s="775"/>
      <c r="O81" s="775"/>
      <c r="P81" s="775"/>
      <c r="Q81" s="775"/>
      <c r="R81" s="775"/>
      <c r="S81" s="775"/>
      <c r="T81" s="779"/>
      <c r="U81" s="779"/>
      <c r="V81" s="779"/>
      <c r="W81" s="213"/>
      <c r="X81" s="319"/>
      <c r="Y81" s="213"/>
      <c r="Z81" s="777"/>
      <c r="AA81" s="775"/>
      <c r="AB81" s="775"/>
      <c r="AC81" s="775"/>
      <c r="AD81" s="775"/>
      <c r="AE81" s="775"/>
      <c r="AF81" s="775"/>
      <c r="AG81" s="213"/>
      <c r="AH81" s="95"/>
      <c r="AI81" s="115"/>
      <c r="AJ81" s="777"/>
      <c r="AK81" s="775"/>
      <c r="AL81" s="775"/>
      <c r="AM81" s="775"/>
      <c r="AN81" s="775"/>
      <c r="AO81" s="775"/>
      <c r="AP81" s="775"/>
      <c r="AQ81" s="776"/>
      <c r="AR81" s="95"/>
      <c r="AS81" s="213"/>
      <c r="AT81" s="777"/>
      <c r="AU81" s="775"/>
      <c r="AV81" s="775"/>
      <c r="AW81" s="775"/>
      <c r="AX81" s="775"/>
      <c r="AY81" s="775"/>
      <c r="AZ81" s="775"/>
      <c r="BA81" s="776"/>
      <c r="BB81" s="95"/>
      <c r="BC81" s="213"/>
      <c r="BD81" s="774"/>
      <c r="BE81" s="121"/>
      <c r="BF81" s="121"/>
      <c r="BG81" s="121"/>
      <c r="BH81" s="115"/>
      <c r="BI81" s="115"/>
      <c r="BJ81" s="115"/>
      <c r="BK81" s="115"/>
      <c r="BL81" s="121"/>
      <c r="BM81" s="319"/>
      <c r="BN81" s="28"/>
      <c r="BO81" s="28"/>
      <c r="BP81" s="28"/>
      <c r="BQ81" s="132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</row>
    <row r="82" ht="19.5" hidden="1" customHeight="1">
      <c r="A82" s="773"/>
      <c r="B82" s="213"/>
      <c r="C82" s="774"/>
      <c r="D82" s="775"/>
      <c r="E82" s="775"/>
      <c r="F82" s="775"/>
      <c r="G82" s="775"/>
      <c r="H82" s="775"/>
      <c r="I82" s="775"/>
      <c r="J82" s="775"/>
      <c r="K82" s="319"/>
      <c r="L82" s="213"/>
      <c r="M82" s="777"/>
      <c r="N82" s="775"/>
      <c r="O82" s="775"/>
      <c r="P82" s="775"/>
      <c r="Q82" s="775"/>
      <c r="R82" s="775"/>
      <c r="S82" s="775"/>
      <c r="T82" s="779"/>
      <c r="U82" s="779"/>
      <c r="V82" s="779"/>
      <c r="W82" s="213"/>
      <c r="X82" s="319"/>
      <c r="Y82" s="213"/>
      <c r="Z82" s="777"/>
      <c r="AA82" s="775"/>
      <c r="AB82" s="775"/>
      <c r="AC82" s="775"/>
      <c r="AD82" s="775"/>
      <c r="AE82" s="775"/>
      <c r="AF82" s="775"/>
      <c r="AG82" s="213"/>
      <c r="AH82" s="95"/>
      <c r="AI82" s="115"/>
      <c r="AJ82" s="777"/>
      <c r="AK82" s="775"/>
      <c r="AL82" s="775"/>
      <c r="AM82" s="775"/>
      <c r="AN82" s="775"/>
      <c r="AO82" s="775"/>
      <c r="AP82" s="775"/>
      <c r="AQ82" s="776"/>
      <c r="AR82" s="95"/>
      <c r="AS82" s="213"/>
      <c r="AT82" s="777"/>
      <c r="AU82" s="775"/>
      <c r="AV82" s="775"/>
      <c r="AW82" s="775"/>
      <c r="AX82" s="775"/>
      <c r="AY82" s="775"/>
      <c r="AZ82" s="775"/>
      <c r="BA82" s="776"/>
      <c r="BB82" s="95"/>
      <c r="BC82" s="213"/>
      <c r="BD82" s="774"/>
      <c r="BE82" s="121"/>
      <c r="BF82" s="121"/>
      <c r="BG82" s="121"/>
      <c r="BH82" s="115"/>
      <c r="BI82" s="115"/>
      <c r="BJ82" s="115"/>
      <c r="BK82" s="115"/>
      <c r="BL82" s="121"/>
      <c r="BM82" s="319"/>
      <c r="BN82" s="28"/>
      <c r="BO82" s="28"/>
      <c r="BP82" s="28"/>
      <c r="BQ82" s="132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</row>
    <row r="83" ht="19.5" hidden="1" customHeight="1">
      <c r="A83" s="773"/>
      <c r="B83" s="213"/>
      <c r="C83" s="774"/>
      <c r="D83" s="775"/>
      <c r="E83" s="775"/>
      <c r="F83" s="775"/>
      <c r="G83" s="775"/>
      <c r="H83" s="775"/>
      <c r="I83" s="775"/>
      <c r="J83" s="775"/>
      <c r="K83" s="319"/>
      <c r="L83" s="213"/>
      <c r="M83" s="777"/>
      <c r="N83" s="775"/>
      <c r="O83" s="775"/>
      <c r="P83" s="775"/>
      <c r="Q83" s="775"/>
      <c r="R83" s="775"/>
      <c r="S83" s="775"/>
      <c r="T83" s="779"/>
      <c r="U83" s="779"/>
      <c r="V83" s="779"/>
      <c r="W83" s="213"/>
      <c r="X83" s="319"/>
      <c r="Y83" s="213"/>
      <c r="Z83" s="777"/>
      <c r="AA83" s="775"/>
      <c r="AB83" s="775"/>
      <c r="AC83" s="775"/>
      <c r="AD83" s="775"/>
      <c r="AE83" s="775"/>
      <c r="AF83" s="775"/>
      <c r="AG83" s="213"/>
      <c r="AH83" s="95"/>
      <c r="AI83" s="115"/>
      <c r="AJ83" s="777"/>
      <c r="AK83" s="775"/>
      <c r="AL83" s="775"/>
      <c r="AM83" s="775"/>
      <c r="AN83" s="775"/>
      <c r="AO83" s="775"/>
      <c r="AP83" s="775"/>
      <c r="AQ83" s="776"/>
      <c r="AR83" s="95"/>
      <c r="AS83" s="213"/>
      <c r="AT83" s="777"/>
      <c r="AU83" s="775"/>
      <c r="AV83" s="775"/>
      <c r="AW83" s="775"/>
      <c r="AX83" s="775"/>
      <c r="AY83" s="775"/>
      <c r="AZ83" s="775"/>
      <c r="BA83" s="776"/>
      <c r="BB83" s="95"/>
      <c r="BC83" s="213"/>
      <c r="BD83" s="774"/>
      <c r="BE83" s="121"/>
      <c r="BF83" s="121"/>
      <c r="BG83" s="121"/>
      <c r="BH83" s="115"/>
      <c r="BI83" s="115"/>
      <c r="BJ83" s="115"/>
      <c r="BK83" s="115"/>
      <c r="BL83" s="121"/>
      <c r="BM83" s="319"/>
      <c r="BN83" s="28"/>
      <c r="BO83" s="28"/>
      <c r="BP83" s="28"/>
      <c r="BQ83" s="132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</row>
    <row r="84" ht="19.5" hidden="1" customHeight="1">
      <c r="A84" s="773"/>
      <c r="B84" s="213"/>
      <c r="C84" s="774"/>
      <c r="D84" s="775"/>
      <c r="E84" s="775"/>
      <c r="F84" s="775"/>
      <c r="G84" s="775"/>
      <c r="H84" s="775"/>
      <c r="I84" s="775"/>
      <c r="J84" s="775"/>
      <c r="K84" s="319"/>
      <c r="L84" s="213"/>
      <c r="M84" s="777"/>
      <c r="N84" s="775"/>
      <c r="O84" s="775"/>
      <c r="P84" s="775"/>
      <c r="Q84" s="775"/>
      <c r="R84" s="775"/>
      <c r="S84" s="775"/>
      <c r="T84" s="779"/>
      <c r="U84" s="779"/>
      <c r="V84" s="779"/>
      <c r="W84" s="213"/>
      <c r="X84" s="319"/>
      <c r="Y84" s="213"/>
      <c r="Z84" s="777"/>
      <c r="AA84" s="775"/>
      <c r="AB84" s="775"/>
      <c r="AC84" s="775"/>
      <c r="AD84" s="775"/>
      <c r="AE84" s="775"/>
      <c r="AF84" s="775"/>
      <c r="AG84" s="213"/>
      <c r="AH84" s="95"/>
      <c r="AI84" s="115"/>
      <c r="AJ84" s="777"/>
      <c r="AK84" s="775"/>
      <c r="AL84" s="775"/>
      <c r="AM84" s="775"/>
      <c r="AN84" s="775"/>
      <c r="AO84" s="775"/>
      <c r="AP84" s="775"/>
      <c r="AQ84" s="776"/>
      <c r="AR84" s="95"/>
      <c r="AS84" s="213"/>
      <c r="AT84" s="777"/>
      <c r="AU84" s="775"/>
      <c r="AV84" s="775"/>
      <c r="AW84" s="775"/>
      <c r="AX84" s="775"/>
      <c r="AY84" s="775"/>
      <c r="AZ84" s="775"/>
      <c r="BA84" s="776"/>
      <c r="BB84" s="95"/>
      <c r="BC84" s="213"/>
      <c r="BD84" s="774"/>
      <c r="BE84" s="121"/>
      <c r="BF84" s="121"/>
      <c r="BG84" s="121"/>
      <c r="BH84" s="115"/>
      <c r="BI84" s="115"/>
      <c r="BJ84" s="115"/>
      <c r="BK84" s="115"/>
      <c r="BL84" s="121"/>
      <c r="BM84" s="319"/>
      <c r="BN84" s="28"/>
      <c r="BO84" s="28"/>
      <c r="BP84" s="28"/>
      <c r="BQ84" s="132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</row>
    <row r="85" ht="19.5" hidden="1" customHeight="1">
      <c r="A85" s="773"/>
      <c r="B85" s="213"/>
      <c r="C85" s="774"/>
      <c r="D85" s="775"/>
      <c r="E85" s="775"/>
      <c r="F85" s="775"/>
      <c r="G85" s="775"/>
      <c r="H85" s="775"/>
      <c r="I85" s="775"/>
      <c r="J85" s="775"/>
      <c r="K85" s="319"/>
      <c r="L85" s="213"/>
      <c r="M85" s="777"/>
      <c r="N85" s="775"/>
      <c r="O85" s="775"/>
      <c r="P85" s="775"/>
      <c r="Q85" s="775"/>
      <c r="R85" s="775"/>
      <c r="S85" s="775"/>
      <c r="T85" s="779"/>
      <c r="U85" s="779"/>
      <c r="V85" s="779"/>
      <c r="W85" s="213"/>
      <c r="X85" s="319"/>
      <c r="Y85" s="213"/>
      <c r="Z85" s="777"/>
      <c r="AA85" s="775"/>
      <c r="AB85" s="775"/>
      <c r="AC85" s="775"/>
      <c r="AD85" s="775"/>
      <c r="AE85" s="775"/>
      <c r="AF85" s="775"/>
      <c r="AG85" s="213"/>
      <c r="AH85" s="95"/>
      <c r="AI85" s="115"/>
      <c r="AJ85" s="777"/>
      <c r="AK85" s="775"/>
      <c r="AL85" s="775"/>
      <c r="AM85" s="775"/>
      <c r="AN85" s="775"/>
      <c r="AO85" s="775"/>
      <c r="AP85" s="775"/>
      <c r="AQ85" s="776"/>
      <c r="AR85" s="95"/>
      <c r="AS85" s="213"/>
      <c r="AT85" s="777"/>
      <c r="AU85" s="775"/>
      <c r="AV85" s="775"/>
      <c r="AW85" s="775"/>
      <c r="AX85" s="775"/>
      <c r="AY85" s="775"/>
      <c r="AZ85" s="775"/>
      <c r="BA85" s="776"/>
      <c r="BB85" s="95"/>
      <c r="BC85" s="213"/>
      <c r="BD85" s="774"/>
      <c r="BE85" s="121"/>
      <c r="BF85" s="121"/>
      <c r="BG85" s="121"/>
      <c r="BH85" s="115"/>
      <c r="BI85" s="115"/>
      <c r="BJ85" s="115"/>
      <c r="BK85" s="115"/>
      <c r="BL85" s="121"/>
      <c r="BM85" s="319"/>
      <c r="BN85" s="28"/>
      <c r="BO85" s="28"/>
      <c r="BP85" s="28"/>
      <c r="BQ85" s="132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</row>
    <row r="86" ht="19.5" hidden="1" customHeight="1">
      <c r="A86" s="773"/>
      <c r="B86" s="213" t="s">
        <v>1361</v>
      </c>
      <c r="C86" s="793">
        <f>countif(C$3:J$71,"*" &amp; "Teoria transmisiunii informatiei" &amp; "*")</f>
        <v>1</v>
      </c>
      <c r="D86" s="776" t="s">
        <v>1363</v>
      </c>
      <c r="E86" s="87"/>
      <c r="F86" s="87"/>
      <c r="G86" s="87"/>
      <c r="H86" s="87"/>
      <c r="I86" s="87"/>
      <c r="J86" s="86"/>
      <c r="K86" s="319"/>
      <c r="L86" s="213" t="s">
        <v>1361</v>
      </c>
      <c r="M86" s="794">
        <f>countif(M$3:T$71,"*" &amp; "Teoria transmisiunii informatiei" &amp; "*")</f>
        <v>1</v>
      </c>
      <c r="N86" s="776" t="s">
        <v>1367</v>
      </c>
      <c r="O86" s="87"/>
      <c r="P86" s="87"/>
      <c r="Q86" s="87"/>
      <c r="R86" s="87"/>
      <c r="S86" s="87"/>
      <c r="T86" s="87"/>
      <c r="U86" s="87"/>
      <c r="V86" s="87"/>
      <c r="W86" s="86"/>
      <c r="X86" s="319"/>
      <c r="Y86" s="213" t="s">
        <v>1361</v>
      </c>
      <c r="Z86" s="794">
        <f>countif(Z$3:AG$71,"*" &amp; "Teoria transmisiunii informatiei" &amp; "*")</f>
        <v>1</v>
      </c>
      <c r="AA86" s="776" t="s">
        <v>1369</v>
      </c>
      <c r="AB86" s="87"/>
      <c r="AC86" s="87"/>
      <c r="AD86" s="87"/>
      <c r="AE86" s="87"/>
      <c r="AF86" s="87"/>
      <c r="AG86" s="86"/>
      <c r="AH86" s="95"/>
      <c r="AI86" s="213" t="s">
        <v>1361</v>
      </c>
      <c r="AJ86" s="794">
        <f>countif(AJ$3:AQ$71,"*" &amp; "Teoria transmisiunii informatiei" &amp; "*")</f>
        <v>1</v>
      </c>
      <c r="AK86" s="776" t="s">
        <v>1371</v>
      </c>
      <c r="AL86" s="87"/>
      <c r="AM86" s="87"/>
      <c r="AN86" s="87"/>
      <c r="AO86" s="87"/>
      <c r="AP86" s="87"/>
      <c r="AQ86" s="86"/>
      <c r="AR86" s="95"/>
      <c r="AS86" s="213" t="s">
        <v>1361</v>
      </c>
      <c r="AT86" s="794">
        <f>countif(AT$3:BA$71,"*" &amp; "Teoria transmisiunii informatiei" &amp; "*")</f>
        <v>1</v>
      </c>
      <c r="AU86" s="776" t="s">
        <v>1372</v>
      </c>
      <c r="AV86" s="87"/>
      <c r="AW86" s="87"/>
      <c r="AX86" s="87"/>
      <c r="AY86" s="87"/>
      <c r="AZ86" s="87"/>
      <c r="BA86" s="86"/>
      <c r="BB86" s="95"/>
      <c r="BC86" s="213" t="s">
        <v>1361</v>
      </c>
      <c r="BD86" s="793">
        <f>countif(BD$3:BO$71,"*" &amp; "Teoria transmisiunii informatiei" &amp; "*")</f>
        <v>0</v>
      </c>
      <c r="BE86" s="115" t="s">
        <v>1373</v>
      </c>
      <c r="BF86" s="87"/>
      <c r="BG86" s="87"/>
      <c r="BH86" s="87"/>
      <c r="BI86" s="87"/>
      <c r="BJ86" s="87"/>
      <c r="BK86" s="87"/>
      <c r="BL86" s="86"/>
      <c r="BM86" s="319"/>
      <c r="BN86" s="28"/>
      <c r="BO86" s="28"/>
      <c r="BP86" s="28"/>
      <c r="BQ86" s="132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</row>
    <row r="87" hidden="1">
      <c r="A87" s="773"/>
      <c r="B87" s="213" t="s">
        <v>1374</v>
      </c>
      <c r="C87" s="793">
        <f>countif(C$3:J$71,"*" &amp; "Microunde" &amp; "*")</f>
        <v>1</v>
      </c>
      <c r="D87" s="776" t="s">
        <v>1375</v>
      </c>
      <c r="E87" s="87"/>
      <c r="F87" s="87"/>
      <c r="G87" s="87"/>
      <c r="H87" s="87"/>
      <c r="I87" s="87"/>
      <c r="J87" s="86"/>
      <c r="K87" s="319"/>
      <c r="L87" s="213" t="s">
        <v>1374</v>
      </c>
      <c r="M87" s="794">
        <f>countif(M$3:T$71,"*" &amp; "Microunde" &amp; "*")</f>
        <v>0</v>
      </c>
      <c r="N87" s="776" t="s">
        <v>1376</v>
      </c>
      <c r="O87" s="87"/>
      <c r="P87" s="87"/>
      <c r="Q87" s="87"/>
      <c r="R87" s="87"/>
      <c r="S87" s="87"/>
      <c r="T87" s="87"/>
      <c r="U87" s="87"/>
      <c r="V87" s="87"/>
      <c r="W87" s="86"/>
      <c r="X87" s="319"/>
      <c r="Y87" s="213" t="s">
        <v>1374</v>
      </c>
      <c r="Z87" s="794">
        <f>countif(Z$3:AG$71,"*" &amp; "Microunde" &amp; "*")</f>
        <v>2</v>
      </c>
      <c r="AA87" s="776" t="s">
        <v>1377</v>
      </c>
      <c r="AB87" s="87"/>
      <c r="AC87" s="87"/>
      <c r="AD87" s="87"/>
      <c r="AE87" s="87"/>
      <c r="AF87" s="87"/>
      <c r="AG87" s="86"/>
      <c r="AH87" s="95"/>
      <c r="AI87" s="213" t="s">
        <v>1374</v>
      </c>
      <c r="AJ87" s="793">
        <f>countif(AJ$3:AQ$71,"*" &amp; "Microunde" &amp; "*")</f>
        <v>2</v>
      </c>
      <c r="AK87" s="776" t="s">
        <v>1378</v>
      </c>
      <c r="AL87" s="87"/>
      <c r="AM87" s="87"/>
      <c r="AN87" s="87"/>
      <c r="AO87" s="87"/>
      <c r="AP87" s="87"/>
      <c r="AQ87" s="86"/>
      <c r="AR87" s="95"/>
      <c r="AS87" s="213" t="s">
        <v>1374</v>
      </c>
      <c r="AT87" s="794">
        <f>countif(AT$3:BA$71,"*" &amp; "Microunde" &amp; "*")</f>
        <v>1</v>
      </c>
      <c r="AU87" s="776" t="s">
        <v>1379</v>
      </c>
      <c r="AV87" s="87"/>
      <c r="AW87" s="87"/>
      <c r="AX87" s="87"/>
      <c r="AY87" s="87"/>
      <c r="AZ87" s="87"/>
      <c r="BA87" s="86"/>
      <c r="BB87" s="95"/>
      <c r="BC87" s="213" t="s">
        <v>1374</v>
      </c>
      <c r="BD87" s="793">
        <f>countif(BD$3:BO$71,"*" &amp; "Microunde" &amp; "*")</f>
        <v>0</v>
      </c>
      <c r="BE87" s="115" t="s">
        <v>1380</v>
      </c>
      <c r="BF87" s="87"/>
      <c r="BG87" s="87"/>
      <c r="BH87" s="87"/>
      <c r="BI87" s="87"/>
      <c r="BJ87" s="87"/>
      <c r="BK87" s="87"/>
      <c r="BL87" s="86"/>
      <c r="BM87" s="319"/>
      <c r="BN87" s="28"/>
      <c r="BO87" s="28"/>
      <c r="BP87" s="28"/>
      <c r="BQ87" s="132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</row>
    <row r="88" hidden="1">
      <c r="A88" s="773"/>
      <c r="B88" s="213" t="s">
        <v>1381</v>
      </c>
      <c r="C88" s="793">
        <f>countif(C$3:J$71,"*" &amp; "Circuite integrate analogice" &amp; "*")</f>
        <v>0</v>
      </c>
      <c r="D88" s="776" t="s">
        <v>1382</v>
      </c>
      <c r="E88" s="87"/>
      <c r="F88" s="87"/>
      <c r="G88" s="87"/>
      <c r="H88" s="87"/>
      <c r="I88" s="87"/>
      <c r="J88" s="86"/>
      <c r="K88" s="319"/>
      <c r="L88" s="213" t="s">
        <v>1381</v>
      </c>
      <c r="M88" s="793">
        <f>countif(M$3:T$71,"*" &amp; "Circuite integrate analogice" &amp; "*")</f>
        <v>2</v>
      </c>
      <c r="N88" s="776" t="s">
        <v>1384</v>
      </c>
      <c r="O88" s="87"/>
      <c r="P88" s="87"/>
      <c r="Q88" s="87"/>
      <c r="R88" s="87"/>
      <c r="S88" s="87"/>
      <c r="T88" s="87"/>
      <c r="U88" s="87"/>
      <c r="V88" s="87"/>
      <c r="W88" s="86"/>
      <c r="X88" s="319"/>
      <c r="Y88" s="213" t="s">
        <v>1381</v>
      </c>
      <c r="Z88" s="793">
        <f>countif(Z$3:AG$71,"*" &amp; "Circuite integrate analogice" &amp; "*")</f>
        <v>2</v>
      </c>
      <c r="AA88" s="776" t="s">
        <v>1387</v>
      </c>
      <c r="AB88" s="87"/>
      <c r="AC88" s="87"/>
      <c r="AD88" s="87"/>
      <c r="AE88" s="87"/>
      <c r="AF88" s="87"/>
      <c r="AG88" s="86"/>
      <c r="AH88" s="95"/>
      <c r="AI88" s="213" t="s">
        <v>1381</v>
      </c>
      <c r="AJ88" s="794">
        <f>countif(AJ$3:AQ$71,"*" &amp; "Circuite integrate analogice" &amp; "*")</f>
        <v>2</v>
      </c>
      <c r="AK88" s="776" t="s">
        <v>1384</v>
      </c>
      <c r="AL88" s="87"/>
      <c r="AM88" s="87"/>
      <c r="AN88" s="87"/>
      <c r="AO88" s="87"/>
      <c r="AP88" s="87"/>
      <c r="AQ88" s="86"/>
      <c r="AR88" s="95"/>
      <c r="AS88" s="213" t="s">
        <v>1381</v>
      </c>
      <c r="AT88" s="794">
        <f>countif(AT$3:BA$71,"*" &amp; "Circuite integrate analogice" &amp; "*")</f>
        <v>2</v>
      </c>
      <c r="AU88" s="776" t="s">
        <v>1382</v>
      </c>
      <c r="AV88" s="87"/>
      <c r="AW88" s="87"/>
      <c r="AX88" s="87"/>
      <c r="AY88" s="87"/>
      <c r="AZ88" s="87"/>
      <c r="BA88" s="86"/>
      <c r="BB88" s="95"/>
      <c r="BC88" s="213" t="s">
        <v>1381</v>
      </c>
      <c r="BD88" s="794">
        <f>countif(BD$3:BO$71,"*" &amp; "Circuite integrate analogice" &amp; "*")</f>
        <v>0</v>
      </c>
      <c r="BE88" s="796" t="s">
        <v>1389</v>
      </c>
      <c r="BF88" s="87"/>
      <c r="BG88" s="87"/>
      <c r="BH88" s="87"/>
      <c r="BI88" s="87"/>
      <c r="BJ88" s="87"/>
      <c r="BK88" s="87"/>
      <c r="BL88" s="86"/>
      <c r="BM88" s="319"/>
      <c r="BN88" s="28"/>
      <c r="BO88" s="28"/>
      <c r="BP88" s="28"/>
      <c r="BQ88" s="132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</row>
    <row r="89" hidden="1">
      <c r="A89" s="773"/>
      <c r="B89" s="213" t="s">
        <v>1390</v>
      </c>
      <c r="C89" s="793">
        <f>countif(C$3:J$71,"*" &amp; "Instrumentatie electronica de masura" &amp; "*")</f>
        <v>0</v>
      </c>
      <c r="D89" s="776" t="s">
        <v>1391</v>
      </c>
      <c r="E89" s="87"/>
      <c r="F89" s="87"/>
      <c r="G89" s="87"/>
      <c r="H89" s="87"/>
      <c r="I89" s="87"/>
      <c r="J89" s="86"/>
      <c r="K89" s="319"/>
      <c r="L89" s="213" t="s">
        <v>1390</v>
      </c>
      <c r="M89" s="794">
        <f>countif(M$3:T$71,"*" &amp; "Instrumentatie electronica de masura" &amp; "*")</f>
        <v>1</v>
      </c>
      <c r="N89" s="776" t="s">
        <v>1392</v>
      </c>
      <c r="O89" s="87"/>
      <c r="P89" s="87"/>
      <c r="Q89" s="87"/>
      <c r="R89" s="87"/>
      <c r="S89" s="87"/>
      <c r="T89" s="87"/>
      <c r="U89" s="87"/>
      <c r="V89" s="87"/>
      <c r="W89" s="86"/>
      <c r="X89" s="319"/>
      <c r="Y89" s="213" t="s">
        <v>1390</v>
      </c>
      <c r="Z89" s="793">
        <f>countif(Z$3:AG$71,"*" &amp; "Instrumentatie electronica de masura" &amp; "*")</f>
        <v>1</v>
      </c>
      <c r="AA89" s="776" t="s">
        <v>1393</v>
      </c>
      <c r="AB89" s="87"/>
      <c r="AC89" s="87"/>
      <c r="AD89" s="87"/>
      <c r="AE89" s="87"/>
      <c r="AF89" s="87"/>
      <c r="AG89" s="86"/>
      <c r="AH89" s="95"/>
      <c r="AI89" s="213" t="s">
        <v>1390</v>
      </c>
      <c r="AJ89" s="794">
        <f>countif(AJ$3:AQ$71,"*" &amp; "Instrumentatie electronica de masura" &amp; "*")</f>
        <v>1</v>
      </c>
      <c r="AK89" s="776" t="s">
        <v>1394</v>
      </c>
      <c r="AL89" s="87"/>
      <c r="AM89" s="87"/>
      <c r="AN89" s="87"/>
      <c r="AO89" s="87"/>
      <c r="AP89" s="87"/>
      <c r="AQ89" s="86"/>
      <c r="AR89" s="95"/>
      <c r="AS89" s="213" t="s">
        <v>1390</v>
      </c>
      <c r="AT89" s="794">
        <f>countif(AT$3:BA$71,"*" &amp; "Instrumentatie electronica de masura" &amp; "*")</f>
        <v>1</v>
      </c>
      <c r="AU89" s="776" t="s">
        <v>1395</v>
      </c>
      <c r="AV89" s="87"/>
      <c r="AW89" s="87"/>
      <c r="AX89" s="87"/>
      <c r="AY89" s="87"/>
      <c r="AZ89" s="87"/>
      <c r="BA89" s="86"/>
      <c r="BB89" s="95"/>
      <c r="BC89" s="213" t="s">
        <v>1390</v>
      </c>
      <c r="BD89" s="794">
        <f>countif(BD$3:BO$71,"*" &amp; "Instrumentatie electronica de masura" &amp; "*")</f>
        <v>0</v>
      </c>
      <c r="BE89" s="776" t="s">
        <v>1396</v>
      </c>
      <c r="BF89" s="87"/>
      <c r="BG89" s="87"/>
      <c r="BH89" s="87"/>
      <c r="BI89" s="87"/>
      <c r="BJ89" s="87"/>
      <c r="BK89" s="87"/>
      <c r="BL89" s="86"/>
      <c r="BM89" s="319"/>
      <c r="BN89" s="28"/>
      <c r="BO89" s="28"/>
      <c r="BP89" s="28"/>
      <c r="BQ89" s="132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</row>
    <row r="90" hidden="1">
      <c r="A90" s="773"/>
      <c r="B90" s="213" t="s">
        <v>1397</v>
      </c>
      <c r="C90" s="793">
        <f>countif(C$3:J$71,"*" &amp; "Microcontrolere" &amp; "*")</f>
        <v>0</v>
      </c>
      <c r="D90" s="797"/>
      <c r="E90" s="4"/>
      <c r="F90" s="4"/>
      <c r="G90" s="4"/>
      <c r="H90" s="4"/>
      <c r="I90" s="4"/>
      <c r="J90" s="5"/>
      <c r="K90" s="319"/>
      <c r="L90" s="213" t="s">
        <v>1397</v>
      </c>
      <c r="M90" s="793">
        <f>countif(M$3:T$71,"*" &amp; "Microcontrolere" &amp; "*")</f>
        <v>0</v>
      </c>
      <c r="N90" s="798"/>
      <c r="O90" s="4"/>
      <c r="P90" s="4"/>
      <c r="Q90" s="4"/>
      <c r="R90" s="4"/>
      <c r="S90" s="4"/>
      <c r="T90" s="4"/>
      <c r="U90" s="4"/>
      <c r="V90" s="4"/>
      <c r="W90" s="5"/>
      <c r="X90" s="319"/>
      <c r="Y90" s="213" t="s">
        <v>1397</v>
      </c>
      <c r="Z90" s="793">
        <f>countif(Z$3:AG$71,"*" &amp; "Microcontrolere" &amp; "*")</f>
        <v>0</v>
      </c>
      <c r="AA90" s="798"/>
      <c r="AB90" s="4"/>
      <c r="AC90" s="4"/>
      <c r="AD90" s="4"/>
      <c r="AE90" s="4"/>
      <c r="AF90" s="4"/>
      <c r="AG90" s="5"/>
      <c r="AH90" s="95"/>
      <c r="AI90" s="213" t="s">
        <v>1397</v>
      </c>
      <c r="AJ90" s="793">
        <f>countif(AJ$3:AQ$71,"*" &amp; "Microcontrolere" &amp; "*")</f>
        <v>0</v>
      </c>
      <c r="AK90" s="798"/>
      <c r="AL90" s="4"/>
      <c r="AM90" s="4"/>
      <c r="AN90" s="4"/>
      <c r="AO90" s="4"/>
      <c r="AP90" s="4"/>
      <c r="AQ90" s="5"/>
      <c r="AR90" s="95"/>
      <c r="AS90" s="213" t="s">
        <v>1397</v>
      </c>
      <c r="AT90" s="793">
        <f>countif(AT$3:BA$71,"*" &amp; "Microcontrolere" &amp; "*")</f>
        <v>0</v>
      </c>
      <c r="AU90" s="798"/>
      <c r="AV90" s="4"/>
      <c r="AW90" s="4"/>
      <c r="AX90" s="4"/>
      <c r="AY90" s="4"/>
      <c r="AZ90" s="4"/>
      <c r="BA90" s="5"/>
      <c r="BB90" s="95"/>
      <c r="BC90" s="213" t="s">
        <v>1397</v>
      </c>
      <c r="BD90" s="793">
        <f>countif(BD$3:BO$71,"*" &amp; "Microcontrolere" &amp; "*")</f>
        <v>0</v>
      </c>
      <c r="BE90" s="800"/>
      <c r="BF90" s="87"/>
      <c r="BG90" s="87"/>
      <c r="BH90" s="87"/>
      <c r="BI90" s="87"/>
      <c r="BJ90" s="87"/>
      <c r="BK90" s="87"/>
      <c r="BL90" s="86"/>
      <c r="BM90" s="319"/>
      <c r="BN90" s="28"/>
      <c r="BO90" s="28"/>
      <c r="BP90" s="28"/>
      <c r="BQ90" s="132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</row>
    <row r="91" hidden="1">
      <c r="A91" s="773"/>
      <c r="B91" s="779" t="s">
        <v>1398</v>
      </c>
      <c r="C91" s="213">
        <f t="shared" ref="C91:C92" si="33">countif(C$3:J$71,"*" &amp; $B91 &amp; "*")</f>
        <v>0</v>
      </c>
      <c r="D91" s="797"/>
      <c r="E91" s="4"/>
      <c r="F91" s="4"/>
      <c r="G91" s="4"/>
      <c r="H91" s="4"/>
      <c r="I91" s="4"/>
      <c r="J91" s="5"/>
      <c r="K91" s="802"/>
      <c r="L91" s="213" t="s">
        <v>1398</v>
      </c>
      <c r="M91" s="213">
        <f>countif(M$3:T$71,"*" &amp; $B91 &amp; "*")</f>
        <v>0</v>
      </c>
      <c r="N91" s="798"/>
      <c r="O91" s="4"/>
      <c r="P91" s="4"/>
      <c r="Q91" s="4"/>
      <c r="R91" s="4"/>
      <c r="S91" s="4"/>
      <c r="T91" s="4"/>
      <c r="U91" s="4"/>
      <c r="V91" s="4"/>
      <c r="W91" s="5"/>
      <c r="X91" s="802"/>
      <c r="Y91" s="213" t="s">
        <v>1398</v>
      </c>
      <c r="Z91" s="213">
        <f>countif(Z$3:AG$71,"*" &amp; $B91 &amp; "*")</f>
        <v>0</v>
      </c>
      <c r="AA91" s="798"/>
      <c r="AB91" s="4"/>
      <c r="AC91" s="4"/>
      <c r="AD91" s="4"/>
      <c r="AE91" s="4"/>
      <c r="AF91" s="4"/>
      <c r="AG91" s="5"/>
      <c r="AH91" s="803"/>
      <c r="AI91" s="213" t="s">
        <v>1398</v>
      </c>
      <c r="AJ91" s="213">
        <f>countif(AJ$3:AQ$71,"*" &amp; $B91 &amp; "*")</f>
        <v>0</v>
      </c>
      <c r="AK91" s="798"/>
      <c r="AL91" s="4"/>
      <c r="AM91" s="4"/>
      <c r="AN91" s="4"/>
      <c r="AO91" s="4"/>
      <c r="AP91" s="4"/>
      <c r="AQ91" s="5"/>
      <c r="AR91" s="803"/>
      <c r="AS91" s="213" t="s">
        <v>1398</v>
      </c>
      <c r="AT91" s="213">
        <f>countif(AT$3:BA$71,"*" &amp; $B91 &amp; "*")</f>
        <v>0</v>
      </c>
      <c r="AU91" s="798"/>
      <c r="AV91" s="4"/>
      <c r="AW91" s="4"/>
      <c r="AX91" s="4"/>
      <c r="AY91" s="4"/>
      <c r="AZ91" s="4"/>
      <c r="BA91" s="5"/>
      <c r="BB91" s="803"/>
      <c r="BC91" s="213" t="s">
        <v>1398</v>
      </c>
      <c r="BD91" s="213">
        <f>countif(BD$3:BO$71,"*" &amp; $B91 &amp; "*")</f>
        <v>0</v>
      </c>
      <c r="BE91" s="800"/>
      <c r="BF91" s="87"/>
      <c r="BG91" s="87"/>
      <c r="BH91" s="87"/>
      <c r="BI91" s="87"/>
      <c r="BJ91" s="87"/>
      <c r="BK91" s="87"/>
      <c r="BL91" s="86"/>
      <c r="BM91" s="319"/>
      <c r="BN91" s="28"/>
      <c r="BO91" s="28"/>
      <c r="BP91" s="28"/>
      <c r="BQ91" s="132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</row>
    <row r="92" hidden="1">
      <c r="A92" s="773"/>
      <c r="B92" s="213" t="s">
        <v>1399</v>
      </c>
      <c r="C92" s="213">
        <f t="shared" si="33"/>
        <v>0</v>
      </c>
      <c r="D92" s="213"/>
      <c r="E92" s="213"/>
      <c r="F92" s="213"/>
      <c r="G92" s="213"/>
      <c r="H92" s="213"/>
      <c r="I92" s="213"/>
      <c r="J92" s="115"/>
      <c r="K92" s="319"/>
      <c r="L92" s="35" t="s">
        <v>1399</v>
      </c>
      <c r="M92" s="213">
        <f>countif(M$4:T$71,"*" &amp; $L92 &amp; "*")</f>
        <v>0</v>
      </c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319"/>
      <c r="Y92" s="35" t="s">
        <v>1399</v>
      </c>
      <c r="Z92" s="213"/>
      <c r="AA92" s="213"/>
      <c r="AB92" s="213"/>
      <c r="AC92" s="213"/>
      <c r="AD92" s="213"/>
      <c r="AE92" s="213"/>
      <c r="AF92" s="213"/>
      <c r="AG92" s="213"/>
      <c r="AH92" s="95"/>
      <c r="AI92" s="35" t="s">
        <v>1399</v>
      </c>
      <c r="AJ92" s="213"/>
      <c r="AK92" s="213"/>
      <c r="AL92" s="213"/>
      <c r="AM92" s="213"/>
      <c r="AN92" s="213"/>
      <c r="AO92" s="213"/>
      <c r="AP92" s="213"/>
      <c r="AQ92" s="115"/>
      <c r="AR92" s="95"/>
      <c r="AS92" s="213" t="s">
        <v>1399</v>
      </c>
      <c r="AT92" s="213"/>
      <c r="AU92" s="213"/>
      <c r="AV92" s="213"/>
      <c r="AW92" s="213"/>
      <c r="AX92" s="213"/>
      <c r="AY92" s="213"/>
      <c r="AZ92" s="213"/>
      <c r="BA92" s="213"/>
      <c r="BB92" s="95"/>
      <c r="BC92" s="35" t="s">
        <v>1399</v>
      </c>
      <c r="BD92" s="213">
        <f>countif(BD$3:BL$71,"*" &amp; $BC92 &amp; "*")</f>
        <v>0</v>
      </c>
      <c r="BE92" s="800"/>
      <c r="BF92" s="87"/>
      <c r="BG92" s="87"/>
      <c r="BH92" s="87"/>
      <c r="BI92" s="87"/>
      <c r="BJ92" s="87"/>
      <c r="BK92" s="87"/>
      <c r="BL92" s="86"/>
      <c r="BM92" s="319"/>
      <c r="BN92" s="28"/>
      <c r="BO92" s="28"/>
      <c r="BP92" s="28"/>
      <c r="BQ92" s="132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</row>
    <row r="93" hidden="1">
      <c r="A93" s="773"/>
      <c r="B93" s="213"/>
      <c r="C93" s="213"/>
      <c r="D93" s="213"/>
      <c r="E93" s="213"/>
      <c r="F93" s="213"/>
      <c r="G93" s="213"/>
      <c r="H93" s="213"/>
      <c r="I93" s="213"/>
      <c r="J93" s="115"/>
      <c r="K93" s="319"/>
      <c r="L93" s="35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319"/>
      <c r="Y93" s="35"/>
      <c r="Z93" s="213"/>
      <c r="AA93" s="213"/>
      <c r="AB93" s="213"/>
      <c r="AC93" s="213"/>
      <c r="AD93" s="213"/>
      <c r="AE93" s="213"/>
      <c r="AF93" s="213"/>
      <c r="AG93" s="213"/>
      <c r="AH93" s="95"/>
      <c r="AI93" s="35"/>
      <c r="AJ93" s="213"/>
      <c r="AK93" s="213"/>
      <c r="AL93" s="213"/>
      <c r="AM93" s="213"/>
      <c r="AN93" s="213"/>
      <c r="AO93" s="213"/>
      <c r="AP93" s="213"/>
      <c r="AQ93" s="115"/>
      <c r="AR93" s="95"/>
      <c r="AS93" s="213"/>
      <c r="AT93" s="213"/>
      <c r="AU93" s="213"/>
      <c r="AV93" s="213"/>
      <c r="AW93" s="213"/>
      <c r="AX93" s="213"/>
      <c r="AY93" s="213"/>
      <c r="AZ93" s="213"/>
      <c r="BA93" s="213"/>
      <c r="BB93" s="95"/>
      <c r="BC93" s="35"/>
      <c r="BD93" s="213"/>
      <c r="BE93" s="213"/>
      <c r="BF93" s="213"/>
      <c r="BG93" s="95"/>
      <c r="BH93" s="121"/>
      <c r="BI93" s="121"/>
      <c r="BJ93" s="121"/>
      <c r="BK93" s="121"/>
      <c r="BL93" s="121"/>
      <c r="BM93" s="319"/>
      <c r="BN93" s="28"/>
      <c r="BO93" s="28"/>
      <c r="BP93" s="28"/>
      <c r="BQ93" s="132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</row>
    <row r="94" hidden="1">
      <c r="A94" s="773"/>
      <c r="B94" s="213"/>
      <c r="C94" s="213"/>
      <c r="D94" s="213"/>
      <c r="E94" s="213"/>
      <c r="F94" s="213"/>
      <c r="G94" s="213"/>
      <c r="H94" s="213"/>
      <c r="I94" s="213"/>
      <c r="J94" s="115"/>
      <c r="K94" s="319"/>
      <c r="L94" s="35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319"/>
      <c r="Y94" s="35"/>
      <c r="Z94" s="213"/>
      <c r="AA94" s="213"/>
      <c r="AB94" s="213"/>
      <c r="AC94" s="213"/>
      <c r="AD94" s="213"/>
      <c r="AE94" s="213"/>
      <c r="AF94" s="213"/>
      <c r="AG94" s="213"/>
      <c r="AH94" s="95"/>
      <c r="AI94" s="35"/>
      <c r="AJ94" s="213"/>
      <c r="AK94" s="213"/>
      <c r="AL94" s="213"/>
      <c r="AM94" s="213"/>
      <c r="AN94" s="213"/>
      <c r="AO94" s="213"/>
      <c r="AP94" s="213"/>
      <c r="AQ94" s="115"/>
      <c r="AR94" s="95"/>
      <c r="AS94" s="213"/>
      <c r="AT94" s="213"/>
      <c r="AU94" s="213"/>
      <c r="AV94" s="213"/>
      <c r="AW94" s="213"/>
      <c r="AX94" s="213"/>
      <c r="AY94" s="213"/>
      <c r="AZ94" s="213"/>
      <c r="BA94" s="213"/>
      <c r="BB94" s="95"/>
      <c r="BC94" s="35"/>
      <c r="BD94" s="213"/>
      <c r="BE94" s="213"/>
      <c r="BF94" s="213"/>
      <c r="BG94" s="95"/>
      <c r="BH94" s="213"/>
      <c r="BI94" s="213"/>
      <c r="BJ94" s="213"/>
      <c r="BK94" s="213"/>
      <c r="BL94" s="213"/>
      <c r="BM94" s="319"/>
      <c r="BN94" s="28"/>
      <c r="BO94" s="28"/>
      <c r="BP94" s="28"/>
      <c r="BQ94" s="132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</row>
    <row r="95" hidden="1">
      <c r="A95" s="810"/>
      <c r="B95" s="811"/>
      <c r="C95" s="811"/>
      <c r="D95" s="811"/>
      <c r="E95" s="811"/>
      <c r="F95" s="811"/>
      <c r="G95" s="811"/>
      <c r="H95" s="811"/>
      <c r="I95" s="811"/>
      <c r="J95" s="814"/>
      <c r="K95" s="319"/>
      <c r="L95" s="811"/>
      <c r="M95" s="811"/>
      <c r="N95" s="811"/>
      <c r="O95" s="811"/>
      <c r="P95" s="811"/>
      <c r="Q95" s="811"/>
      <c r="R95" s="811"/>
      <c r="S95" s="811"/>
      <c r="T95" s="811"/>
      <c r="U95" s="811"/>
      <c r="V95" s="811"/>
      <c r="W95" s="811"/>
      <c r="X95" s="319"/>
      <c r="Y95" s="811"/>
      <c r="Z95" s="811"/>
      <c r="AA95" s="811"/>
      <c r="AB95" s="811"/>
      <c r="AC95" s="811"/>
      <c r="AD95" s="811"/>
      <c r="AE95" s="811"/>
      <c r="AF95" s="811"/>
      <c r="AG95" s="811"/>
      <c r="AH95" s="95"/>
      <c r="AI95" s="811"/>
      <c r="AJ95" s="811"/>
      <c r="AK95" s="811"/>
      <c r="AL95" s="811"/>
      <c r="AM95" s="811"/>
      <c r="AN95" s="811"/>
      <c r="AO95" s="811"/>
      <c r="AP95" s="811"/>
      <c r="AQ95" s="814"/>
      <c r="AR95" s="95"/>
      <c r="AS95" s="811"/>
      <c r="AT95" s="811"/>
      <c r="AU95" s="811"/>
      <c r="AV95" s="811"/>
      <c r="AW95" s="811"/>
      <c r="AX95" s="811"/>
      <c r="AY95" s="811"/>
      <c r="AZ95" s="811"/>
      <c r="BA95" s="811"/>
      <c r="BB95" s="95"/>
      <c r="BC95" s="811"/>
      <c r="BD95" s="811"/>
      <c r="BE95" s="811"/>
      <c r="BF95" s="811"/>
      <c r="BG95" s="95"/>
      <c r="BH95" s="811"/>
      <c r="BI95" s="811"/>
      <c r="BJ95" s="811"/>
      <c r="BK95" s="811"/>
      <c r="BL95" s="811"/>
      <c r="BM95" s="319"/>
      <c r="BN95" s="28"/>
      <c r="BO95" s="28"/>
      <c r="BP95" s="28"/>
      <c r="BQ95" s="132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</row>
    <row r="96" ht="18.0" hidden="1" customHeight="1">
      <c r="A96" s="773"/>
      <c r="B96" s="779" t="s">
        <v>1400</v>
      </c>
      <c r="C96" s="793">
        <f t="shared" ref="C96:C97" si="34">countif(C$6:D$71,"*" &amp; $B96 &amp; "*")</f>
        <v>1</v>
      </c>
      <c r="D96" s="793">
        <f t="shared" ref="D96:D97" si="35">countif(C$6:D$71,"*" &amp; $B96 &amp; "*")</f>
        <v>1</v>
      </c>
      <c r="E96" s="793">
        <f t="shared" ref="E96:E97" si="36">countif(E$6:F$71,"*" &amp; $B96 &amp; "*")</f>
        <v>1</v>
      </c>
      <c r="F96" s="793">
        <f t="shared" ref="F96:F97" si="37">countif(E$6:F$71,"*" &amp; $B96 &amp; "*")</f>
        <v>1</v>
      </c>
      <c r="G96" s="793">
        <f t="shared" ref="G96:G97" si="38">countif(G$3:H$71,"*" &amp; $B96 &amp; "*")</f>
        <v>1</v>
      </c>
      <c r="H96" s="793">
        <f t="shared" ref="H96:H97" si="39">countif(G$3:H$71,"*" &amp; $B96 &amp; "*")</f>
        <v>1</v>
      </c>
      <c r="I96" s="793">
        <f t="shared" ref="I96:I97" si="40">countif(I$3:J$71,"*" &amp; $B96 &amp; "*")</f>
        <v>1</v>
      </c>
      <c r="J96" s="823"/>
      <c r="K96" s="802"/>
      <c r="L96" s="213" t="s">
        <v>1400</v>
      </c>
      <c r="M96" s="793">
        <f t="shared" ref="M96:M98" si="41">countif(M$3:N$71,"*" &amp; $L96 &amp; "*")</f>
        <v>2</v>
      </c>
      <c r="N96" s="793">
        <f t="shared" ref="N96:N98" si="42">countif(M$3:N$71,"*" &amp; $L96 &amp; "*")</f>
        <v>2</v>
      </c>
      <c r="O96" s="793">
        <f t="shared" ref="O96:O98" si="43">countif(O$3:P$71,"*" &amp; $L96 &amp; "*")</f>
        <v>2</v>
      </c>
      <c r="P96" s="793">
        <f t="shared" ref="P96:P98" si="44">countif(O$3:P$71,"*" &amp; $L96 &amp; "*")</f>
        <v>2</v>
      </c>
      <c r="Q96" s="793">
        <f t="shared" ref="Q96:Q98" si="45">countif(Q$3:R$71,"*" &amp; $L96 &amp; "*")</f>
        <v>1</v>
      </c>
      <c r="R96" s="793">
        <f t="shared" ref="R96:R98" si="46">countif(Q$3:R$71,"*" &amp; $L96 &amp; "*")</f>
        <v>1</v>
      </c>
      <c r="S96" s="793">
        <f t="shared" ref="S96:S98" si="47">countif(S$3:T$71,"*" &amp; $L96 &amp; "*")</f>
        <v>4</v>
      </c>
      <c r="T96" s="793">
        <f t="shared" ref="T96:T98" si="48">countif(S$3:T$71,"*" &amp; $L96 &amp; "*")</f>
        <v>4</v>
      </c>
      <c r="U96" s="793"/>
      <c r="V96" s="793"/>
      <c r="W96" s="793"/>
      <c r="X96" s="802"/>
      <c r="Y96" s="213" t="s">
        <v>1400</v>
      </c>
      <c r="Z96" s="793">
        <f t="shared" ref="Z96:Z98" si="49">countif(Z$3:AA$71,"*" &amp; $Y96 &amp; "*")</f>
        <v>1</v>
      </c>
      <c r="AA96" s="793">
        <f t="shared" ref="AA96:AA98" si="50">countif(Z$3:AA$71,"*" &amp; $Y96 &amp; "*")</f>
        <v>1</v>
      </c>
      <c r="AB96" s="793">
        <f t="shared" ref="AB96:AB98" si="51">countif(AB$3:AC$71,"*" &amp; $Y96 &amp; "*")</f>
        <v>1</v>
      </c>
      <c r="AC96" s="793">
        <f t="shared" ref="AC96:AC98" si="52">countif(AB$3:AC$71,"*" &amp; $Y96 &amp; "*")</f>
        <v>1</v>
      </c>
      <c r="AD96" s="793">
        <f>countif(AD$3:AE$71,"*" &amp; $Y96 &amp; "*")</f>
        <v>2</v>
      </c>
      <c r="AE96" s="793">
        <f t="shared" ref="AE96:AE98" si="53">countif(AD$3:AE$71,"*" &amp; $Y96 &amp; "*")</f>
        <v>2</v>
      </c>
      <c r="AF96" s="793">
        <f t="shared" ref="AF96:AF98" si="54">countif(AF$3:AG$71,"*" &amp; $Y96 &amp; "*")</f>
        <v>1</v>
      </c>
      <c r="AG96" s="793">
        <f t="shared" ref="AG96:AG98" si="55">countif(AF$3:AG$71,"*" &amp; $Y96 &amp; "*")</f>
        <v>1</v>
      </c>
      <c r="AH96" s="803"/>
      <c r="AI96" s="213" t="s">
        <v>1400</v>
      </c>
      <c r="AJ96" s="793">
        <f t="shared" ref="AJ96:AJ98" si="56">countif(AJ$3:AK$67,"*" &amp; $Y96 &amp; "*")</f>
        <v>1</v>
      </c>
      <c r="AK96" s="793">
        <f t="shared" ref="AK96:AK98" si="57">countif(AJ$3:AK$67,"*" &amp; $Y96 &amp; "*")</f>
        <v>1</v>
      </c>
      <c r="AL96" s="793">
        <f t="shared" ref="AL96:AL98" si="58">countif(AL$3:AM$71,"*" &amp; $Y96 &amp; "*")</f>
        <v>1</v>
      </c>
      <c r="AM96" s="793">
        <f t="shared" ref="AM96:AM98" si="59">countif(AL$3:AM$71,"*" &amp; $Y96 &amp; "*")</f>
        <v>1</v>
      </c>
      <c r="AN96" s="793">
        <f>countif(AN$3:AO$71,"*" &amp; $Y96 &amp; "*")</f>
        <v>1</v>
      </c>
      <c r="AO96" s="793">
        <f t="shared" ref="AO96:AO98" si="60">countif(AN$3:AO$71,"*" &amp; $Y96 &amp; "*")</f>
        <v>1</v>
      </c>
      <c r="AP96" s="793">
        <f t="shared" ref="AP96:AP98" si="61">countif(AP$3:AQ$71,"*" &amp; $Y96 &amp; "*")</f>
        <v>1</v>
      </c>
      <c r="AQ96" s="793"/>
      <c r="AR96" s="803"/>
      <c r="AS96" s="213" t="s">
        <v>1400</v>
      </c>
      <c r="AT96" s="793">
        <f t="shared" ref="AT96:AT98" si="62">countif(AT$3:AU$69,"*" &amp; $Y96 &amp; "*")</f>
        <v>2</v>
      </c>
      <c r="AU96" s="793">
        <f t="shared" ref="AU96:AU98" si="63">countif(AT$3:AU$69,"*" &amp; $Y96 &amp; "*")</f>
        <v>2</v>
      </c>
      <c r="AV96" s="793">
        <f t="shared" ref="AV96:AV98" si="64">countif(AV$3:AW$69,"*" &amp; $Y96 &amp; "*")</f>
        <v>1</v>
      </c>
      <c r="AW96" s="793">
        <f t="shared" ref="AW96:AW98" si="65">countif(AV$3:AW$69,"*" &amp; $Y96 &amp; "*")</f>
        <v>1</v>
      </c>
      <c r="AX96" s="793">
        <f>countif(AX$3:AY$71,"*" &amp; $Y96 &amp; "*")</f>
        <v>2</v>
      </c>
      <c r="AY96" s="793">
        <f t="shared" ref="AY96:AY98" si="66">countif(AX$3:AY$71,"*" &amp; $Y96 &amp; "*")</f>
        <v>2</v>
      </c>
      <c r="AZ96" s="793">
        <f t="shared" ref="AZ96:AZ98" si="67">countif(AZ$3:BA$71,"*" &amp; $Y96 &amp; "*")</f>
        <v>1</v>
      </c>
      <c r="BA96" s="793">
        <f t="shared" ref="BA96:BA98" si="68">countif(AZ$3:BA$71,"*" &amp; $Y96 &amp; "*")</f>
        <v>1</v>
      </c>
      <c r="BB96" s="803"/>
      <c r="BC96" s="213" t="s">
        <v>1400</v>
      </c>
      <c r="BD96" s="793">
        <f t="shared" ref="BD96:BD98" si="69">countif(BD$3:BE$71,"*" &amp; $BC96 &amp; "*")</f>
        <v>1</v>
      </c>
      <c r="BE96" s="793">
        <f t="shared" ref="BE96:BE98" si="70">countif(BD$3:BE$71,"*" &amp; $BC96 &amp; "*")</f>
        <v>1</v>
      </c>
      <c r="BF96" s="793"/>
      <c r="BG96" s="95" t="s">
        <v>1410</v>
      </c>
      <c r="BH96" s="793">
        <f t="shared" ref="BH96:BH98" si="71">countif(BH$3:BL$71,"*" &amp; $BC96 &amp; "*")</f>
        <v>2</v>
      </c>
      <c r="BI96" s="793"/>
      <c r="BJ96" s="793"/>
      <c r="BK96" s="793"/>
      <c r="BL96" s="793">
        <f t="shared" ref="BL96:BL98" si="72">countif(BH$3:BL$71,"*" &amp; $BC96 &amp; "*")</f>
        <v>2</v>
      </c>
      <c r="BM96" s="319"/>
      <c r="BN96" s="28"/>
      <c r="BO96" s="28"/>
      <c r="BP96" s="28"/>
      <c r="BQ96" s="132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</row>
    <row r="97" hidden="1">
      <c r="A97" s="773"/>
      <c r="B97" s="779" t="s">
        <v>1413</v>
      </c>
      <c r="C97" s="793">
        <f t="shared" si="34"/>
        <v>0</v>
      </c>
      <c r="D97" s="793">
        <f t="shared" si="35"/>
        <v>0</v>
      </c>
      <c r="E97" s="793">
        <f t="shared" si="36"/>
        <v>0</v>
      </c>
      <c r="F97" s="793">
        <f t="shared" si="37"/>
        <v>0</v>
      </c>
      <c r="G97" s="793">
        <f t="shared" si="38"/>
        <v>0</v>
      </c>
      <c r="H97" s="793">
        <f t="shared" si="39"/>
        <v>0</v>
      </c>
      <c r="I97" s="793">
        <f t="shared" si="40"/>
        <v>0</v>
      </c>
      <c r="J97" s="823"/>
      <c r="K97" s="802"/>
      <c r="L97" s="213" t="s">
        <v>1414</v>
      </c>
      <c r="M97" s="793">
        <f t="shared" si="41"/>
        <v>0</v>
      </c>
      <c r="N97" s="793">
        <f t="shared" si="42"/>
        <v>0</v>
      </c>
      <c r="O97" s="793">
        <f t="shared" si="43"/>
        <v>0</v>
      </c>
      <c r="P97" s="793">
        <f t="shared" si="44"/>
        <v>0</v>
      </c>
      <c r="Q97" s="793">
        <f t="shared" si="45"/>
        <v>0</v>
      </c>
      <c r="R97" s="793">
        <f t="shared" si="46"/>
        <v>0</v>
      </c>
      <c r="S97" s="793">
        <f t="shared" si="47"/>
        <v>0</v>
      </c>
      <c r="T97" s="793">
        <f t="shared" si="48"/>
        <v>0</v>
      </c>
      <c r="U97" s="793"/>
      <c r="V97" s="793"/>
      <c r="W97" s="793"/>
      <c r="X97" s="802"/>
      <c r="Y97" s="213" t="s">
        <v>1414</v>
      </c>
      <c r="Z97" s="793">
        <f t="shared" si="49"/>
        <v>1</v>
      </c>
      <c r="AA97" s="793">
        <f t="shared" si="50"/>
        <v>1</v>
      </c>
      <c r="AB97" s="793">
        <f t="shared" si="51"/>
        <v>2</v>
      </c>
      <c r="AC97" s="793">
        <f t="shared" si="52"/>
        <v>2</v>
      </c>
      <c r="AD97" s="793">
        <f t="shared" ref="AD97:AD98" si="75">countif(AD$3:AD$71,"*" &amp; $Y97 &amp; "*")</f>
        <v>1</v>
      </c>
      <c r="AE97" s="793">
        <f t="shared" si="53"/>
        <v>1</v>
      </c>
      <c r="AF97" s="793">
        <f t="shared" si="54"/>
        <v>1</v>
      </c>
      <c r="AG97" s="793">
        <f t="shared" si="55"/>
        <v>1</v>
      </c>
      <c r="AH97" s="803"/>
      <c r="AI97" s="213" t="s">
        <v>1414</v>
      </c>
      <c r="AJ97" s="793">
        <f t="shared" si="56"/>
        <v>1</v>
      </c>
      <c r="AK97" s="793">
        <f t="shared" si="57"/>
        <v>1</v>
      </c>
      <c r="AL97" s="793">
        <f t="shared" si="58"/>
        <v>1</v>
      </c>
      <c r="AM97" s="793">
        <f t="shared" si="59"/>
        <v>1</v>
      </c>
      <c r="AN97" s="793">
        <f t="shared" ref="AN97:AN98" si="76">countif(AN$3:AN$71,"*" &amp; $Y97 &amp; "*")</f>
        <v>1</v>
      </c>
      <c r="AO97" s="793">
        <f t="shared" si="60"/>
        <v>1</v>
      </c>
      <c r="AP97" s="793">
        <f t="shared" si="61"/>
        <v>1</v>
      </c>
      <c r="AQ97" s="793"/>
      <c r="AR97" s="803"/>
      <c r="AS97" s="213" t="s">
        <v>1414</v>
      </c>
      <c r="AT97" s="793">
        <f t="shared" si="62"/>
        <v>1</v>
      </c>
      <c r="AU97" s="793">
        <f t="shared" si="63"/>
        <v>1</v>
      </c>
      <c r="AV97" s="793">
        <f t="shared" si="64"/>
        <v>1</v>
      </c>
      <c r="AW97" s="793">
        <f t="shared" si="65"/>
        <v>1</v>
      </c>
      <c r="AX97" s="793">
        <f t="shared" ref="AX97:AX101" si="77">countif(AX$3:AX$71,"*" &amp; $Y97 &amp; "*")</f>
        <v>1</v>
      </c>
      <c r="AY97" s="793">
        <f t="shared" si="66"/>
        <v>1</v>
      </c>
      <c r="AZ97" s="793">
        <f t="shared" si="67"/>
        <v>1</v>
      </c>
      <c r="BA97" s="793">
        <f t="shared" si="68"/>
        <v>1</v>
      </c>
      <c r="BB97" s="803"/>
      <c r="BC97" s="213" t="s">
        <v>1414</v>
      </c>
      <c r="BD97" s="793">
        <f t="shared" si="69"/>
        <v>1</v>
      </c>
      <c r="BE97" s="793">
        <f t="shared" si="70"/>
        <v>1</v>
      </c>
      <c r="BF97" s="793"/>
      <c r="BG97" s="95" t="s">
        <v>1419</v>
      </c>
      <c r="BH97" s="793">
        <f t="shared" si="71"/>
        <v>3</v>
      </c>
      <c r="BI97" s="793"/>
      <c r="BJ97" s="793"/>
      <c r="BK97" s="793"/>
      <c r="BL97" s="793">
        <f t="shared" si="72"/>
        <v>3</v>
      </c>
      <c r="BM97" s="319"/>
      <c r="BN97" s="28"/>
      <c r="BO97" s="28"/>
      <c r="BP97" s="28"/>
      <c r="BQ97" s="132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</row>
    <row r="98" hidden="1">
      <c r="A98" s="773"/>
      <c r="B98" s="779" t="s">
        <v>1420</v>
      </c>
      <c r="C98" s="793">
        <f t="shared" ref="C98:F98" si="73">countif(C$6:C$71,"*" &amp; $B98 &amp; "*")</f>
        <v>1</v>
      </c>
      <c r="D98" s="793">
        <f t="shared" si="73"/>
        <v>1</v>
      </c>
      <c r="E98" s="793">
        <f t="shared" si="73"/>
        <v>1</v>
      </c>
      <c r="F98" s="793">
        <f t="shared" si="73"/>
        <v>1</v>
      </c>
      <c r="G98" s="793">
        <f t="shared" ref="G98:I98" si="74">countif(G$3:G$71,"*" &amp; $B98 &amp; "*")</f>
        <v>1</v>
      </c>
      <c r="H98" s="793">
        <f t="shared" si="74"/>
        <v>1</v>
      </c>
      <c r="I98" s="793">
        <f t="shared" si="74"/>
        <v>1</v>
      </c>
      <c r="J98" s="823"/>
      <c r="K98" s="802"/>
      <c r="L98" s="213" t="s">
        <v>1413</v>
      </c>
      <c r="M98" s="793">
        <f t="shared" si="41"/>
        <v>4</v>
      </c>
      <c r="N98" s="793">
        <f t="shared" si="42"/>
        <v>4</v>
      </c>
      <c r="O98" s="793">
        <f t="shared" si="43"/>
        <v>1</v>
      </c>
      <c r="P98" s="793">
        <f t="shared" si="44"/>
        <v>1</v>
      </c>
      <c r="Q98" s="793">
        <f t="shared" si="45"/>
        <v>2</v>
      </c>
      <c r="R98" s="793">
        <f t="shared" si="46"/>
        <v>2</v>
      </c>
      <c r="S98" s="793">
        <f t="shared" si="47"/>
        <v>1</v>
      </c>
      <c r="T98" s="793">
        <f t="shared" si="48"/>
        <v>1</v>
      </c>
      <c r="U98" s="793"/>
      <c r="V98" s="793"/>
      <c r="W98" s="793"/>
      <c r="X98" s="802"/>
      <c r="Y98" s="213" t="s">
        <v>1413</v>
      </c>
      <c r="Z98" s="793">
        <f t="shared" si="49"/>
        <v>1</v>
      </c>
      <c r="AA98" s="793">
        <f t="shared" si="50"/>
        <v>1</v>
      </c>
      <c r="AB98" s="793">
        <f t="shared" si="51"/>
        <v>1</v>
      </c>
      <c r="AC98" s="793">
        <f t="shared" si="52"/>
        <v>1</v>
      </c>
      <c r="AD98" s="793">
        <f t="shared" si="75"/>
        <v>1</v>
      </c>
      <c r="AE98" s="793">
        <f t="shared" si="53"/>
        <v>1</v>
      </c>
      <c r="AF98" s="793">
        <f t="shared" si="54"/>
        <v>1</v>
      </c>
      <c r="AG98" s="793">
        <f t="shared" si="55"/>
        <v>1</v>
      </c>
      <c r="AH98" s="803"/>
      <c r="AI98" s="213" t="s">
        <v>1413</v>
      </c>
      <c r="AJ98" s="793">
        <f t="shared" si="56"/>
        <v>1</v>
      </c>
      <c r="AK98" s="793">
        <f t="shared" si="57"/>
        <v>1</v>
      </c>
      <c r="AL98" s="793">
        <f t="shared" si="58"/>
        <v>1</v>
      </c>
      <c r="AM98" s="793">
        <f t="shared" si="59"/>
        <v>1</v>
      </c>
      <c r="AN98" s="793">
        <f t="shared" si="76"/>
        <v>1</v>
      </c>
      <c r="AO98" s="793">
        <f t="shared" si="60"/>
        <v>1</v>
      </c>
      <c r="AP98" s="793">
        <f t="shared" si="61"/>
        <v>1</v>
      </c>
      <c r="AQ98" s="793"/>
      <c r="AR98" s="803"/>
      <c r="AS98" s="213" t="s">
        <v>1413</v>
      </c>
      <c r="AT98" s="793">
        <f t="shared" si="62"/>
        <v>2</v>
      </c>
      <c r="AU98" s="793">
        <f t="shared" si="63"/>
        <v>2</v>
      </c>
      <c r="AV98" s="793">
        <f t="shared" si="64"/>
        <v>2</v>
      </c>
      <c r="AW98" s="793">
        <f t="shared" si="65"/>
        <v>2</v>
      </c>
      <c r="AX98" s="793">
        <f t="shared" si="77"/>
        <v>1</v>
      </c>
      <c r="AY98" s="793">
        <f t="shared" si="66"/>
        <v>2</v>
      </c>
      <c r="AZ98" s="793">
        <f t="shared" si="67"/>
        <v>2</v>
      </c>
      <c r="BA98" s="793">
        <f t="shared" si="68"/>
        <v>2</v>
      </c>
      <c r="BB98" s="803"/>
      <c r="BC98" s="213" t="s">
        <v>1413</v>
      </c>
      <c r="BD98" s="793">
        <f t="shared" si="69"/>
        <v>1</v>
      </c>
      <c r="BE98" s="793">
        <f t="shared" si="70"/>
        <v>1</v>
      </c>
      <c r="BF98" s="793"/>
      <c r="BG98" s="95" t="s">
        <v>1423</v>
      </c>
      <c r="BH98" s="793">
        <f t="shared" si="71"/>
        <v>2</v>
      </c>
      <c r="BI98" s="793"/>
      <c r="BJ98" s="793"/>
      <c r="BK98" s="793"/>
      <c r="BL98" s="793">
        <f t="shared" si="72"/>
        <v>2</v>
      </c>
      <c r="BM98" s="319"/>
      <c r="BN98" s="28"/>
      <c r="BO98" s="28"/>
      <c r="BP98" s="28"/>
      <c r="BQ98" s="132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</row>
    <row r="99" hidden="1">
      <c r="A99" s="773"/>
      <c r="B99" s="779" t="s">
        <v>1424</v>
      </c>
      <c r="C99" s="793">
        <f t="shared" ref="C99:F99" si="78">countif(C$6:C$71,"*" &amp; $B99 &amp; "*")</f>
        <v>1</v>
      </c>
      <c r="D99" s="793">
        <f t="shared" si="78"/>
        <v>1</v>
      </c>
      <c r="E99" s="793">
        <f t="shared" si="78"/>
        <v>1</v>
      </c>
      <c r="F99" s="793">
        <f t="shared" si="78"/>
        <v>1</v>
      </c>
      <c r="G99" s="793">
        <f t="shared" ref="G99:I99" si="79">countif(G$3:G$71,"*" &amp; $B99 &amp; "*")</f>
        <v>1</v>
      </c>
      <c r="H99" s="793">
        <f t="shared" si="79"/>
        <v>1</v>
      </c>
      <c r="I99" s="793">
        <f t="shared" si="79"/>
        <v>1</v>
      </c>
      <c r="J99" s="823"/>
      <c r="K99" s="802"/>
      <c r="L99" s="213" t="s">
        <v>1420</v>
      </c>
      <c r="M99" s="793">
        <f t="shared" ref="M99:T99" si="80">countif(M$3:M$71,"*" &amp; $L99 &amp; "*")</f>
        <v>1</v>
      </c>
      <c r="N99" s="793">
        <f t="shared" si="80"/>
        <v>1</v>
      </c>
      <c r="O99" s="793">
        <f t="shared" si="80"/>
        <v>1</v>
      </c>
      <c r="P99" s="793">
        <f t="shared" si="80"/>
        <v>1</v>
      </c>
      <c r="Q99" s="793">
        <f t="shared" si="80"/>
        <v>1</v>
      </c>
      <c r="R99" s="793">
        <f t="shared" si="80"/>
        <v>1</v>
      </c>
      <c r="S99" s="793">
        <f t="shared" si="80"/>
        <v>1</v>
      </c>
      <c r="T99" s="793">
        <f t="shared" si="80"/>
        <v>1</v>
      </c>
      <c r="U99" s="793"/>
      <c r="V99" s="793"/>
      <c r="W99" s="793"/>
      <c r="X99" s="802"/>
      <c r="Y99" s="213" t="s">
        <v>1420</v>
      </c>
      <c r="Z99" s="793">
        <f t="shared" ref="Z99:AG99" si="81">countif(Z$3:Z$71,"*" &amp; $Y99 &amp; "*")</f>
        <v>1</v>
      </c>
      <c r="AA99" s="793">
        <f t="shared" si="81"/>
        <v>1</v>
      </c>
      <c r="AB99" s="793">
        <f t="shared" si="81"/>
        <v>1</v>
      </c>
      <c r="AC99" s="793">
        <f t="shared" si="81"/>
        <v>1</v>
      </c>
      <c r="AD99" s="793">
        <f t="shared" si="81"/>
        <v>1</v>
      </c>
      <c r="AE99" s="793">
        <f t="shared" si="81"/>
        <v>1</v>
      </c>
      <c r="AF99" s="793">
        <f t="shared" si="81"/>
        <v>1</v>
      </c>
      <c r="AG99" s="793">
        <f t="shared" si="81"/>
        <v>1</v>
      </c>
      <c r="AH99" s="803"/>
      <c r="AI99" s="213" t="s">
        <v>1420</v>
      </c>
      <c r="AJ99" s="793">
        <f t="shared" ref="AJ99:AK99" si="82">countif(AJ$3:AJ$67,"*" &amp; $Y99 &amp; "*")</f>
        <v>1</v>
      </c>
      <c r="AK99" s="793">
        <f t="shared" si="82"/>
        <v>1</v>
      </c>
      <c r="AL99" s="793">
        <f t="shared" ref="AL99:AP99" si="83">countif(AL$3:AL$71,"*" &amp; $Y99 &amp; "*")</f>
        <v>1</v>
      </c>
      <c r="AM99" s="793">
        <f t="shared" si="83"/>
        <v>1</v>
      </c>
      <c r="AN99" s="793">
        <f t="shared" si="83"/>
        <v>1</v>
      </c>
      <c r="AO99" s="793">
        <f t="shared" si="83"/>
        <v>1</v>
      </c>
      <c r="AP99" s="793">
        <f t="shared" si="83"/>
        <v>1</v>
      </c>
      <c r="AQ99" s="793"/>
      <c r="AR99" s="803"/>
      <c r="AS99" s="213" t="s">
        <v>1420</v>
      </c>
      <c r="AT99" s="793">
        <f t="shared" ref="AT99:AW99" si="84">countif(AT$3:AT$69,"*" &amp; $Y99 &amp; "*")</f>
        <v>1</v>
      </c>
      <c r="AU99" s="793">
        <f t="shared" si="84"/>
        <v>1</v>
      </c>
      <c r="AV99" s="793">
        <f t="shared" si="84"/>
        <v>1</v>
      </c>
      <c r="AW99" s="793">
        <f t="shared" si="84"/>
        <v>1</v>
      </c>
      <c r="AX99" s="793">
        <f t="shared" si="77"/>
        <v>1</v>
      </c>
      <c r="AY99" s="793">
        <f t="shared" ref="AY99:BA99" si="85">countif(AY$3:AY$71,"*" &amp; $Y99 &amp; "*")</f>
        <v>1</v>
      </c>
      <c r="AZ99" s="793">
        <f t="shared" si="85"/>
        <v>1</v>
      </c>
      <c r="BA99" s="793">
        <f t="shared" si="85"/>
        <v>1</v>
      </c>
      <c r="BB99" s="803"/>
      <c r="BC99" s="213" t="s">
        <v>1420</v>
      </c>
      <c r="BD99" s="793">
        <f t="shared" ref="BD99:BE99" si="86">countif(BD$3:BD$71,"*" &amp; $BC99 &amp; "*")</f>
        <v>1</v>
      </c>
      <c r="BE99" s="793">
        <f t="shared" si="86"/>
        <v>1</v>
      </c>
      <c r="BF99" s="793"/>
      <c r="BG99" s="95" t="s">
        <v>1427</v>
      </c>
      <c r="BH99" s="793">
        <f t="shared" ref="BH99:BH102" si="96">countif(BH$3:BH$63,"*" &amp; $BC99 &amp; "*")</f>
        <v>1</v>
      </c>
      <c r="BI99" s="793"/>
      <c r="BJ99" s="793"/>
      <c r="BK99" s="793"/>
      <c r="BL99" s="793">
        <f t="shared" ref="BL99:BL102" si="97">countif(BL$3:BL$69,"*" &amp; $BC99 &amp; "*")</f>
        <v>1</v>
      </c>
      <c r="BM99" s="319"/>
      <c r="BN99" s="28"/>
      <c r="BO99" s="28"/>
      <c r="BP99" s="28"/>
      <c r="BQ99" s="132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</row>
    <row r="100" hidden="1">
      <c r="A100" s="773"/>
      <c r="B100" s="779" t="s">
        <v>1428</v>
      </c>
      <c r="C100" s="793">
        <f t="shared" ref="C100:F100" si="87">countif(C$6:C$71,"*" &amp; $B99:$B100 &amp; "*")</f>
        <v>0</v>
      </c>
      <c r="D100" s="793">
        <f t="shared" si="87"/>
        <v>0</v>
      </c>
      <c r="E100" s="793">
        <f t="shared" si="87"/>
        <v>0</v>
      </c>
      <c r="F100" s="793">
        <f t="shared" si="87"/>
        <v>0</v>
      </c>
      <c r="G100" s="793">
        <f t="shared" ref="G100:I100" si="88">countif(G$3:G$71,"*" &amp; $B99:$B100 &amp; "*")</f>
        <v>0</v>
      </c>
      <c r="H100" s="793">
        <f t="shared" si="88"/>
        <v>0</v>
      </c>
      <c r="I100" s="793">
        <f t="shared" si="88"/>
        <v>0</v>
      </c>
      <c r="J100" s="823"/>
      <c r="K100" s="802"/>
      <c r="L100" s="213" t="s">
        <v>1424</v>
      </c>
      <c r="M100" s="793">
        <f t="shared" ref="M100:T100" si="89">countif(M$3:M$71,"*" &amp; $L100 &amp; "*")</f>
        <v>0</v>
      </c>
      <c r="N100" s="793">
        <f t="shared" si="89"/>
        <v>0</v>
      </c>
      <c r="O100" s="793">
        <f t="shared" si="89"/>
        <v>0</v>
      </c>
      <c r="P100" s="793">
        <f t="shared" si="89"/>
        <v>0</v>
      </c>
      <c r="Q100" s="793">
        <f t="shared" si="89"/>
        <v>0</v>
      </c>
      <c r="R100" s="793">
        <f t="shared" si="89"/>
        <v>0</v>
      </c>
      <c r="S100" s="793">
        <f t="shared" si="89"/>
        <v>0</v>
      </c>
      <c r="T100" s="793">
        <f t="shared" si="89"/>
        <v>0</v>
      </c>
      <c r="U100" s="793"/>
      <c r="V100" s="793"/>
      <c r="W100" s="793"/>
      <c r="X100" s="802"/>
      <c r="Y100" s="213" t="s">
        <v>1424</v>
      </c>
      <c r="Z100" s="793">
        <f t="shared" ref="Z100:AG100" si="90">countif(Z$3:Z$71,"*" &amp; $Y100 &amp; "*")</f>
        <v>1</v>
      </c>
      <c r="AA100" s="793">
        <f t="shared" si="90"/>
        <v>1</v>
      </c>
      <c r="AB100" s="793">
        <f t="shared" si="90"/>
        <v>1</v>
      </c>
      <c r="AC100" s="793">
        <f t="shared" si="90"/>
        <v>1</v>
      </c>
      <c r="AD100" s="793">
        <f t="shared" si="90"/>
        <v>1</v>
      </c>
      <c r="AE100" s="793">
        <f t="shared" si="90"/>
        <v>1</v>
      </c>
      <c r="AF100" s="793">
        <f t="shared" si="90"/>
        <v>1</v>
      </c>
      <c r="AG100" s="793">
        <f t="shared" si="90"/>
        <v>1</v>
      </c>
      <c r="AH100" s="803"/>
      <c r="AI100" s="213" t="s">
        <v>1424</v>
      </c>
      <c r="AJ100" s="793">
        <f t="shared" ref="AJ100:AK100" si="91">countif(AJ$3:AJ$67,"*" &amp; $Y100 &amp; "*")</f>
        <v>1</v>
      </c>
      <c r="AK100" s="793">
        <f t="shared" si="91"/>
        <v>1</v>
      </c>
      <c r="AL100" s="793">
        <f t="shared" ref="AL100:AP100" si="92">countif(AL$3:AL$71,"*" &amp; $Y100 &amp; "*")</f>
        <v>1</v>
      </c>
      <c r="AM100" s="793">
        <f t="shared" si="92"/>
        <v>1</v>
      </c>
      <c r="AN100" s="793">
        <f t="shared" si="92"/>
        <v>1</v>
      </c>
      <c r="AO100" s="793">
        <f t="shared" si="92"/>
        <v>1</v>
      </c>
      <c r="AP100" s="793">
        <f t="shared" si="92"/>
        <v>1</v>
      </c>
      <c r="AQ100" s="793"/>
      <c r="AR100" s="803"/>
      <c r="AS100" s="213" t="s">
        <v>1424</v>
      </c>
      <c r="AT100" s="793">
        <f t="shared" ref="AT100:AW100" si="93">countif(AT$3:AT$69,"*" &amp; $Y100 &amp; "*")</f>
        <v>1</v>
      </c>
      <c r="AU100" s="793">
        <f t="shared" si="93"/>
        <v>1</v>
      </c>
      <c r="AV100" s="793">
        <f t="shared" si="93"/>
        <v>1</v>
      </c>
      <c r="AW100" s="793">
        <f t="shared" si="93"/>
        <v>1</v>
      </c>
      <c r="AX100" s="793">
        <f t="shared" si="77"/>
        <v>1</v>
      </c>
      <c r="AY100" s="793">
        <f t="shared" ref="AY100:BA100" si="94">countif(AY$3:AY$71,"*" &amp; $Y100 &amp; "*")</f>
        <v>1</v>
      </c>
      <c r="AZ100" s="213">
        <f t="shared" si="94"/>
        <v>2</v>
      </c>
      <c r="BA100" s="213">
        <f t="shared" si="94"/>
        <v>2</v>
      </c>
      <c r="BB100" s="803"/>
      <c r="BC100" s="213" t="s">
        <v>1424</v>
      </c>
      <c r="BD100" s="793">
        <f t="shared" ref="BD100:BE100" si="95">countif(BD$3:BD$71,"*" &amp; $BC100 &amp; "*")</f>
        <v>1</v>
      </c>
      <c r="BE100" s="793">
        <f t="shared" si="95"/>
        <v>1</v>
      </c>
      <c r="BF100" s="793"/>
      <c r="BG100" s="95" t="s">
        <v>1430</v>
      </c>
      <c r="BH100" s="793">
        <f t="shared" si="96"/>
        <v>1</v>
      </c>
      <c r="BI100" s="793"/>
      <c r="BJ100" s="793"/>
      <c r="BK100" s="793"/>
      <c r="BL100" s="793">
        <f t="shared" si="97"/>
        <v>2</v>
      </c>
      <c r="BM100" s="319"/>
      <c r="BN100" s="28"/>
      <c r="BO100" s="28"/>
      <c r="BP100" s="28"/>
      <c r="BQ100" s="132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</row>
    <row r="101" hidden="1">
      <c r="A101" s="773"/>
      <c r="B101" s="779" t="s">
        <v>1431</v>
      </c>
      <c r="C101" s="793">
        <f t="shared" ref="C101:C102" si="105">countif(C$6:D$71,"*" &amp; $B100:$B101 &amp; "*")</f>
        <v>0</v>
      </c>
      <c r="D101" s="793">
        <f t="shared" ref="D101:D102" si="106">countif(C$6:D$71,"*" &amp; $B100:$B101 &amp; "*")</f>
        <v>0</v>
      </c>
      <c r="E101" s="793">
        <f t="shared" ref="E101:E102" si="107">countif(E$6:F$71,"*" &amp; $B100:$B101 &amp; "*")</f>
        <v>0</v>
      </c>
      <c r="F101" s="793">
        <f t="shared" ref="F101:F102" si="108">countif(E$6:F$71,"*" &amp; $B100:$B101 &amp; "*")</f>
        <v>0</v>
      </c>
      <c r="G101" s="793">
        <f t="shared" ref="G101:G102" si="109">countif(G$3:H$71,"*" &amp; $B100:$B101 &amp; "*")</f>
        <v>0</v>
      </c>
      <c r="H101" s="793">
        <f t="shared" ref="H101:H102" si="110">countif(G$3:H$71,"*" &amp; $B100:$B101 &amp; "*")</f>
        <v>0</v>
      </c>
      <c r="I101" s="793">
        <f t="shared" ref="I101:I102" si="111">countif(I$3:J$71,"*" &amp; $B100:$B101 &amp; "*")</f>
        <v>0</v>
      </c>
      <c r="J101" s="823"/>
      <c r="K101" s="802"/>
      <c r="L101" s="213" t="s">
        <v>1428</v>
      </c>
      <c r="M101" s="793">
        <f t="shared" ref="M101:T101" si="98">countif(M$3:M$71,"*" &amp; $L101 &amp; "*")</f>
        <v>1</v>
      </c>
      <c r="N101" s="793">
        <f t="shared" si="98"/>
        <v>1</v>
      </c>
      <c r="O101" s="793">
        <f t="shared" si="98"/>
        <v>1</v>
      </c>
      <c r="P101" s="793">
        <f t="shared" si="98"/>
        <v>1</v>
      </c>
      <c r="Q101" s="793">
        <f t="shared" si="98"/>
        <v>2</v>
      </c>
      <c r="R101" s="793">
        <f t="shared" si="98"/>
        <v>2</v>
      </c>
      <c r="S101" s="793">
        <f t="shared" si="98"/>
        <v>1</v>
      </c>
      <c r="T101" s="793">
        <f t="shared" si="98"/>
        <v>1</v>
      </c>
      <c r="U101" s="793"/>
      <c r="V101" s="793"/>
      <c r="W101" s="793"/>
      <c r="X101" s="802"/>
      <c r="Y101" s="213" t="s">
        <v>1428</v>
      </c>
      <c r="Z101" s="793">
        <f t="shared" ref="Z101:AG101" si="99">countif(Z$3:Z$71,"*" &amp; $Y101 &amp; "*")</f>
        <v>1</v>
      </c>
      <c r="AA101" s="793">
        <f t="shared" si="99"/>
        <v>1</v>
      </c>
      <c r="AB101" s="793">
        <f t="shared" si="99"/>
        <v>1</v>
      </c>
      <c r="AC101" s="793">
        <f t="shared" si="99"/>
        <v>1</v>
      </c>
      <c r="AD101" s="793">
        <f t="shared" si="99"/>
        <v>1</v>
      </c>
      <c r="AE101" s="793">
        <f t="shared" si="99"/>
        <v>1</v>
      </c>
      <c r="AF101" s="793">
        <f t="shared" si="99"/>
        <v>1</v>
      </c>
      <c r="AG101" s="793">
        <f t="shared" si="99"/>
        <v>1</v>
      </c>
      <c r="AH101" s="803"/>
      <c r="AI101" s="213" t="s">
        <v>1428</v>
      </c>
      <c r="AJ101" s="793">
        <f t="shared" ref="AJ101:AK101" si="100">countif(AJ$3:AJ$67,"*" &amp; $Y101 &amp; "*")</f>
        <v>1</v>
      </c>
      <c r="AK101" s="793">
        <f t="shared" si="100"/>
        <v>1</v>
      </c>
      <c r="AL101" s="793">
        <f t="shared" ref="AL101:AP101" si="101">countif(AL$3:AL$71,"*" &amp; $Y101 &amp; "*")</f>
        <v>1</v>
      </c>
      <c r="AM101" s="793">
        <f t="shared" si="101"/>
        <v>1</v>
      </c>
      <c r="AN101" s="793">
        <f t="shared" si="101"/>
        <v>1</v>
      </c>
      <c r="AO101" s="793">
        <f t="shared" si="101"/>
        <v>1</v>
      </c>
      <c r="AP101" s="793">
        <f t="shared" si="101"/>
        <v>1</v>
      </c>
      <c r="AQ101" s="793"/>
      <c r="AR101" s="803"/>
      <c r="AS101" s="213" t="s">
        <v>1428</v>
      </c>
      <c r="AT101" s="793">
        <f t="shared" ref="AT101:AW101" si="102">countif(AT$3:AT$69,"*" &amp; $Y101 &amp; "*")</f>
        <v>1</v>
      </c>
      <c r="AU101" s="793">
        <f t="shared" si="102"/>
        <v>1</v>
      </c>
      <c r="AV101" s="793">
        <f t="shared" si="102"/>
        <v>1</v>
      </c>
      <c r="AW101" s="793">
        <f t="shared" si="102"/>
        <v>1</v>
      </c>
      <c r="AX101" s="793">
        <f t="shared" si="77"/>
        <v>1</v>
      </c>
      <c r="AY101" s="793">
        <f t="shared" ref="AY101:BA101" si="103">countif(AY$3:AY$71,"*" &amp; $Y101 &amp; "*")</f>
        <v>1</v>
      </c>
      <c r="AZ101" s="793">
        <f t="shared" si="103"/>
        <v>1</v>
      </c>
      <c r="BA101" s="793">
        <f t="shared" si="103"/>
        <v>1</v>
      </c>
      <c r="BB101" s="803"/>
      <c r="BC101" s="213" t="s">
        <v>1428</v>
      </c>
      <c r="BD101" s="793">
        <f t="shared" ref="BD101:BE101" si="104">countif(BD$3:BD$71,"*" &amp; $BC101 &amp; "*")</f>
        <v>1</v>
      </c>
      <c r="BE101" s="793">
        <f t="shared" si="104"/>
        <v>1</v>
      </c>
      <c r="BF101" s="793"/>
      <c r="BG101" s="95" t="s">
        <v>1437</v>
      </c>
      <c r="BH101" s="793">
        <f t="shared" si="96"/>
        <v>1</v>
      </c>
      <c r="BI101" s="793"/>
      <c r="BJ101" s="793"/>
      <c r="BK101" s="793"/>
      <c r="BL101" s="793">
        <f t="shared" si="97"/>
        <v>1</v>
      </c>
      <c r="BM101" s="319"/>
      <c r="BN101" s="28"/>
      <c r="BO101" s="28"/>
      <c r="BP101" s="28"/>
      <c r="BQ101" s="132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</row>
    <row r="102" hidden="1">
      <c r="A102" s="773"/>
      <c r="B102" s="213" t="s">
        <v>1442</v>
      </c>
      <c r="C102" s="213">
        <f t="shared" si="105"/>
        <v>1</v>
      </c>
      <c r="D102" s="213">
        <f t="shared" si="106"/>
        <v>1</v>
      </c>
      <c r="E102" s="213">
        <f t="shared" si="107"/>
        <v>1</v>
      </c>
      <c r="F102" s="213">
        <f t="shared" si="108"/>
        <v>1</v>
      </c>
      <c r="G102" s="213">
        <f t="shared" si="109"/>
        <v>1</v>
      </c>
      <c r="H102" s="213">
        <f t="shared" si="110"/>
        <v>1</v>
      </c>
      <c r="I102" s="213">
        <f t="shared" si="111"/>
        <v>1</v>
      </c>
      <c r="J102" s="823"/>
      <c r="K102" s="319"/>
      <c r="L102" s="213" t="s">
        <v>1447</v>
      </c>
      <c r="M102" s="793">
        <f t="shared" ref="M102:M104" si="115">countif(M$3:N$71,"*" &amp; $L102 &amp; "*")</f>
        <v>2</v>
      </c>
      <c r="N102" s="793">
        <f t="shared" ref="N102:N104" si="116">countif(M$3:N$71,"*" &amp; $L102 &amp; "*")</f>
        <v>2</v>
      </c>
      <c r="O102" s="793">
        <f t="shared" ref="O102:O104" si="117">countif(O$3:P$71,"*" &amp; $L102 &amp; "*")</f>
        <v>0</v>
      </c>
      <c r="P102" s="793">
        <f t="shared" ref="P102:P104" si="118">countif(O$3:P$71,"*" &amp; $L102 &amp; "*")</f>
        <v>0</v>
      </c>
      <c r="Q102" s="793">
        <f t="shared" ref="Q102:Q104" si="119">countif(Q$3:R$71,"*" &amp; $L102 &amp; "*")</f>
        <v>0</v>
      </c>
      <c r="R102" s="793">
        <f t="shared" ref="R102:R104" si="120">countif(Q$3:R$71,"*" &amp; $L102 &amp; "*")</f>
        <v>0</v>
      </c>
      <c r="S102" s="793">
        <f t="shared" ref="S102:S104" si="121">countif(S$3:T$71,"*" &amp; $L102 &amp; "*")</f>
        <v>0</v>
      </c>
      <c r="T102" s="793">
        <f t="shared" ref="T102:T104" si="122">countif(S$3:T$71,"*" &amp; $L102 &amp; "*")</f>
        <v>0</v>
      </c>
      <c r="U102" s="793"/>
      <c r="V102" s="793"/>
      <c r="W102" s="793"/>
      <c r="X102" s="802"/>
      <c r="Y102" s="213" t="s">
        <v>1447</v>
      </c>
      <c r="Z102" s="793">
        <f t="shared" ref="Z102:Z106" si="123">countif(Z$3:AA$71,"*" &amp; $Y102 &amp; "*")</f>
        <v>1</v>
      </c>
      <c r="AA102" s="793">
        <f t="shared" ref="AA102:AA105" si="124">countif(Z$3:AA$71,"*" &amp; $Y102 &amp; "*")</f>
        <v>1</v>
      </c>
      <c r="AB102" s="793">
        <f t="shared" ref="AB102:AB105" si="125">countif(AB$3:AC$71,"*" &amp; $Y102 &amp; "*")</f>
        <v>2</v>
      </c>
      <c r="AC102" s="793">
        <f t="shared" ref="AC102:AC105" si="126">countif(AB$3:AC$71,"*" &amp; $Y102 &amp; "*")</f>
        <v>2</v>
      </c>
      <c r="AD102" s="793">
        <f t="shared" ref="AD102:AD105" si="127">countif(AD$3:AE$71,"*" &amp; $Y102 &amp; "*")</f>
        <v>2</v>
      </c>
      <c r="AE102" s="793">
        <f t="shared" ref="AE102:AE105" si="128">countif(AD$3:AE$71,"*" &amp; $Y102 &amp; "*")</f>
        <v>2</v>
      </c>
      <c r="AF102" s="793">
        <f t="shared" ref="AF102:AF106" si="129">countif(AF$3:AG$71,"*" &amp; $Y102 &amp; "*")</f>
        <v>2</v>
      </c>
      <c r="AG102" s="793">
        <f t="shared" ref="AG102:AG106" si="130">countif(AF$3:AG$71,"*" &amp; $Y102 &amp; "*")</f>
        <v>2</v>
      </c>
      <c r="AH102" s="803"/>
      <c r="AI102" s="213" t="s">
        <v>1447</v>
      </c>
      <c r="AJ102" s="793">
        <f t="shared" ref="AJ102:AJ106" si="131">countif(AJ$3:AK$67,"*" &amp; $Y102 &amp; "*")</f>
        <v>0</v>
      </c>
      <c r="AK102" s="793">
        <f t="shared" ref="AK102:AK105" si="132">countif(AJ$3:AK$67,"*" &amp; $Y102 &amp; "*")</f>
        <v>0</v>
      </c>
      <c r="AL102" s="793">
        <f t="shared" ref="AL102:AL105" si="133">countif(AL$3:AM$71,"*" &amp; $Y102 &amp; "*")</f>
        <v>0</v>
      </c>
      <c r="AM102" s="793">
        <f t="shared" ref="AM102:AM105" si="134">countif(AL$3:AM$71,"*" &amp; $Y102 &amp; "*")</f>
        <v>0</v>
      </c>
      <c r="AN102" s="793">
        <f t="shared" ref="AN102:AN105" si="135">countif(AN$3:AO$71,"*" &amp; $Y102 &amp; "*")</f>
        <v>0</v>
      </c>
      <c r="AO102" s="793">
        <f t="shared" ref="AO102:AO105" si="136">countif(AN$3:AO$71,"*" &amp; $Y102 &amp; "*")</f>
        <v>0</v>
      </c>
      <c r="AP102" s="793">
        <f t="shared" ref="AP102:AP105" si="137">countif(AP$3:AQ$71,"*" &amp; $Y102 &amp; "*")</f>
        <v>0</v>
      </c>
      <c r="AQ102" s="793"/>
      <c r="AR102" s="803"/>
      <c r="AS102" s="213" t="s">
        <v>1447</v>
      </c>
      <c r="AT102" s="793">
        <f t="shared" ref="AT102:AT106" si="138">countif(AT$3:AU$69,"*" &amp; $Y102 &amp; "*")</f>
        <v>0</v>
      </c>
      <c r="AU102" s="793">
        <f t="shared" ref="AU102:AU105" si="139">countif(AT$3:AU$69,"*" &amp; $Y102 &amp; "*")</f>
        <v>0</v>
      </c>
      <c r="AV102" s="793">
        <f t="shared" ref="AV102:AV105" si="140">countif(AV$3:AW$69,"*" &amp; $Y102 &amp; "*")</f>
        <v>0</v>
      </c>
      <c r="AW102" s="793">
        <f t="shared" ref="AW102:AW105" si="141">countif(AV$3:AW$69,"*" &amp; $Y102 &amp; "*")</f>
        <v>0</v>
      </c>
      <c r="AX102" s="793">
        <f t="shared" ref="AX102:AX105" si="142">countif(AX$3:AY$71,"*" &amp; $Y102 &amp; "*")</f>
        <v>0</v>
      </c>
      <c r="AY102" s="793">
        <f t="shared" ref="AY102:AY105" si="143">countif(AX$3:AY$71,"*" &amp; $Y102 &amp; "*")</f>
        <v>0</v>
      </c>
      <c r="AZ102" s="793">
        <f t="shared" ref="AZ102:AZ105" si="144">countif(AZ$3:BA$71,"*" &amp; $Y102 &amp; "*")</f>
        <v>0</v>
      </c>
      <c r="BA102" s="793">
        <f t="shared" ref="BA102:BA105" si="145">countif(AZ$3:BA$71,"*" &amp; $Y102 &amp; "*")</f>
        <v>0</v>
      </c>
      <c r="BB102" s="803"/>
      <c r="BC102" s="213" t="s">
        <v>1431</v>
      </c>
      <c r="BD102" s="793">
        <f t="shared" ref="BD102:BE102" si="112">countif(BD$3:BD$71,"*" &amp; $BC102 &amp; "*")</f>
        <v>1</v>
      </c>
      <c r="BE102" s="793">
        <f t="shared" si="112"/>
        <v>0</v>
      </c>
      <c r="BF102" s="793"/>
      <c r="BG102" s="95" t="s">
        <v>1447</v>
      </c>
      <c r="BH102" s="793">
        <f t="shared" si="96"/>
        <v>1</v>
      </c>
      <c r="BI102" s="793"/>
      <c r="BJ102" s="793"/>
      <c r="BK102" s="793"/>
      <c r="BL102" s="213">
        <f t="shared" si="97"/>
        <v>0</v>
      </c>
      <c r="BM102" s="319"/>
      <c r="BN102" s="28"/>
      <c r="BO102" s="28"/>
      <c r="BP102" s="28"/>
      <c r="BQ102" s="132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</row>
    <row r="103" hidden="1">
      <c r="A103" s="773"/>
      <c r="B103" s="779" t="s">
        <v>1399</v>
      </c>
      <c r="C103" s="213">
        <f t="shared" ref="C103:F103" si="113">countif(C$6:C$71,"*" &amp; $B102:$B103 &amp; "*")</f>
        <v>0</v>
      </c>
      <c r="D103" s="213">
        <f t="shared" si="113"/>
        <v>0</v>
      </c>
      <c r="E103" s="213">
        <f t="shared" si="113"/>
        <v>0</v>
      </c>
      <c r="F103" s="213">
        <f t="shared" si="113"/>
        <v>0</v>
      </c>
      <c r="G103" s="213">
        <f t="shared" ref="G103:I103" si="114">countif(G$3:G$71,"*" &amp; $B102:$B103 &amp; "*")</f>
        <v>0</v>
      </c>
      <c r="H103" s="213">
        <f t="shared" si="114"/>
        <v>0</v>
      </c>
      <c r="I103" s="213">
        <f t="shared" si="114"/>
        <v>0</v>
      </c>
      <c r="J103" s="823"/>
      <c r="K103" s="319"/>
      <c r="L103" s="213" t="s">
        <v>1442</v>
      </c>
      <c r="M103" s="793">
        <f t="shared" si="115"/>
        <v>0</v>
      </c>
      <c r="N103" s="793">
        <f t="shared" si="116"/>
        <v>0</v>
      </c>
      <c r="O103" s="793">
        <f t="shared" si="117"/>
        <v>0</v>
      </c>
      <c r="P103" s="793">
        <f t="shared" si="118"/>
        <v>0</v>
      </c>
      <c r="Q103" s="793">
        <f t="shared" si="119"/>
        <v>0</v>
      </c>
      <c r="R103" s="793">
        <f t="shared" si="120"/>
        <v>0</v>
      </c>
      <c r="S103" s="793">
        <f t="shared" si="121"/>
        <v>0</v>
      </c>
      <c r="T103" s="793">
        <f t="shared" si="122"/>
        <v>0</v>
      </c>
      <c r="U103" s="793"/>
      <c r="V103" s="793"/>
      <c r="W103" s="793"/>
      <c r="X103" s="319"/>
      <c r="Y103" s="213" t="s">
        <v>1442</v>
      </c>
      <c r="Z103" s="213">
        <f t="shared" si="123"/>
        <v>0</v>
      </c>
      <c r="AA103" s="213">
        <f t="shared" si="124"/>
        <v>0</v>
      </c>
      <c r="AB103" s="793">
        <f t="shared" si="125"/>
        <v>0</v>
      </c>
      <c r="AC103" s="793">
        <f t="shared" si="126"/>
        <v>0</v>
      </c>
      <c r="AD103" s="213">
        <f t="shared" si="127"/>
        <v>0</v>
      </c>
      <c r="AE103" s="213">
        <f t="shared" si="128"/>
        <v>0</v>
      </c>
      <c r="AF103" s="793">
        <f t="shared" si="129"/>
        <v>0</v>
      </c>
      <c r="AG103" s="793">
        <f t="shared" si="130"/>
        <v>0</v>
      </c>
      <c r="AH103" s="95"/>
      <c r="AI103" s="213" t="s">
        <v>1442</v>
      </c>
      <c r="AJ103" s="213">
        <f t="shared" si="131"/>
        <v>0</v>
      </c>
      <c r="AK103" s="213">
        <f t="shared" si="132"/>
        <v>0</v>
      </c>
      <c r="AL103" s="213">
        <f t="shared" si="133"/>
        <v>0</v>
      </c>
      <c r="AM103" s="213">
        <f t="shared" si="134"/>
        <v>0</v>
      </c>
      <c r="AN103" s="213">
        <f t="shared" si="135"/>
        <v>0</v>
      </c>
      <c r="AO103" s="213">
        <f t="shared" si="136"/>
        <v>0</v>
      </c>
      <c r="AP103" s="213">
        <f t="shared" si="137"/>
        <v>0</v>
      </c>
      <c r="AQ103" s="213"/>
      <c r="AR103" s="95"/>
      <c r="AS103" s="213" t="s">
        <v>1442</v>
      </c>
      <c r="AT103" s="793">
        <f t="shared" si="138"/>
        <v>0</v>
      </c>
      <c r="AU103" s="793">
        <f t="shared" si="139"/>
        <v>0</v>
      </c>
      <c r="AV103" s="793">
        <f t="shared" si="140"/>
        <v>0</v>
      </c>
      <c r="AW103" s="793">
        <f t="shared" si="141"/>
        <v>0</v>
      </c>
      <c r="AX103" s="793">
        <f t="shared" si="142"/>
        <v>0</v>
      </c>
      <c r="AY103" s="793">
        <f t="shared" si="143"/>
        <v>0</v>
      </c>
      <c r="AZ103" s="793">
        <f t="shared" si="144"/>
        <v>0</v>
      </c>
      <c r="BA103" s="793">
        <f t="shared" si="145"/>
        <v>0</v>
      </c>
      <c r="BB103" s="95"/>
      <c r="BC103" s="213" t="s">
        <v>1442</v>
      </c>
      <c r="BD103" s="793">
        <f>countif(BD$3:BE$71,"*" &amp; $BC103 &amp; "*")</f>
        <v>1</v>
      </c>
      <c r="BE103" s="793">
        <f>countif(BD$3:BE$71,"*" &amp; $BC103 &amp; "*")</f>
        <v>1</v>
      </c>
      <c r="BF103" s="793"/>
      <c r="BG103" s="95" t="s">
        <v>1442</v>
      </c>
      <c r="BH103" s="793">
        <f>countif(BH$3:BL$71,"*" &amp; $BC103 &amp; "*")</f>
        <v>2</v>
      </c>
      <c r="BI103" s="793"/>
      <c r="BJ103" s="793"/>
      <c r="BK103" s="793"/>
      <c r="BL103" s="793">
        <f>countif(BH$3:BL$71,"*" &amp; $BC103 &amp; "*")</f>
        <v>2</v>
      </c>
      <c r="BM103" s="319"/>
      <c r="BN103" s="28"/>
      <c r="BO103" s="28"/>
      <c r="BP103" s="28"/>
      <c r="BQ103" s="132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</row>
    <row r="104" hidden="1">
      <c r="A104" s="773"/>
      <c r="B104" s="213" t="s">
        <v>1399</v>
      </c>
      <c r="C104" s="213">
        <f t="shared" ref="C104:F104" si="146">countif(C$6:C$71,"*" &amp; $B103:$B104 &amp; "*")</f>
        <v>0</v>
      </c>
      <c r="D104" s="213">
        <f t="shared" si="146"/>
        <v>0</v>
      </c>
      <c r="E104" s="213">
        <f t="shared" si="146"/>
        <v>0</v>
      </c>
      <c r="F104" s="213">
        <f t="shared" si="146"/>
        <v>0</v>
      </c>
      <c r="G104" s="213">
        <f t="shared" ref="G104:I104" si="147">countif(G$3:G$71,"*" &amp; $B103:$B104 &amp; "*")</f>
        <v>0</v>
      </c>
      <c r="H104" s="213">
        <f t="shared" si="147"/>
        <v>0</v>
      </c>
      <c r="I104" s="213">
        <f t="shared" si="147"/>
        <v>0</v>
      </c>
      <c r="J104" s="823"/>
      <c r="K104" s="802"/>
      <c r="L104" s="213" t="s">
        <v>1625</v>
      </c>
      <c r="M104" s="213">
        <f t="shared" si="115"/>
        <v>0</v>
      </c>
      <c r="N104" s="213">
        <f t="shared" si="116"/>
        <v>0</v>
      </c>
      <c r="O104" s="213">
        <f t="shared" si="117"/>
        <v>0</v>
      </c>
      <c r="P104" s="213">
        <f t="shared" si="118"/>
        <v>0</v>
      </c>
      <c r="Q104" s="213">
        <f t="shared" si="119"/>
        <v>0</v>
      </c>
      <c r="R104" s="213">
        <f t="shared" si="120"/>
        <v>0</v>
      </c>
      <c r="S104" s="213">
        <f t="shared" si="121"/>
        <v>0</v>
      </c>
      <c r="T104" s="213">
        <f t="shared" si="122"/>
        <v>0</v>
      </c>
      <c r="U104" s="213"/>
      <c r="V104" s="213"/>
      <c r="W104" s="793"/>
      <c r="X104" s="802"/>
      <c r="Y104" s="213" t="s">
        <v>1625</v>
      </c>
      <c r="Z104" s="213">
        <f t="shared" si="123"/>
        <v>0</v>
      </c>
      <c r="AA104" s="213">
        <f t="shared" si="124"/>
        <v>0</v>
      </c>
      <c r="AB104" s="213">
        <f t="shared" si="125"/>
        <v>0</v>
      </c>
      <c r="AC104" s="213">
        <f t="shared" si="126"/>
        <v>0</v>
      </c>
      <c r="AD104" s="213">
        <f t="shared" si="127"/>
        <v>0</v>
      </c>
      <c r="AE104" s="213">
        <f t="shared" si="128"/>
        <v>0</v>
      </c>
      <c r="AF104" s="213">
        <f t="shared" si="129"/>
        <v>0</v>
      </c>
      <c r="AG104" s="213">
        <f t="shared" si="130"/>
        <v>0</v>
      </c>
      <c r="AH104" s="803"/>
      <c r="AI104" s="213" t="s">
        <v>1625</v>
      </c>
      <c r="AJ104" s="213">
        <f t="shared" si="131"/>
        <v>0</v>
      </c>
      <c r="AK104" s="213">
        <f t="shared" si="132"/>
        <v>0</v>
      </c>
      <c r="AL104" s="213">
        <f t="shared" si="133"/>
        <v>0</v>
      </c>
      <c r="AM104" s="213">
        <f t="shared" si="134"/>
        <v>0</v>
      </c>
      <c r="AN104" s="213">
        <f t="shared" si="135"/>
        <v>0</v>
      </c>
      <c r="AO104" s="213">
        <f t="shared" si="136"/>
        <v>0</v>
      </c>
      <c r="AP104" s="213">
        <f t="shared" si="137"/>
        <v>0</v>
      </c>
      <c r="AQ104" s="213"/>
      <c r="AR104" s="803"/>
      <c r="AS104" s="213" t="s">
        <v>1625</v>
      </c>
      <c r="AT104" s="213">
        <f t="shared" si="138"/>
        <v>0</v>
      </c>
      <c r="AU104" s="213">
        <f t="shared" si="139"/>
        <v>0</v>
      </c>
      <c r="AV104" s="213">
        <f t="shared" si="140"/>
        <v>0</v>
      </c>
      <c r="AW104" s="213">
        <f t="shared" si="141"/>
        <v>0</v>
      </c>
      <c r="AX104" s="213">
        <f t="shared" si="142"/>
        <v>0</v>
      </c>
      <c r="AY104" s="213">
        <f t="shared" si="143"/>
        <v>0</v>
      </c>
      <c r="AZ104" s="213">
        <f t="shared" si="144"/>
        <v>0</v>
      </c>
      <c r="BA104" s="213">
        <f t="shared" si="145"/>
        <v>0</v>
      </c>
      <c r="BB104" s="803"/>
      <c r="BC104" s="213" t="s">
        <v>1636</v>
      </c>
      <c r="BD104" s="213">
        <f t="shared" ref="BD104:BE104" si="148">countif(BD$3:BD$71,"*" &amp; $BC104 &amp; "*")</f>
        <v>0</v>
      </c>
      <c r="BE104" s="213">
        <f t="shared" si="148"/>
        <v>0</v>
      </c>
      <c r="BF104" s="213"/>
      <c r="BG104" s="95" t="s">
        <v>1442</v>
      </c>
      <c r="BH104" s="213">
        <f>countif(BH$3:BH$63,"*" &amp; $BC104 &amp; "*")</f>
        <v>0</v>
      </c>
      <c r="BI104" s="793"/>
      <c r="BJ104" s="793"/>
      <c r="BK104" s="793"/>
      <c r="BL104" s="213">
        <f>countif(BL$3:BL$69,"*" &amp; $BC104 &amp; "*")</f>
        <v>0</v>
      </c>
      <c r="BM104" s="319"/>
      <c r="BN104" s="28"/>
      <c r="BO104" s="28"/>
      <c r="BP104" s="28"/>
      <c r="BQ104" s="132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</row>
    <row r="105" hidden="1">
      <c r="A105" s="773"/>
      <c r="B105" s="213" t="s">
        <v>1399</v>
      </c>
      <c r="C105" s="213">
        <f>countif(C$6:D$71,"*" &amp; $B104 &amp; "*")</f>
        <v>0</v>
      </c>
      <c r="D105" s="213">
        <f>countif(C$6:D$71,"*" &amp; $B104 &amp; "*")</f>
        <v>0</v>
      </c>
      <c r="E105" s="213">
        <f>countif(E$6:F$71,"*" &amp; $B104 &amp; "*")</f>
        <v>0</v>
      </c>
      <c r="F105" s="213">
        <f>countif(E$6:F$71,"*" &amp; $B104 &amp; "*")</f>
        <v>0</v>
      </c>
      <c r="G105" s="213">
        <f>countif(G$3:H$71,"*" &amp; $B104 &amp; "*")</f>
        <v>0</v>
      </c>
      <c r="H105" s="213">
        <f>countif(G$3:H$71,"*" &amp; $B104 &amp; "*")</f>
        <v>0</v>
      </c>
      <c r="I105" s="213">
        <f>countif(I$3:J$71,"*" &amp; $B104 &amp; "*")</f>
        <v>0</v>
      </c>
      <c r="J105" s="823"/>
      <c r="K105" s="319"/>
      <c r="L105" s="35" t="s">
        <v>1625</v>
      </c>
      <c r="M105" s="213">
        <f t="shared" ref="M105:T105" si="149">countif(M$3:M$71,"*" &amp; $L105 &amp; "*")</f>
        <v>0</v>
      </c>
      <c r="N105" s="213">
        <f t="shared" si="149"/>
        <v>0</v>
      </c>
      <c r="O105" s="213">
        <f t="shared" si="149"/>
        <v>0</v>
      </c>
      <c r="P105" s="213">
        <f t="shared" si="149"/>
        <v>0</v>
      </c>
      <c r="Q105" s="213">
        <f t="shared" si="149"/>
        <v>0</v>
      </c>
      <c r="R105" s="213">
        <f t="shared" si="149"/>
        <v>0</v>
      </c>
      <c r="S105" s="213">
        <f t="shared" si="149"/>
        <v>0</v>
      </c>
      <c r="T105" s="213">
        <f t="shared" si="149"/>
        <v>0</v>
      </c>
      <c r="U105" s="213"/>
      <c r="V105" s="213"/>
      <c r="W105" s="793"/>
      <c r="X105" s="319"/>
      <c r="Y105" s="35" t="s">
        <v>1625</v>
      </c>
      <c r="Z105" s="213">
        <f t="shared" si="123"/>
        <v>0</v>
      </c>
      <c r="AA105" s="213">
        <f t="shared" si="124"/>
        <v>0</v>
      </c>
      <c r="AB105" s="213">
        <f t="shared" si="125"/>
        <v>0</v>
      </c>
      <c r="AC105" s="213">
        <f t="shared" si="126"/>
        <v>0</v>
      </c>
      <c r="AD105" s="213">
        <f t="shared" si="127"/>
        <v>0</v>
      </c>
      <c r="AE105" s="213">
        <f t="shared" si="128"/>
        <v>0</v>
      </c>
      <c r="AF105" s="213">
        <f t="shared" si="129"/>
        <v>0</v>
      </c>
      <c r="AG105" s="213">
        <f t="shared" si="130"/>
        <v>0</v>
      </c>
      <c r="AH105" s="95"/>
      <c r="AI105" s="35" t="s">
        <v>1625</v>
      </c>
      <c r="AJ105" s="213">
        <f t="shared" si="131"/>
        <v>0</v>
      </c>
      <c r="AK105" s="213">
        <f t="shared" si="132"/>
        <v>0</v>
      </c>
      <c r="AL105" s="213">
        <f t="shared" si="133"/>
        <v>0</v>
      </c>
      <c r="AM105" s="213">
        <f t="shared" si="134"/>
        <v>0</v>
      </c>
      <c r="AN105" s="213">
        <f t="shared" si="135"/>
        <v>0</v>
      </c>
      <c r="AO105" s="213">
        <f t="shared" si="136"/>
        <v>0</v>
      </c>
      <c r="AP105" s="213">
        <f t="shared" si="137"/>
        <v>0</v>
      </c>
      <c r="AQ105" s="213"/>
      <c r="AR105" s="95"/>
      <c r="AS105" s="35" t="s">
        <v>1625</v>
      </c>
      <c r="AT105" s="213">
        <f t="shared" si="138"/>
        <v>0</v>
      </c>
      <c r="AU105" s="213">
        <f t="shared" si="139"/>
        <v>0</v>
      </c>
      <c r="AV105" s="213">
        <f t="shared" si="140"/>
        <v>0</v>
      </c>
      <c r="AW105" s="213">
        <f t="shared" si="141"/>
        <v>0</v>
      </c>
      <c r="AX105" s="213">
        <f t="shared" si="142"/>
        <v>0</v>
      </c>
      <c r="AY105" s="213">
        <f t="shared" si="143"/>
        <v>0</v>
      </c>
      <c r="AZ105" s="213">
        <f t="shared" si="144"/>
        <v>0</v>
      </c>
      <c r="BA105" s="213">
        <f t="shared" si="145"/>
        <v>0</v>
      </c>
      <c r="BB105" s="95"/>
      <c r="BC105" s="35" t="s">
        <v>1625</v>
      </c>
      <c r="BD105" s="213">
        <f t="shared" ref="BD105:BD106" si="157">countif(BD$3:BE$71,"*" &amp; $BC105 &amp; "*")</f>
        <v>0</v>
      </c>
      <c r="BE105" s="213">
        <f t="shared" ref="BE105:BE106" si="158">countif(BD$3:BE$71,"*" &amp; $BC105 &amp; "*")</f>
        <v>0</v>
      </c>
      <c r="BF105" s="213"/>
      <c r="BG105" s="95" t="s">
        <v>1625</v>
      </c>
      <c r="BH105" s="213">
        <f>countif(BH$3:BH$63,"*" &amp; $BG105 &amp; "*")</f>
        <v>0</v>
      </c>
      <c r="BI105" s="793"/>
      <c r="BJ105" s="793"/>
      <c r="BK105" s="793"/>
      <c r="BL105" s="213">
        <f t="shared" ref="BL105:BL106" si="159">countif(BH$3:BL$71,"*" &amp; $BC105 &amp; "*")</f>
        <v>0</v>
      </c>
      <c r="BM105" s="319"/>
      <c r="BN105" s="28"/>
      <c r="BO105" s="28"/>
      <c r="BP105" s="28"/>
      <c r="BQ105" s="132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</row>
    <row r="106" hidden="1">
      <c r="A106" s="132"/>
      <c r="B106" s="213" t="s">
        <v>1399</v>
      </c>
      <c r="C106" s="213">
        <f t="shared" ref="C106:F106" si="150">countif(C$6:C$71,"*" &amp; $B106 &amp; "*")</f>
        <v>0</v>
      </c>
      <c r="D106" s="213">
        <f t="shared" si="150"/>
        <v>0</v>
      </c>
      <c r="E106" s="213">
        <f t="shared" si="150"/>
        <v>0</v>
      </c>
      <c r="F106" s="213">
        <f t="shared" si="150"/>
        <v>0</v>
      </c>
      <c r="G106" s="213">
        <f t="shared" ref="G106:I106" si="151">countif(G$3:G$71,"*" &amp; $B106 &amp; "*")</f>
        <v>0</v>
      </c>
      <c r="H106" s="213">
        <f t="shared" si="151"/>
        <v>0</v>
      </c>
      <c r="I106" s="213">
        <f t="shared" si="151"/>
        <v>0</v>
      </c>
      <c r="J106" s="823"/>
      <c r="K106" s="319"/>
      <c r="L106" s="35" t="s">
        <v>1625</v>
      </c>
      <c r="M106" s="213">
        <f t="shared" ref="M106:T106" si="152">countif(M$3:M$71,"*" &amp; $L106 &amp; "*")</f>
        <v>0</v>
      </c>
      <c r="N106" s="213">
        <f t="shared" si="152"/>
        <v>0</v>
      </c>
      <c r="O106" s="213">
        <f t="shared" si="152"/>
        <v>0</v>
      </c>
      <c r="P106" s="213">
        <f t="shared" si="152"/>
        <v>0</v>
      </c>
      <c r="Q106" s="213">
        <f t="shared" si="152"/>
        <v>0</v>
      </c>
      <c r="R106" s="213">
        <f t="shared" si="152"/>
        <v>0</v>
      </c>
      <c r="S106" s="213">
        <f t="shared" si="152"/>
        <v>0</v>
      </c>
      <c r="T106" s="213">
        <f t="shared" si="152"/>
        <v>0</v>
      </c>
      <c r="U106" s="213"/>
      <c r="V106" s="213"/>
      <c r="W106" s="793"/>
      <c r="X106" s="319"/>
      <c r="Y106" s="35" t="s">
        <v>1625</v>
      </c>
      <c r="Z106" s="213">
        <f t="shared" si="123"/>
        <v>0</v>
      </c>
      <c r="AA106" s="213">
        <f t="shared" ref="AA106:AE106" si="153">countif(AA$3:AA$71,"*" &amp; $Y106 &amp; "*")</f>
        <v>0</v>
      </c>
      <c r="AB106" s="213">
        <f t="shared" si="153"/>
        <v>0</v>
      </c>
      <c r="AC106" s="213">
        <f t="shared" si="153"/>
        <v>0</v>
      </c>
      <c r="AD106" s="213">
        <f t="shared" si="153"/>
        <v>0</v>
      </c>
      <c r="AE106" s="213">
        <f t="shared" si="153"/>
        <v>0</v>
      </c>
      <c r="AF106" s="213">
        <f t="shared" si="129"/>
        <v>0</v>
      </c>
      <c r="AG106" s="213">
        <f t="shared" si="130"/>
        <v>0</v>
      </c>
      <c r="AH106" s="95"/>
      <c r="AI106" s="35" t="s">
        <v>1625</v>
      </c>
      <c r="AJ106" s="213">
        <f t="shared" si="131"/>
        <v>0</v>
      </c>
      <c r="AK106" s="213">
        <f>countif(AK$3:AK$67,"*" &amp; $Y106 &amp; "*")</f>
        <v>0</v>
      </c>
      <c r="AL106" s="213">
        <f t="shared" ref="AL106:AP106" si="154">countif(AL$3:AL$71,"*" &amp; $Y106 &amp; "*")</f>
        <v>0</v>
      </c>
      <c r="AM106" s="213">
        <f t="shared" si="154"/>
        <v>0</v>
      </c>
      <c r="AN106" s="213">
        <f t="shared" si="154"/>
        <v>0</v>
      </c>
      <c r="AO106" s="213">
        <f t="shared" si="154"/>
        <v>0</v>
      </c>
      <c r="AP106" s="213">
        <f t="shared" si="154"/>
        <v>0</v>
      </c>
      <c r="AQ106" s="213"/>
      <c r="AR106" s="95"/>
      <c r="AS106" s="35" t="s">
        <v>1625</v>
      </c>
      <c r="AT106" s="213">
        <f t="shared" si="138"/>
        <v>0</v>
      </c>
      <c r="AU106" s="213">
        <f t="shared" ref="AU106:AW106" si="155">countif(AU$3:AU$69,"*" &amp; $Y106 &amp; "*")</f>
        <v>0</v>
      </c>
      <c r="AV106" s="213">
        <f t="shared" si="155"/>
        <v>0</v>
      </c>
      <c r="AW106" s="213">
        <f t="shared" si="155"/>
        <v>0</v>
      </c>
      <c r="AX106" s="213">
        <f t="shared" ref="AX106:BA106" si="156">countif(AX$3:AX$71,"*" &amp; $Y106 &amp; "*")</f>
        <v>0</v>
      </c>
      <c r="AY106" s="213">
        <f t="shared" si="156"/>
        <v>0</v>
      </c>
      <c r="AZ106" s="213">
        <f t="shared" si="156"/>
        <v>0</v>
      </c>
      <c r="BA106" s="213">
        <f t="shared" si="156"/>
        <v>0</v>
      </c>
      <c r="BB106" s="95"/>
      <c r="BC106" s="35" t="s">
        <v>1625</v>
      </c>
      <c r="BD106" s="213">
        <f t="shared" si="157"/>
        <v>0</v>
      </c>
      <c r="BE106" s="213">
        <f t="shared" si="158"/>
        <v>0</v>
      </c>
      <c r="BF106" s="213"/>
      <c r="BG106" s="95" t="s">
        <v>1625</v>
      </c>
      <c r="BH106" s="213">
        <f>countif(BH$3:BL$71,"*" &amp; $BG106 &amp; "*")</f>
        <v>0</v>
      </c>
      <c r="BI106" s="793"/>
      <c r="BJ106" s="793"/>
      <c r="BK106" s="793"/>
      <c r="BL106" s="213">
        <f t="shared" si="159"/>
        <v>0</v>
      </c>
      <c r="BM106" s="319"/>
      <c r="BN106" s="28"/>
      <c r="BO106" s="28"/>
      <c r="BP106" s="28"/>
      <c r="BQ106" s="132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</row>
    <row r="107" hidden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44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44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717"/>
      <c r="BH107" s="28"/>
      <c r="BI107" s="28"/>
      <c r="BJ107" s="28"/>
      <c r="BK107" s="28"/>
      <c r="BL107" s="28"/>
      <c r="BM107" s="952"/>
      <c r="BN107" s="28"/>
      <c r="BO107" s="28"/>
      <c r="BP107" s="28"/>
      <c r="BQ107" s="132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</row>
  </sheetData>
  <mergeCells count="780">
    <mergeCell ref="BO24:BO25"/>
    <mergeCell ref="BP24:BP25"/>
    <mergeCell ref="BP22:BP23"/>
    <mergeCell ref="BQ22:BQ23"/>
    <mergeCell ref="AT24:BA25"/>
    <mergeCell ref="BB24:BB25"/>
    <mergeCell ref="BD24:BD25"/>
    <mergeCell ref="BE24:BE25"/>
    <mergeCell ref="BF24:BF25"/>
    <mergeCell ref="BQ24:BQ25"/>
    <mergeCell ref="BH18:BH19"/>
    <mergeCell ref="BI18:BI19"/>
    <mergeCell ref="BJ18:BJ19"/>
    <mergeCell ref="BK18:BK19"/>
    <mergeCell ref="BD20:BD21"/>
    <mergeCell ref="BE20:BE21"/>
    <mergeCell ref="BF20:BF21"/>
    <mergeCell ref="BS20:BS21"/>
    <mergeCell ref="BT20:BT21"/>
    <mergeCell ref="BU20:BU21"/>
    <mergeCell ref="BV20:BV21"/>
    <mergeCell ref="BO20:BO21"/>
    <mergeCell ref="BO22:BO23"/>
    <mergeCell ref="BJ20:BJ21"/>
    <mergeCell ref="BK20:BK21"/>
    <mergeCell ref="BL20:BL21"/>
    <mergeCell ref="BP20:BP21"/>
    <mergeCell ref="BQ20:BQ21"/>
    <mergeCell ref="BR20:BR21"/>
    <mergeCell ref="BL22:BL23"/>
    <mergeCell ref="BH24:BH25"/>
    <mergeCell ref="BI24:BI25"/>
    <mergeCell ref="BJ24:BJ25"/>
    <mergeCell ref="BK24:BK25"/>
    <mergeCell ref="BT24:BT25"/>
    <mergeCell ref="BU24:BU25"/>
    <mergeCell ref="BR22:BR23"/>
    <mergeCell ref="BS22:BS23"/>
    <mergeCell ref="BT22:BT23"/>
    <mergeCell ref="BU22:BU23"/>
    <mergeCell ref="BV22:BV23"/>
    <mergeCell ref="BR24:BR25"/>
    <mergeCell ref="BS24:BS25"/>
    <mergeCell ref="BV24:BV25"/>
    <mergeCell ref="C1:J1"/>
    <mergeCell ref="C4:J5"/>
    <mergeCell ref="K4:K5"/>
    <mergeCell ref="M4:W5"/>
    <mergeCell ref="X4:X5"/>
    <mergeCell ref="Z4:AG5"/>
    <mergeCell ref="AH4:AH5"/>
    <mergeCell ref="AL4:AL5"/>
    <mergeCell ref="AM4:AM5"/>
    <mergeCell ref="AN4:AN5"/>
    <mergeCell ref="BS4:BS5"/>
    <mergeCell ref="BT4:BT5"/>
    <mergeCell ref="BU4:BU5"/>
    <mergeCell ref="BV4:BV5"/>
    <mergeCell ref="BH1:BL1"/>
    <mergeCell ref="BD4:BL5"/>
    <mergeCell ref="BM4:BM5"/>
    <mergeCell ref="BO4:BO5"/>
    <mergeCell ref="BP4:BP5"/>
    <mergeCell ref="BQ4:BQ5"/>
    <mergeCell ref="BR4:BR5"/>
    <mergeCell ref="C6:J7"/>
    <mergeCell ref="M6:W7"/>
    <mergeCell ref="Z6:AG7"/>
    <mergeCell ref="AJ6:AQ7"/>
    <mergeCell ref="BS6:BS7"/>
    <mergeCell ref="BT6:BT7"/>
    <mergeCell ref="BU6:BU7"/>
    <mergeCell ref="BV6:BV7"/>
    <mergeCell ref="AT6:BA7"/>
    <mergeCell ref="BD6:BF7"/>
    <mergeCell ref="BH6:BK7"/>
    <mergeCell ref="BO6:BO7"/>
    <mergeCell ref="BP6:BP7"/>
    <mergeCell ref="BQ6:BQ7"/>
    <mergeCell ref="BR6:BR7"/>
    <mergeCell ref="AH8:AH9"/>
    <mergeCell ref="AJ8:AJ9"/>
    <mergeCell ref="AK8:AK9"/>
    <mergeCell ref="AL8:AM9"/>
    <mergeCell ref="BR8:BR9"/>
    <mergeCell ref="BS8:BS9"/>
    <mergeCell ref="BT8:BT9"/>
    <mergeCell ref="BU8:BU9"/>
    <mergeCell ref="BV8:BV9"/>
    <mergeCell ref="AN8:AO9"/>
    <mergeCell ref="AP8:AP9"/>
    <mergeCell ref="BD8:BL9"/>
    <mergeCell ref="BM8:BM9"/>
    <mergeCell ref="BO8:BO9"/>
    <mergeCell ref="BP8:BP9"/>
    <mergeCell ref="BQ8:BQ9"/>
    <mergeCell ref="M8:W9"/>
    <mergeCell ref="Z8:AG9"/>
    <mergeCell ref="AQ8:AQ9"/>
    <mergeCell ref="AT8:BA9"/>
    <mergeCell ref="AJ10:AJ11"/>
    <mergeCell ref="AK10:AK11"/>
    <mergeCell ref="AL10:AM10"/>
    <mergeCell ref="AN10:AO10"/>
    <mergeCell ref="AP10:AP11"/>
    <mergeCell ref="AQ10:AQ11"/>
    <mergeCell ref="C12:J13"/>
    <mergeCell ref="M12:V13"/>
    <mergeCell ref="Z12:AG13"/>
    <mergeCell ref="AJ12:AQ13"/>
    <mergeCell ref="AT12:BA13"/>
    <mergeCell ref="BD12:BF13"/>
    <mergeCell ref="AO4:AO5"/>
    <mergeCell ref="AP14:AP15"/>
    <mergeCell ref="Z1:AG1"/>
    <mergeCell ref="AJ1:AQ1"/>
    <mergeCell ref="AT1:BA1"/>
    <mergeCell ref="BD1:BF1"/>
    <mergeCell ref="A3:A15"/>
    <mergeCell ref="BB8:BB9"/>
    <mergeCell ref="T14:V14"/>
    <mergeCell ref="AQ14:AQ15"/>
    <mergeCell ref="T18:T19"/>
    <mergeCell ref="U18:U20"/>
    <mergeCell ref="K18:K19"/>
    <mergeCell ref="S18:S19"/>
    <mergeCell ref="Z18:AG19"/>
    <mergeCell ref="AH18:AH19"/>
    <mergeCell ref="AJ18:AQ19"/>
    <mergeCell ref="BD18:BD19"/>
    <mergeCell ref="BE18:BE19"/>
    <mergeCell ref="BH20:BH21"/>
    <mergeCell ref="BI20:BI21"/>
    <mergeCell ref="BB22:BB23"/>
    <mergeCell ref="BD22:BD23"/>
    <mergeCell ref="BE22:BE23"/>
    <mergeCell ref="BF22:BF23"/>
    <mergeCell ref="BH22:BH23"/>
    <mergeCell ref="BI22:BI23"/>
    <mergeCell ref="K20:K21"/>
    <mergeCell ref="O20:O21"/>
    <mergeCell ref="Z20:AG21"/>
    <mergeCell ref="AH20:AH21"/>
    <mergeCell ref="AJ20:AQ21"/>
    <mergeCell ref="AJ22:AQ23"/>
    <mergeCell ref="AT22:BA23"/>
    <mergeCell ref="BO18:BO19"/>
    <mergeCell ref="BL25:BL27"/>
    <mergeCell ref="AT26:AU27"/>
    <mergeCell ref="AV26:AW27"/>
    <mergeCell ref="AX26:AY27"/>
    <mergeCell ref="AZ26:BA27"/>
    <mergeCell ref="BB26:BB27"/>
    <mergeCell ref="BT28:BT29"/>
    <mergeCell ref="BU28:BU29"/>
    <mergeCell ref="BV28:BV29"/>
    <mergeCell ref="BJ26:BJ27"/>
    <mergeCell ref="BK26:BK27"/>
    <mergeCell ref="BO28:BO29"/>
    <mergeCell ref="BP28:BP29"/>
    <mergeCell ref="BQ28:BQ29"/>
    <mergeCell ref="BR28:BR29"/>
    <mergeCell ref="BS28:BS29"/>
    <mergeCell ref="BD30:BF30"/>
    <mergeCell ref="BT10:BT11"/>
    <mergeCell ref="BU10:BU11"/>
    <mergeCell ref="BV10:BV11"/>
    <mergeCell ref="AT10:BA11"/>
    <mergeCell ref="BB10:BB11"/>
    <mergeCell ref="BO10:BO11"/>
    <mergeCell ref="BP10:BP11"/>
    <mergeCell ref="BQ10:BQ11"/>
    <mergeCell ref="BR10:BR11"/>
    <mergeCell ref="BS10:BS11"/>
    <mergeCell ref="BH12:BO13"/>
    <mergeCell ref="BQ12:BQ13"/>
    <mergeCell ref="BR12:BR13"/>
    <mergeCell ref="BS12:BS13"/>
    <mergeCell ref="BT12:BT13"/>
    <mergeCell ref="BU12:BU13"/>
    <mergeCell ref="BV12:BV13"/>
    <mergeCell ref="BU14:BU15"/>
    <mergeCell ref="BV14:BV15"/>
    <mergeCell ref="BD16:BF16"/>
    <mergeCell ref="BP12:BP13"/>
    <mergeCell ref="BO14:BO15"/>
    <mergeCell ref="BP14:BP15"/>
    <mergeCell ref="BQ14:BQ15"/>
    <mergeCell ref="BR14:BR15"/>
    <mergeCell ref="BS14:BS15"/>
    <mergeCell ref="BT14:BT15"/>
    <mergeCell ref="BP18:BP19"/>
    <mergeCell ref="BQ18:BQ19"/>
    <mergeCell ref="BR18:BR19"/>
    <mergeCell ref="BS18:BS19"/>
    <mergeCell ref="BT18:BT19"/>
    <mergeCell ref="BU18:BU19"/>
    <mergeCell ref="BV18:BV19"/>
    <mergeCell ref="BO26:BO27"/>
    <mergeCell ref="BP26:BP27"/>
    <mergeCell ref="BQ26:BQ27"/>
    <mergeCell ref="BR26:BR27"/>
    <mergeCell ref="BS26:BS27"/>
    <mergeCell ref="BT26:BT27"/>
    <mergeCell ref="BU26:BU27"/>
    <mergeCell ref="BV26:BV27"/>
    <mergeCell ref="BQ32:BQ33"/>
    <mergeCell ref="BR32:BR33"/>
    <mergeCell ref="BS32:BS33"/>
    <mergeCell ref="BT32:BT33"/>
    <mergeCell ref="BU32:BU33"/>
    <mergeCell ref="BV32:BV33"/>
    <mergeCell ref="BA32:BA33"/>
    <mergeCell ref="BF32:BF33"/>
    <mergeCell ref="BH32:BI33"/>
    <mergeCell ref="BJ32:BK33"/>
    <mergeCell ref="BL32:BL33"/>
    <mergeCell ref="BO32:BO33"/>
    <mergeCell ref="BP32:BP33"/>
    <mergeCell ref="AJ32:AQ33"/>
    <mergeCell ref="AR32:AR33"/>
    <mergeCell ref="AT32:AT33"/>
    <mergeCell ref="AU32:AU33"/>
    <mergeCell ref="AX32:AX33"/>
    <mergeCell ref="AY32:AY33"/>
    <mergeCell ref="AZ32:AZ33"/>
    <mergeCell ref="BT34:BT35"/>
    <mergeCell ref="BU34:BU35"/>
    <mergeCell ref="BV34:BV35"/>
    <mergeCell ref="BU36:BU37"/>
    <mergeCell ref="BV36:BV37"/>
    <mergeCell ref="BH34:BI35"/>
    <mergeCell ref="BJ34:BK35"/>
    <mergeCell ref="BO34:BO35"/>
    <mergeCell ref="BP34:BP35"/>
    <mergeCell ref="BQ34:BQ35"/>
    <mergeCell ref="BR34:BR35"/>
    <mergeCell ref="BS34:BS35"/>
    <mergeCell ref="AJ34:AQ35"/>
    <mergeCell ref="AR34:AR35"/>
    <mergeCell ref="AV34:AV35"/>
    <mergeCell ref="AW34:AW35"/>
    <mergeCell ref="AZ34:AZ35"/>
    <mergeCell ref="BA34:BA35"/>
    <mergeCell ref="BD34:BF35"/>
    <mergeCell ref="AJ36:AQ37"/>
    <mergeCell ref="AR36:AR37"/>
    <mergeCell ref="AT36:AT37"/>
    <mergeCell ref="AU36:AU37"/>
    <mergeCell ref="AV36:AV37"/>
    <mergeCell ref="AW36:AW37"/>
    <mergeCell ref="AX36:AX37"/>
    <mergeCell ref="R20:R21"/>
    <mergeCell ref="C22:J23"/>
    <mergeCell ref="K22:K23"/>
    <mergeCell ref="M22:M23"/>
    <mergeCell ref="N22:N23"/>
    <mergeCell ref="O22:O23"/>
    <mergeCell ref="P22:P23"/>
    <mergeCell ref="U26:U27"/>
    <mergeCell ref="V26:V27"/>
    <mergeCell ref="O28:O29"/>
    <mergeCell ref="P28:P29"/>
    <mergeCell ref="U28:U29"/>
    <mergeCell ref="V28:V29"/>
    <mergeCell ref="X34:X35"/>
    <mergeCell ref="U36:V37"/>
    <mergeCell ref="M1:W1"/>
    <mergeCell ref="M10:N11"/>
    <mergeCell ref="O10:O11"/>
    <mergeCell ref="P10:P11"/>
    <mergeCell ref="S10:T11"/>
    <mergeCell ref="A17:A29"/>
    <mergeCell ref="V18:V20"/>
    <mergeCell ref="G32:G33"/>
    <mergeCell ref="H32:H33"/>
    <mergeCell ref="E34:E35"/>
    <mergeCell ref="F34:F35"/>
    <mergeCell ref="J38:J39"/>
    <mergeCell ref="G40:G41"/>
    <mergeCell ref="H40:H41"/>
    <mergeCell ref="I40:I41"/>
    <mergeCell ref="J40:J41"/>
    <mergeCell ref="M26:M27"/>
    <mergeCell ref="N26:N27"/>
    <mergeCell ref="A31:A43"/>
    <mergeCell ref="C32:C33"/>
    <mergeCell ref="D32:D33"/>
    <mergeCell ref="F32:F33"/>
    <mergeCell ref="M36:N37"/>
    <mergeCell ref="O46:P47"/>
    <mergeCell ref="Q46:Q47"/>
    <mergeCell ref="R46:R47"/>
    <mergeCell ref="S46:S47"/>
    <mergeCell ref="T46:T47"/>
    <mergeCell ref="I42:I43"/>
    <mergeCell ref="J42:J43"/>
    <mergeCell ref="F46:F47"/>
    <mergeCell ref="G46:H47"/>
    <mergeCell ref="M46:M47"/>
    <mergeCell ref="N46:N47"/>
    <mergeCell ref="E48:F49"/>
    <mergeCell ref="G49:H49"/>
    <mergeCell ref="M48:M49"/>
    <mergeCell ref="N48:N49"/>
    <mergeCell ref="O48:O49"/>
    <mergeCell ref="P48:P49"/>
    <mergeCell ref="S48:T49"/>
    <mergeCell ref="T50:T51"/>
    <mergeCell ref="T52:T53"/>
    <mergeCell ref="C62:J63"/>
    <mergeCell ref="K62:K63"/>
    <mergeCell ref="I46:J47"/>
    <mergeCell ref="I48:I49"/>
    <mergeCell ref="J48:J49"/>
    <mergeCell ref="G54:G55"/>
    <mergeCell ref="H54:H55"/>
    <mergeCell ref="C60:J61"/>
    <mergeCell ref="K60:K61"/>
    <mergeCell ref="C18:J19"/>
    <mergeCell ref="C20:J21"/>
    <mergeCell ref="P20:P21"/>
    <mergeCell ref="Q20:Q21"/>
    <mergeCell ref="Q22:Q23"/>
    <mergeCell ref="R22:R23"/>
    <mergeCell ref="S22:S23"/>
    <mergeCell ref="T22:T23"/>
    <mergeCell ref="Z22:AA23"/>
    <mergeCell ref="AB22:AC23"/>
    <mergeCell ref="AD22:AE23"/>
    <mergeCell ref="AF22:AG23"/>
    <mergeCell ref="O24:O26"/>
    <mergeCell ref="P24:P26"/>
    <mergeCell ref="Q24:Q25"/>
    <mergeCell ref="R24:R25"/>
    <mergeCell ref="Z34:AG35"/>
    <mergeCell ref="AH34:AH35"/>
    <mergeCell ref="Z36:AG37"/>
    <mergeCell ref="AH36:AH37"/>
    <mergeCell ref="U24:U25"/>
    <mergeCell ref="V24:V25"/>
    <mergeCell ref="AD24:AE25"/>
    <mergeCell ref="AF24:AG25"/>
    <mergeCell ref="Z32:AG33"/>
    <mergeCell ref="AH32:AH33"/>
    <mergeCell ref="AB46:AC47"/>
    <mergeCell ref="AB48:AC48"/>
    <mergeCell ref="AF48:AF49"/>
    <mergeCell ref="AG48:AG49"/>
    <mergeCell ref="AD46:AE47"/>
    <mergeCell ref="AD48:AE48"/>
    <mergeCell ref="Z38:AA39"/>
    <mergeCell ref="Z46:AA47"/>
    <mergeCell ref="AF46:AF47"/>
    <mergeCell ref="AG46:AG47"/>
    <mergeCell ref="W48:W49"/>
    <mergeCell ref="Z48:AA49"/>
    <mergeCell ref="AB49:AC49"/>
    <mergeCell ref="AD49:AE49"/>
    <mergeCell ref="G34:G35"/>
    <mergeCell ref="H34:H35"/>
    <mergeCell ref="C36:C37"/>
    <mergeCell ref="D36:D37"/>
    <mergeCell ref="E36:E37"/>
    <mergeCell ref="F36:F37"/>
    <mergeCell ref="G36:G37"/>
    <mergeCell ref="H36:H37"/>
    <mergeCell ref="I36:I37"/>
    <mergeCell ref="J36:J37"/>
    <mergeCell ref="O36:P37"/>
    <mergeCell ref="Q36:R37"/>
    <mergeCell ref="F38:F39"/>
    <mergeCell ref="G38:G39"/>
    <mergeCell ref="H38:H39"/>
    <mergeCell ref="I38:I39"/>
    <mergeCell ref="M38:W39"/>
    <mergeCell ref="X38:X39"/>
    <mergeCell ref="AB38:AC39"/>
    <mergeCell ref="M40:W41"/>
    <mergeCell ref="X40:X41"/>
    <mergeCell ref="R50:R51"/>
    <mergeCell ref="S50:S51"/>
    <mergeCell ref="U50:V51"/>
    <mergeCell ref="W50:W51"/>
    <mergeCell ref="Z50:AA51"/>
    <mergeCell ref="AB50:AC51"/>
    <mergeCell ref="AF50:AG51"/>
    <mergeCell ref="AD50:AE51"/>
    <mergeCell ref="C50:C51"/>
    <mergeCell ref="D50:D51"/>
    <mergeCell ref="G50:H51"/>
    <mergeCell ref="I50:J51"/>
    <mergeCell ref="M50:M51"/>
    <mergeCell ref="N50:N51"/>
    <mergeCell ref="Q50:Q51"/>
    <mergeCell ref="E52:E53"/>
    <mergeCell ref="F52:F53"/>
    <mergeCell ref="M52:M53"/>
    <mergeCell ref="N52:N53"/>
    <mergeCell ref="O52:O53"/>
    <mergeCell ref="P52:P53"/>
    <mergeCell ref="Q52:Q53"/>
    <mergeCell ref="AB52:AC53"/>
    <mergeCell ref="AD54:AD55"/>
    <mergeCell ref="R52:R53"/>
    <mergeCell ref="S52:S53"/>
    <mergeCell ref="U52:V53"/>
    <mergeCell ref="Z52:AA54"/>
    <mergeCell ref="AF52:AG53"/>
    <mergeCell ref="U54:U55"/>
    <mergeCell ref="V54:V55"/>
    <mergeCell ref="AE54:AE55"/>
    <mergeCell ref="E32:E33"/>
    <mergeCell ref="E38:E39"/>
    <mergeCell ref="A45:A57"/>
    <mergeCell ref="C46:C47"/>
    <mergeCell ref="D46:D47"/>
    <mergeCell ref="E46:E47"/>
    <mergeCell ref="A59:A71"/>
    <mergeCell ref="C66:D67"/>
    <mergeCell ref="C48:D49"/>
    <mergeCell ref="C64:D65"/>
    <mergeCell ref="E64:F65"/>
    <mergeCell ref="G64:H65"/>
    <mergeCell ref="I64:J65"/>
    <mergeCell ref="K64:K65"/>
    <mergeCell ref="E66:F67"/>
    <mergeCell ref="G66:H67"/>
    <mergeCell ref="I66:J67"/>
    <mergeCell ref="H73:J73"/>
    <mergeCell ref="H74:J74"/>
    <mergeCell ref="H75:J75"/>
    <mergeCell ref="H76:J76"/>
    <mergeCell ref="H77:J77"/>
    <mergeCell ref="D90:J90"/>
    <mergeCell ref="D91:J91"/>
    <mergeCell ref="H78:J78"/>
    <mergeCell ref="H79:J79"/>
    <mergeCell ref="H80:J80"/>
    <mergeCell ref="D86:J86"/>
    <mergeCell ref="D87:J87"/>
    <mergeCell ref="D88:J88"/>
    <mergeCell ref="D89:J89"/>
    <mergeCell ref="R80:W80"/>
    <mergeCell ref="N86:W86"/>
    <mergeCell ref="N87:W87"/>
    <mergeCell ref="N88:W88"/>
    <mergeCell ref="N89:W89"/>
    <mergeCell ref="N90:W90"/>
    <mergeCell ref="N91:W91"/>
    <mergeCell ref="R73:W73"/>
    <mergeCell ref="R74:W74"/>
    <mergeCell ref="R75:W75"/>
    <mergeCell ref="R76:W76"/>
    <mergeCell ref="R77:W77"/>
    <mergeCell ref="R78:W78"/>
    <mergeCell ref="R79:W79"/>
    <mergeCell ref="X60:X61"/>
    <mergeCell ref="Z60:Z61"/>
    <mergeCell ref="AA60:AA61"/>
    <mergeCell ref="AB60:AB61"/>
    <mergeCell ref="AC60:AC61"/>
    <mergeCell ref="AD60:AD61"/>
    <mergeCell ref="AE60:AE61"/>
    <mergeCell ref="AF60:AG61"/>
    <mergeCell ref="Q54:Q55"/>
    <mergeCell ref="R54:R55"/>
    <mergeCell ref="S54:S55"/>
    <mergeCell ref="T54:T55"/>
    <mergeCell ref="U56:U57"/>
    <mergeCell ref="V56:V57"/>
    <mergeCell ref="M60:W61"/>
    <mergeCell ref="AE62:AE63"/>
    <mergeCell ref="AF62:AG62"/>
    <mergeCell ref="M62:W63"/>
    <mergeCell ref="X62:X63"/>
    <mergeCell ref="Z62:Z63"/>
    <mergeCell ref="AA62:AA63"/>
    <mergeCell ref="AB62:AB63"/>
    <mergeCell ref="AC62:AC63"/>
    <mergeCell ref="AD62:AD63"/>
    <mergeCell ref="M64:W65"/>
    <mergeCell ref="AB64:AB65"/>
    <mergeCell ref="AC64:AC65"/>
    <mergeCell ref="AD64:AD65"/>
    <mergeCell ref="AE64:AE65"/>
    <mergeCell ref="AF64:AF65"/>
    <mergeCell ref="AG64:AG65"/>
    <mergeCell ref="X64:X65"/>
    <mergeCell ref="X66:X67"/>
    <mergeCell ref="AB66:AB67"/>
    <mergeCell ref="AC66:AC67"/>
    <mergeCell ref="AF66:AF67"/>
    <mergeCell ref="AG66:AG67"/>
    <mergeCell ref="AE73:AG73"/>
    <mergeCell ref="AA86:AG86"/>
    <mergeCell ref="AA87:AG87"/>
    <mergeCell ref="AA88:AG88"/>
    <mergeCell ref="AA89:AG89"/>
    <mergeCell ref="AA90:AG90"/>
    <mergeCell ref="AA91:AG91"/>
    <mergeCell ref="AE74:AG74"/>
    <mergeCell ref="AE75:AG75"/>
    <mergeCell ref="AE76:AG76"/>
    <mergeCell ref="AE77:AG77"/>
    <mergeCell ref="AE78:AG78"/>
    <mergeCell ref="AE79:AG79"/>
    <mergeCell ref="AE80:AG80"/>
    <mergeCell ref="BT70:BT71"/>
    <mergeCell ref="BU70:BU71"/>
    <mergeCell ref="BV70:BV71"/>
    <mergeCell ref="BT68:BT69"/>
    <mergeCell ref="BU68:BU69"/>
    <mergeCell ref="BO70:BO71"/>
    <mergeCell ref="BP70:BP71"/>
    <mergeCell ref="BQ70:BQ71"/>
    <mergeCell ref="BR70:BR71"/>
    <mergeCell ref="BS70:BS71"/>
    <mergeCell ref="BR50:BR51"/>
    <mergeCell ref="BS50:BS51"/>
    <mergeCell ref="BT50:BT51"/>
    <mergeCell ref="BU50:BU51"/>
    <mergeCell ref="BV50:BV51"/>
    <mergeCell ref="BL52:BL53"/>
    <mergeCell ref="BO52:BO53"/>
    <mergeCell ref="BV52:BV53"/>
    <mergeCell ref="BR52:BR53"/>
    <mergeCell ref="BS52:BS53"/>
    <mergeCell ref="BO54:BO55"/>
    <mergeCell ref="BP54:BP55"/>
    <mergeCell ref="BQ54:BQ55"/>
    <mergeCell ref="BR54:BR55"/>
    <mergeCell ref="BS54:BS55"/>
    <mergeCell ref="BP56:BP57"/>
    <mergeCell ref="BQ56:BQ57"/>
    <mergeCell ref="BR56:BR57"/>
    <mergeCell ref="BS56:BS57"/>
    <mergeCell ref="BT56:BT57"/>
    <mergeCell ref="BU56:BU57"/>
    <mergeCell ref="BV56:BV57"/>
    <mergeCell ref="BT60:BT61"/>
    <mergeCell ref="BU60:BU61"/>
    <mergeCell ref="BT52:BT53"/>
    <mergeCell ref="BU52:BU53"/>
    <mergeCell ref="BT54:BT55"/>
    <mergeCell ref="BU54:BU55"/>
    <mergeCell ref="BV54:BV55"/>
    <mergeCell ref="BX59:BY62"/>
    <mergeCell ref="BZ59:CA62"/>
    <mergeCell ref="BV60:BV61"/>
    <mergeCell ref="BU62:BU63"/>
    <mergeCell ref="BV62:BV63"/>
    <mergeCell ref="BX63:BY66"/>
    <mergeCell ref="BZ63:CA66"/>
    <mergeCell ref="BU64:BU65"/>
    <mergeCell ref="BV64:BV65"/>
    <mergeCell ref="BS66:BS67"/>
    <mergeCell ref="BT66:BT67"/>
    <mergeCell ref="BU66:BU67"/>
    <mergeCell ref="BV66:BV67"/>
    <mergeCell ref="BX67:BY70"/>
    <mergeCell ref="BZ67:CA70"/>
    <mergeCell ref="BS68:BS69"/>
    <mergeCell ref="BV68:BV69"/>
    <mergeCell ref="BE90:BL90"/>
    <mergeCell ref="BE91:BL91"/>
    <mergeCell ref="BE92:BL92"/>
    <mergeCell ref="BH78:BL78"/>
    <mergeCell ref="BH79:BL79"/>
    <mergeCell ref="BH80:BL80"/>
    <mergeCell ref="BE86:BL86"/>
    <mergeCell ref="BE87:BL87"/>
    <mergeCell ref="BE88:BL88"/>
    <mergeCell ref="BE89:BL89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AT72:BA72"/>
    <mergeCell ref="BD72:BF72"/>
    <mergeCell ref="BH72:BK72"/>
    <mergeCell ref="AO73:AQ73"/>
    <mergeCell ref="AY73:BA73"/>
    <mergeCell ref="AY74:BA74"/>
    <mergeCell ref="AO74:AQ74"/>
    <mergeCell ref="AO75:AQ75"/>
    <mergeCell ref="AY75:BA75"/>
    <mergeCell ref="BH75:BL75"/>
    <mergeCell ref="AO76:AQ76"/>
    <mergeCell ref="BH76:BL76"/>
    <mergeCell ref="BH77:BL77"/>
    <mergeCell ref="AU88:BA88"/>
    <mergeCell ref="AU89:BA89"/>
    <mergeCell ref="AU90:BA90"/>
    <mergeCell ref="AU91:BA91"/>
    <mergeCell ref="AY76:BA76"/>
    <mergeCell ref="AY77:BA77"/>
    <mergeCell ref="AY78:BA78"/>
    <mergeCell ref="AY79:BA79"/>
    <mergeCell ref="AY80:BA80"/>
    <mergeCell ref="AU86:BA86"/>
    <mergeCell ref="AU87:BA87"/>
    <mergeCell ref="AK89:AQ89"/>
    <mergeCell ref="AK90:AQ90"/>
    <mergeCell ref="AK91:AQ91"/>
    <mergeCell ref="AO77:AQ77"/>
    <mergeCell ref="AO78:AQ78"/>
    <mergeCell ref="AO79:AQ79"/>
    <mergeCell ref="AO80:AQ80"/>
    <mergeCell ref="AK86:AQ86"/>
    <mergeCell ref="AK87:AQ87"/>
    <mergeCell ref="AK88:AQ88"/>
    <mergeCell ref="BS42:BS43"/>
    <mergeCell ref="BT42:BT43"/>
    <mergeCell ref="BU42:BU43"/>
    <mergeCell ref="BV42:BV43"/>
    <mergeCell ref="BT40:BT41"/>
    <mergeCell ref="BU40:BU41"/>
    <mergeCell ref="BV40:BV41"/>
    <mergeCell ref="BO42:BO43"/>
    <mergeCell ref="BP42:BP43"/>
    <mergeCell ref="BQ42:BQ43"/>
    <mergeCell ref="BR42:BR43"/>
    <mergeCell ref="BS36:BS37"/>
    <mergeCell ref="BT36:BT37"/>
    <mergeCell ref="AY36:AY37"/>
    <mergeCell ref="BD36:BL37"/>
    <mergeCell ref="BM36:BM37"/>
    <mergeCell ref="BO36:BO37"/>
    <mergeCell ref="BP36:BP37"/>
    <mergeCell ref="BQ36:BQ37"/>
    <mergeCell ref="BR36:BR37"/>
    <mergeCell ref="BS38:BS39"/>
    <mergeCell ref="BT38:BT39"/>
    <mergeCell ref="BU38:BU39"/>
    <mergeCell ref="BV38:BV39"/>
    <mergeCell ref="BH38:BI39"/>
    <mergeCell ref="BJ38:BK39"/>
    <mergeCell ref="BM38:BM39"/>
    <mergeCell ref="BO38:BO39"/>
    <mergeCell ref="BP38:BP39"/>
    <mergeCell ref="BQ38:BQ39"/>
    <mergeCell ref="BR38:BR39"/>
    <mergeCell ref="BF40:BF41"/>
    <mergeCell ref="BJ40:BK41"/>
    <mergeCell ref="BO40:BO41"/>
    <mergeCell ref="BP40:BP41"/>
    <mergeCell ref="BQ40:BQ41"/>
    <mergeCell ref="BR40:BR41"/>
    <mergeCell ref="BS40:BS41"/>
    <mergeCell ref="AV38:AV39"/>
    <mergeCell ref="AW38:AW39"/>
    <mergeCell ref="AX38:AX39"/>
    <mergeCell ref="AY38:AY39"/>
    <mergeCell ref="AZ38:AZ39"/>
    <mergeCell ref="BA38:BA39"/>
    <mergeCell ref="BD38:BF39"/>
    <mergeCell ref="AV41:AV43"/>
    <mergeCell ref="AW41:AW43"/>
    <mergeCell ref="AZ42:AZ43"/>
    <mergeCell ref="BA42:BA43"/>
    <mergeCell ref="AT44:BA44"/>
    <mergeCell ref="BD45:BF45"/>
    <mergeCell ref="BH45:BK45"/>
    <mergeCell ref="BR46:BR47"/>
    <mergeCell ref="BS46:BS47"/>
    <mergeCell ref="BT46:BT47"/>
    <mergeCell ref="BU46:BU47"/>
    <mergeCell ref="BV46:BV47"/>
    <mergeCell ref="AL46:AM47"/>
    <mergeCell ref="AP46:AQ47"/>
    <mergeCell ref="BD46:BL47"/>
    <mergeCell ref="BM46:BM47"/>
    <mergeCell ref="BO46:BO47"/>
    <mergeCell ref="BP46:BP47"/>
    <mergeCell ref="BQ46:BQ47"/>
    <mergeCell ref="BT48:BT49"/>
    <mergeCell ref="BU48:BU49"/>
    <mergeCell ref="BV48:BV49"/>
    <mergeCell ref="BD48:BL49"/>
    <mergeCell ref="BM48:BM49"/>
    <mergeCell ref="BO48:BO49"/>
    <mergeCell ref="BP48:BP49"/>
    <mergeCell ref="BQ48:BQ49"/>
    <mergeCell ref="BR48:BR49"/>
    <mergeCell ref="BS48:BS49"/>
    <mergeCell ref="AL48:AL49"/>
    <mergeCell ref="AM48:AM49"/>
    <mergeCell ref="AN48:AO49"/>
    <mergeCell ref="AP48:AQ48"/>
    <mergeCell ref="AT48:BA49"/>
    <mergeCell ref="BB48:BB49"/>
    <mergeCell ref="AP49:AQ49"/>
    <mergeCell ref="AT50:BA51"/>
    <mergeCell ref="BB50:BB51"/>
    <mergeCell ref="BD50:BL51"/>
    <mergeCell ref="BM50:BM51"/>
    <mergeCell ref="BO50:BO51"/>
    <mergeCell ref="BP50:BP51"/>
    <mergeCell ref="BQ50:BQ51"/>
    <mergeCell ref="BP52:BP53"/>
    <mergeCell ref="BQ52:BQ53"/>
    <mergeCell ref="BO60:BO61"/>
    <mergeCell ref="BO62:BO63"/>
    <mergeCell ref="BP62:BP63"/>
    <mergeCell ref="BQ62:BQ63"/>
    <mergeCell ref="BR62:BR63"/>
    <mergeCell ref="BS62:BS63"/>
    <mergeCell ref="BT62:BT63"/>
    <mergeCell ref="BO56:BO57"/>
    <mergeCell ref="BD58:BF58"/>
    <mergeCell ref="BJ60:BK62"/>
    <mergeCell ref="BP60:BP61"/>
    <mergeCell ref="BQ60:BQ61"/>
    <mergeCell ref="BR60:BR61"/>
    <mergeCell ref="BS60:BS61"/>
    <mergeCell ref="BS64:BS65"/>
    <mergeCell ref="BT64:BT65"/>
    <mergeCell ref="BD63:BE65"/>
    <mergeCell ref="BH63:BI65"/>
    <mergeCell ref="BL64:BL65"/>
    <mergeCell ref="BO64:BO65"/>
    <mergeCell ref="BP64:BP65"/>
    <mergeCell ref="BQ64:BQ65"/>
    <mergeCell ref="BR64:BR65"/>
    <mergeCell ref="BO68:BO69"/>
    <mergeCell ref="BP68:BP69"/>
    <mergeCell ref="BQ68:BQ69"/>
    <mergeCell ref="BR68:BR69"/>
    <mergeCell ref="BD66:BE67"/>
    <mergeCell ref="BF66:BF68"/>
    <mergeCell ref="BL66:BL67"/>
    <mergeCell ref="BO66:BO67"/>
    <mergeCell ref="BP66:BP67"/>
    <mergeCell ref="BQ66:BQ67"/>
    <mergeCell ref="BR66:BR67"/>
    <mergeCell ref="AP52:AP53"/>
    <mergeCell ref="AQ52:AQ53"/>
    <mergeCell ref="AX52:AX53"/>
    <mergeCell ref="AY52:AY53"/>
    <mergeCell ref="AJ48:AK49"/>
    <mergeCell ref="AJ50:AK51"/>
    <mergeCell ref="AL50:AM51"/>
    <mergeCell ref="AP50:AQ51"/>
    <mergeCell ref="AL52:AL53"/>
    <mergeCell ref="AM52:AM53"/>
    <mergeCell ref="AN52:AO53"/>
    <mergeCell ref="AJ54:AJ55"/>
    <mergeCell ref="AN54:AN55"/>
    <mergeCell ref="AO54:AO55"/>
    <mergeCell ref="AU54:AU55"/>
    <mergeCell ref="AN56:AN57"/>
    <mergeCell ref="AO56:AO57"/>
    <mergeCell ref="AU56:AU57"/>
    <mergeCell ref="AN62:AO63"/>
    <mergeCell ref="AP62:AQ63"/>
    <mergeCell ref="AV62:AV63"/>
    <mergeCell ref="AW62:AW63"/>
    <mergeCell ref="AK54:AK55"/>
    <mergeCell ref="AJ60:AK61"/>
    <mergeCell ref="AL60:AM61"/>
    <mergeCell ref="AN60:AO61"/>
    <mergeCell ref="AP60:AQ61"/>
    <mergeCell ref="AJ62:AK63"/>
    <mergeCell ref="AL62:AM63"/>
    <mergeCell ref="AJ66:AK68"/>
    <mergeCell ref="AY64:AY65"/>
    <mergeCell ref="AZ64:AZ65"/>
    <mergeCell ref="BA64:BA65"/>
    <mergeCell ref="AT54:AT55"/>
    <mergeCell ref="AT56:AT57"/>
    <mergeCell ref="AT64:AT65"/>
    <mergeCell ref="AU64:AU65"/>
    <mergeCell ref="AV64:AV65"/>
    <mergeCell ref="AW64:AW65"/>
    <mergeCell ref="AX64:AX65"/>
  </mergeCells>
  <conditionalFormatting sqref="C73:C86 L73:L89 Y73:Y89 AI73:AI89 AS73:AS86 BC73:BC89 C88:C89 AS88:AS89">
    <cfRule type="cellIs" dxfId="1" priority="1" operator="equal">
      <formula>2</formula>
    </cfRule>
  </conditionalFormatting>
  <conditionalFormatting sqref="C73:C86 L73:L89 Y73:Y89 AI73:AI89 AS73:AS86 BC73:BC89 C88:C89 AS88:AS89">
    <cfRule type="cellIs" dxfId="2" priority="2" operator="notEqual">
      <formula>2</formula>
    </cfRule>
  </conditionalFormatting>
  <conditionalFormatting sqref="C87 AS87 C90 L90 Y90 AI90 AS90 BC90">
    <cfRule type="cellIs" dxfId="1" priority="3" operator="equal">
      <formula>1</formula>
    </cfRule>
  </conditionalFormatting>
  <conditionalFormatting sqref="C87 AS87 C90 L90 Y90 AI90 AS90 BC90">
    <cfRule type="cellIs" dxfId="2" priority="4" operator="notEqual">
      <formula>1</formula>
    </cfRule>
  </conditionalFormatting>
  <conditionalFormatting sqref="C96:J106">
    <cfRule type="cellIs" dxfId="1" priority="5" operator="notEqual">
      <formula>0</formula>
    </cfRule>
  </conditionalFormatting>
  <conditionalFormatting sqref="L96:V106">
    <cfRule type="cellIs" dxfId="1" priority="6" operator="notEqual">
      <formula>0</formula>
    </cfRule>
  </conditionalFormatting>
  <conditionalFormatting sqref="Y96:AF106">
    <cfRule type="cellIs" dxfId="1" priority="7" operator="notEqual">
      <formula>0</formula>
    </cfRule>
  </conditionalFormatting>
  <conditionalFormatting sqref="AI96:AP106">
    <cfRule type="cellIs" dxfId="1" priority="8" operator="notEqual">
      <formula>0</formula>
    </cfRule>
  </conditionalFormatting>
  <conditionalFormatting sqref="AS96:AZ106">
    <cfRule type="cellIs" dxfId="1" priority="9" operator="notEqual">
      <formula>0</formula>
    </cfRule>
  </conditionalFormatting>
  <conditionalFormatting sqref="BC96:BD106">
    <cfRule type="cellIs" dxfId="1" priority="10" operator="notEqual">
      <formula>0</formula>
    </cfRule>
  </conditionalFormatting>
  <conditionalFormatting sqref="BG96:BK106">
    <cfRule type="cellIs" dxfId="1" priority="11" operator="notEqual">
      <formula>0</formula>
    </cfRule>
  </conditionalFormatting>
  <conditionalFormatting sqref="BN4:BO11 BP4:BR15 BN14:BO15 BN18:BR29 BN32:BR43 BN46:BR57 BN60:BR71">
    <cfRule type="cellIs" dxfId="1" priority="12" operator="lessThanOrEqual">
      <formula>2</formula>
    </cfRule>
  </conditionalFormatting>
  <conditionalFormatting sqref="BN4:BO11 BP4:BR15 BN14:BO15 BN18:BR29 BN32:BR43 BN46:BR57 BN60:BR71">
    <cfRule type="cellIs" dxfId="2" priority="13" operator="greaterThanOrEqual">
      <formula>3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5.13" defaultRowHeight="15.75"/>
  <cols>
    <col customWidth="1" min="1" max="1" width="9.63"/>
    <col customWidth="1" min="2" max="2" width="4.5"/>
    <col customWidth="1" min="3" max="3" width="8.13"/>
    <col customWidth="1" min="4" max="4" width="7.13"/>
    <col customWidth="1" min="5" max="5" width="9.38"/>
    <col customWidth="1" min="6" max="6" width="9.0"/>
    <col customWidth="1" min="7" max="7" width="9.38"/>
    <col customWidth="1" min="8" max="9" width="9.0"/>
    <col customWidth="1" min="10" max="10" width="7.13"/>
    <col customWidth="1" min="11" max="11" width="5.13"/>
    <col customWidth="1" min="12" max="12" width="6.88"/>
    <col customWidth="1" min="13" max="13" width="6.13"/>
    <col customWidth="1" min="14" max="14" width="7.0"/>
    <col customWidth="1" min="15" max="15" width="6.63"/>
    <col customWidth="1" min="16" max="16" width="6.38"/>
    <col customWidth="1" min="17" max="17" width="6.13"/>
    <col customWidth="1" min="18" max="19" width="6.38"/>
    <col customWidth="1" min="20" max="20" width="5.0"/>
    <col customWidth="1" min="21" max="21" width="8.88"/>
    <col customWidth="1" min="22" max="22" width="8.63"/>
    <col customWidth="1" min="23" max="23" width="8.38"/>
    <col customWidth="1" min="24" max="24" width="8.88"/>
    <col customWidth="1" min="25" max="25" width="9.88"/>
    <col customWidth="1" min="26" max="27" width="9.25"/>
    <col customWidth="1" min="28" max="28" width="9.63"/>
    <col customWidth="1" min="29" max="29" width="5.75"/>
    <col customWidth="1" min="30" max="30" width="7.63"/>
    <col customWidth="1" min="31" max="31" width="8.0"/>
    <col customWidth="1" min="32" max="32" width="9.13"/>
    <col customWidth="1" min="33" max="33" width="8.13"/>
    <col customWidth="1" min="34" max="35" width="7.38"/>
    <col customWidth="1" min="36" max="36" width="7.88"/>
    <col customWidth="1" min="37" max="37" width="7.63"/>
    <col customWidth="1" min="38" max="38" width="5.13"/>
    <col customWidth="1" min="39" max="39" width="8.75"/>
    <col customWidth="1" min="40" max="41" width="9.13"/>
    <col customWidth="1" min="42" max="42" width="8.75"/>
    <col customWidth="1" min="43" max="43" width="9.25"/>
    <col customWidth="1" min="44" max="44" width="8.75"/>
    <col customWidth="1" min="45" max="45" width="9.25"/>
    <col customWidth="1" min="46" max="46" width="9.5"/>
    <col customWidth="1" min="47" max="47" width="5.38"/>
    <col customWidth="1" min="48" max="48" width="9.38"/>
    <col customWidth="1" min="49" max="49" width="10.0"/>
    <col customWidth="1" min="50" max="50" width="5.5"/>
    <col customWidth="1" min="51" max="52" width="8.88"/>
    <col customWidth="1" min="53" max="54" width="10.5"/>
    <col customWidth="1" min="55" max="55" width="5.38"/>
    <col customWidth="1" hidden="1" min="56" max="56" width="4.0"/>
    <col customWidth="1" hidden="1" min="57" max="57" width="4.63"/>
    <col customWidth="1" hidden="1" min="58" max="58" width="4.0"/>
    <col customWidth="1" hidden="1" min="59" max="65" width="4.13"/>
    <col customWidth="1" hidden="1" min="66" max="69" width="4.5"/>
    <col customWidth="1" hidden="1" min="70" max="71" width="4.13"/>
  </cols>
  <sheetData>
    <row r="1">
      <c r="A1" s="2"/>
      <c r="B1" s="2"/>
      <c r="C1" s="3" t="s">
        <v>1</v>
      </c>
      <c r="D1" s="4"/>
      <c r="E1" s="4"/>
      <c r="F1" s="4"/>
      <c r="G1" s="4"/>
      <c r="H1" s="4"/>
      <c r="I1" s="4"/>
      <c r="J1" s="5"/>
      <c r="K1" s="6"/>
      <c r="L1" s="3" t="s">
        <v>2</v>
      </c>
      <c r="M1" s="4"/>
      <c r="N1" s="4"/>
      <c r="O1" s="4"/>
      <c r="P1" s="4"/>
      <c r="Q1" s="4"/>
      <c r="R1" s="4"/>
      <c r="S1" s="5"/>
      <c r="T1" s="6"/>
      <c r="U1" s="3" t="s">
        <v>4</v>
      </c>
      <c r="V1" s="4"/>
      <c r="W1" s="4"/>
      <c r="X1" s="4"/>
      <c r="Y1" s="4"/>
      <c r="Z1" s="4"/>
      <c r="AA1" s="4"/>
      <c r="AB1" s="5"/>
      <c r="AC1" s="6"/>
      <c r="AD1" s="3" t="s">
        <v>6</v>
      </c>
      <c r="AE1" s="4"/>
      <c r="AF1" s="4"/>
      <c r="AG1" s="4"/>
      <c r="AH1" s="4"/>
      <c r="AI1" s="4"/>
      <c r="AJ1" s="4"/>
      <c r="AK1" s="5"/>
      <c r="AL1" s="6"/>
      <c r="AM1" s="3" t="s">
        <v>8</v>
      </c>
      <c r="AN1" s="4"/>
      <c r="AO1" s="4"/>
      <c r="AP1" s="4"/>
      <c r="AQ1" s="4"/>
      <c r="AR1" s="4"/>
      <c r="AS1" s="4"/>
      <c r="AT1" s="5"/>
      <c r="AU1" s="6"/>
      <c r="AV1" s="3" t="s">
        <v>11</v>
      </c>
      <c r="AW1" s="5"/>
      <c r="AX1" s="10"/>
      <c r="AY1" s="3" t="s">
        <v>13</v>
      </c>
      <c r="AZ1" s="4"/>
      <c r="BA1" s="4"/>
      <c r="BB1" s="5"/>
      <c r="BC1" s="6"/>
      <c r="BD1" s="11" t="s">
        <v>16</v>
      </c>
      <c r="BE1" s="11" t="s">
        <v>16</v>
      </c>
      <c r="BF1" s="11" t="s">
        <v>16</v>
      </c>
      <c r="BG1" s="11" t="s">
        <v>18</v>
      </c>
      <c r="BH1" s="1" t="s">
        <v>18</v>
      </c>
      <c r="BI1" s="11"/>
      <c r="BJ1" s="11"/>
      <c r="BK1" s="11"/>
      <c r="BL1" s="11"/>
      <c r="BM1" s="13"/>
      <c r="BN1" s="15"/>
      <c r="BO1" s="15"/>
      <c r="BP1" s="15"/>
      <c r="BQ1" s="15"/>
      <c r="BR1" s="15"/>
      <c r="BS1" s="15"/>
    </row>
    <row r="2">
      <c r="A2" s="2"/>
      <c r="B2" s="2"/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27</v>
      </c>
      <c r="I2" s="1" t="s">
        <v>29</v>
      </c>
      <c r="J2" s="1" t="s">
        <v>31</v>
      </c>
      <c r="K2" s="19" t="s">
        <v>38</v>
      </c>
      <c r="L2" s="1" t="s">
        <v>39</v>
      </c>
      <c r="M2" s="1" t="s">
        <v>41</v>
      </c>
      <c r="N2" s="1" t="s">
        <v>44</v>
      </c>
      <c r="O2" s="1" t="s">
        <v>47</v>
      </c>
      <c r="P2" s="1" t="s">
        <v>52</v>
      </c>
      <c r="Q2" s="1" t="s">
        <v>54</v>
      </c>
      <c r="R2" s="1" t="s">
        <v>55</v>
      </c>
      <c r="S2" s="1" t="s">
        <v>61</v>
      </c>
      <c r="T2" s="19" t="s">
        <v>38</v>
      </c>
      <c r="U2" s="1" t="s">
        <v>66</v>
      </c>
      <c r="V2" s="1" t="s">
        <v>69</v>
      </c>
      <c r="W2" s="1" t="s">
        <v>71</v>
      </c>
      <c r="X2" s="1" t="s">
        <v>73</v>
      </c>
      <c r="Y2" s="1" t="s">
        <v>76</v>
      </c>
      <c r="Z2" s="1" t="s">
        <v>78</v>
      </c>
      <c r="AA2" s="1" t="s">
        <v>80</v>
      </c>
      <c r="AB2" s="1" t="s">
        <v>82</v>
      </c>
      <c r="AC2" s="19" t="s">
        <v>38</v>
      </c>
      <c r="AD2" s="1" t="s">
        <v>84</v>
      </c>
      <c r="AE2" s="1" t="s">
        <v>87</v>
      </c>
      <c r="AF2" s="1" t="s">
        <v>90</v>
      </c>
      <c r="AG2" s="1" t="s">
        <v>91</v>
      </c>
      <c r="AH2" s="1" t="s">
        <v>93</v>
      </c>
      <c r="AI2" s="1" t="s">
        <v>95</v>
      </c>
      <c r="AJ2" s="1" t="s">
        <v>97</v>
      </c>
      <c r="AK2" s="1" t="s">
        <v>100</v>
      </c>
      <c r="AL2" s="19" t="s">
        <v>38</v>
      </c>
      <c r="AM2" s="1" t="s">
        <v>104</v>
      </c>
      <c r="AN2" s="1" t="s">
        <v>107</v>
      </c>
      <c r="AO2" s="1" t="s">
        <v>110</v>
      </c>
      <c r="AP2" s="1" t="s">
        <v>114</v>
      </c>
      <c r="AQ2" s="1" t="s">
        <v>116</v>
      </c>
      <c r="AR2" s="1" t="s">
        <v>119</v>
      </c>
      <c r="AS2" s="1" t="s">
        <v>123</v>
      </c>
      <c r="AT2" s="1" t="s">
        <v>126</v>
      </c>
      <c r="AU2" s="19" t="s">
        <v>38</v>
      </c>
      <c r="AV2" s="1" t="s">
        <v>128</v>
      </c>
      <c r="AW2" s="1" t="s">
        <v>131</v>
      </c>
      <c r="AX2" s="19"/>
      <c r="AY2" s="1" t="s">
        <v>134</v>
      </c>
      <c r="AZ2" s="1" t="s">
        <v>135</v>
      </c>
      <c r="BA2" s="1" t="s">
        <v>136</v>
      </c>
      <c r="BB2" s="1" t="s">
        <v>137</v>
      </c>
      <c r="BC2" s="19" t="s">
        <v>38</v>
      </c>
      <c r="BD2" s="1" t="s">
        <v>138</v>
      </c>
      <c r="BE2" s="1" t="s">
        <v>140</v>
      </c>
      <c r="BF2" s="1" t="s">
        <v>141</v>
      </c>
      <c r="BG2" s="1" t="s">
        <v>142</v>
      </c>
      <c r="BH2" s="1" t="s">
        <v>143</v>
      </c>
      <c r="BI2" s="1" t="s">
        <v>144</v>
      </c>
      <c r="BJ2" s="1" t="s">
        <v>145</v>
      </c>
      <c r="BK2" s="25" t="s">
        <v>146</v>
      </c>
      <c r="BL2" s="1" t="s">
        <v>147</v>
      </c>
      <c r="BM2" s="26"/>
      <c r="BN2" s="27"/>
      <c r="BO2" s="27"/>
      <c r="BP2" s="27"/>
      <c r="BQ2" s="27"/>
      <c r="BR2" s="27"/>
      <c r="BS2" s="27"/>
    </row>
    <row r="3">
      <c r="A3" s="30" t="s">
        <v>148</v>
      </c>
      <c r="B3" s="40">
        <v>42623.0</v>
      </c>
      <c r="K3" s="43"/>
      <c r="L3" s="47" t="s">
        <v>171</v>
      </c>
      <c r="M3" s="46"/>
      <c r="N3" s="49" t="s">
        <v>180</v>
      </c>
      <c r="O3" s="46"/>
      <c r="P3" s="49" t="s">
        <v>183</v>
      </c>
      <c r="Q3" s="46"/>
      <c r="R3" s="49" t="s">
        <v>187</v>
      </c>
      <c r="S3" s="46"/>
      <c r="T3" s="43"/>
      <c r="V3" s="53" t="s">
        <v>191</v>
      </c>
      <c r="W3" s="54"/>
      <c r="X3" s="54"/>
      <c r="Y3" s="54"/>
      <c r="Z3" s="54"/>
      <c r="AA3" s="54"/>
      <c r="AB3" s="53" t="s">
        <v>194</v>
      </c>
      <c r="AC3" s="57"/>
      <c r="AD3" s="60" t="s">
        <v>201</v>
      </c>
      <c r="AE3" s="61"/>
      <c r="AF3" s="61"/>
      <c r="AG3" s="61"/>
      <c r="AH3" s="61"/>
      <c r="AI3" s="61"/>
      <c r="AJ3" s="61"/>
      <c r="AK3" s="46"/>
      <c r="AL3" s="65" t="s">
        <v>138</v>
      </c>
      <c r="AM3" s="15"/>
      <c r="AN3" s="15"/>
      <c r="AO3" s="15"/>
      <c r="AP3" s="15"/>
      <c r="AQ3" s="15"/>
      <c r="AR3" s="15"/>
      <c r="AS3" s="15"/>
      <c r="AT3" s="15"/>
      <c r="AU3" s="57"/>
      <c r="AV3" s="67"/>
      <c r="AW3" s="68"/>
      <c r="AX3" s="43"/>
      <c r="AY3" s="15"/>
      <c r="AZ3" s="15"/>
      <c r="BA3" s="15"/>
      <c r="BB3" s="15"/>
      <c r="BC3" s="43"/>
      <c r="BD3" s="72">
        <f t="shared" ref="BD3:BH3" si="1">countif($D3:$BC3,BD$2)</f>
        <v>1</v>
      </c>
      <c r="BE3" s="74">
        <f t="shared" si="1"/>
        <v>0</v>
      </c>
      <c r="BF3" s="74">
        <f t="shared" si="1"/>
        <v>0</v>
      </c>
      <c r="BG3" s="74">
        <f t="shared" si="1"/>
        <v>0</v>
      </c>
      <c r="BH3" s="74">
        <f t="shared" si="1"/>
        <v>0</v>
      </c>
      <c r="BI3" s="81">
        <f>countif($D3:$BC4,"*" &amp; BI$2 &amp; "*")</f>
        <v>0</v>
      </c>
      <c r="BJ3" s="81">
        <f t="shared" ref="BJ3:BK3" si="2">countif($D3:$BC4,"*" &amp; BJ$2 &amp; "*")/2</f>
        <v>0</v>
      </c>
      <c r="BK3" s="81">
        <f t="shared" si="2"/>
        <v>0</v>
      </c>
      <c r="BL3" s="81">
        <f>countif($D3:$BC4,"*" &amp; BL$2 &amp; "*")</f>
        <v>0</v>
      </c>
      <c r="BM3" s="92"/>
      <c r="BN3" s="15"/>
      <c r="BO3" s="15"/>
      <c r="BP3" s="15"/>
      <c r="BQ3" s="15"/>
      <c r="BR3" s="15"/>
      <c r="BS3" s="15"/>
    </row>
    <row r="4">
      <c r="A4" s="96"/>
      <c r="B4" s="97">
        <v>42654.0</v>
      </c>
      <c r="K4" s="43"/>
      <c r="L4" s="85"/>
      <c r="M4" s="86"/>
      <c r="N4" s="87"/>
      <c r="O4" s="86"/>
      <c r="P4" s="87"/>
      <c r="Q4" s="86"/>
      <c r="R4" s="87"/>
      <c r="S4" s="86"/>
      <c r="T4" s="43"/>
      <c r="V4" s="96"/>
      <c r="W4" s="54"/>
      <c r="X4" s="54"/>
      <c r="Y4" s="54"/>
      <c r="Z4" s="54"/>
      <c r="AA4" s="54"/>
      <c r="AB4" s="96"/>
      <c r="AC4" s="57"/>
      <c r="AD4" s="85"/>
      <c r="AE4" s="87"/>
      <c r="AF4" s="87"/>
      <c r="AG4" s="87"/>
      <c r="AH4" s="87"/>
      <c r="AI4" s="87"/>
      <c r="AJ4" s="87"/>
      <c r="AK4" s="86"/>
      <c r="AL4" s="65" t="s">
        <v>138</v>
      </c>
      <c r="AM4" s="15"/>
      <c r="AN4" s="15"/>
      <c r="AO4" s="15"/>
      <c r="AP4" s="15"/>
      <c r="AQ4" s="15"/>
      <c r="AR4" s="15"/>
      <c r="AS4" s="15"/>
      <c r="AT4" s="15"/>
      <c r="AU4" s="57"/>
      <c r="AV4" s="103"/>
      <c r="AW4" s="104"/>
      <c r="AX4" s="43"/>
      <c r="AY4" s="15"/>
      <c r="AZ4" s="15"/>
      <c r="BA4" s="15"/>
      <c r="BB4" s="15"/>
      <c r="BC4" s="43"/>
      <c r="BD4" s="72">
        <f t="shared" ref="BD4:BH4" si="3">countif($D4:$BC4,BD$2)</f>
        <v>1</v>
      </c>
      <c r="BE4" s="74">
        <f t="shared" si="3"/>
        <v>0</v>
      </c>
      <c r="BF4" s="74">
        <f t="shared" si="3"/>
        <v>0</v>
      </c>
      <c r="BG4" s="74">
        <f t="shared" si="3"/>
        <v>0</v>
      </c>
      <c r="BH4" s="74">
        <f t="shared" si="3"/>
        <v>0</v>
      </c>
      <c r="BI4" s="112"/>
      <c r="BJ4" s="112"/>
      <c r="BK4" s="112"/>
      <c r="BL4" s="112"/>
      <c r="BM4" s="92"/>
      <c r="BN4" s="15"/>
      <c r="BO4" s="15"/>
      <c r="BP4" s="15"/>
      <c r="BQ4" s="15"/>
      <c r="BR4" s="15"/>
      <c r="BS4" s="15"/>
    </row>
    <row r="5">
      <c r="A5" s="96"/>
      <c r="B5" s="97">
        <v>42686.0</v>
      </c>
      <c r="K5" s="43"/>
      <c r="L5" s="118" t="s">
        <v>293</v>
      </c>
      <c r="M5" s="106"/>
      <c r="N5" s="120" t="s">
        <v>294</v>
      </c>
      <c r="O5" s="106"/>
      <c r="P5" s="120" t="s">
        <v>296</v>
      </c>
      <c r="Q5" s="106"/>
      <c r="R5" s="120" t="s">
        <v>297</v>
      </c>
      <c r="S5" s="106"/>
      <c r="T5" s="43"/>
      <c r="U5" s="123" t="s">
        <v>191</v>
      </c>
      <c r="V5" s="46"/>
      <c r="W5" s="54"/>
      <c r="X5" s="54"/>
      <c r="Y5" s="54"/>
      <c r="Z5" s="54"/>
      <c r="AA5" s="54"/>
      <c r="AB5" s="96"/>
      <c r="AC5" s="57"/>
      <c r="AD5" s="125" t="s">
        <v>298</v>
      </c>
      <c r="AK5" s="106"/>
      <c r="AL5" s="65" t="s">
        <v>138</v>
      </c>
      <c r="AM5" s="15"/>
      <c r="AN5" s="15"/>
      <c r="AO5" s="15"/>
      <c r="AP5" s="15"/>
      <c r="AQ5" s="15"/>
      <c r="AR5" s="15"/>
      <c r="AS5" s="15"/>
      <c r="AT5" s="127"/>
      <c r="AU5" s="128"/>
      <c r="AV5" s="103"/>
      <c r="AW5" s="104"/>
      <c r="AX5" s="43"/>
      <c r="AY5" s="53" t="s">
        <v>194</v>
      </c>
      <c r="AZ5" s="129" t="s">
        <v>191</v>
      </c>
      <c r="BC5" s="130"/>
      <c r="BD5" s="72">
        <f t="shared" ref="BD5:BH5" si="4">countif($K5:$BC5,BD$2)</f>
        <v>1</v>
      </c>
      <c r="BE5" s="74">
        <f t="shared" si="4"/>
        <v>0</v>
      </c>
      <c r="BF5" s="74">
        <f t="shared" si="4"/>
        <v>0</v>
      </c>
      <c r="BG5" s="74">
        <f t="shared" si="4"/>
        <v>0</v>
      </c>
      <c r="BH5" s="74">
        <f t="shared" si="4"/>
        <v>0</v>
      </c>
      <c r="BI5" s="81">
        <f>countif($K5:$BC6,"*" &amp; BI$2 &amp; "*")</f>
        <v>0</v>
      </c>
      <c r="BJ5" s="81">
        <f t="shared" ref="BJ5:BK5" si="5">countif($K5:$BC6,"*" &amp; BJ$2 &amp; "*")/2</f>
        <v>0</v>
      </c>
      <c r="BK5" s="81">
        <f t="shared" si="5"/>
        <v>0</v>
      </c>
      <c r="BL5" s="81">
        <f>countif($K5:$BC6,"*" &amp; BL$2 &amp; "*")</f>
        <v>0</v>
      </c>
      <c r="BM5" s="92"/>
      <c r="BN5" s="15"/>
      <c r="BO5" s="15"/>
      <c r="BP5" s="15"/>
      <c r="BQ5" s="15"/>
      <c r="BR5" s="15"/>
      <c r="BS5" s="15"/>
    </row>
    <row r="6">
      <c r="A6" s="96"/>
      <c r="B6" s="97">
        <v>42717.0</v>
      </c>
      <c r="K6" s="43"/>
      <c r="L6" s="85"/>
      <c r="M6" s="86"/>
      <c r="N6" s="87"/>
      <c r="O6" s="86"/>
      <c r="P6" s="87"/>
      <c r="Q6" s="86"/>
      <c r="R6" s="87"/>
      <c r="S6" s="86"/>
      <c r="T6" s="43"/>
      <c r="U6" s="142"/>
      <c r="V6" s="106"/>
      <c r="W6" s="54"/>
      <c r="X6" s="54"/>
      <c r="Y6" s="54"/>
      <c r="Z6" s="54"/>
      <c r="AA6" s="54"/>
      <c r="AB6" s="112"/>
      <c r="AC6" s="57"/>
      <c r="AD6" s="85"/>
      <c r="AE6" s="87"/>
      <c r="AF6" s="87"/>
      <c r="AG6" s="87"/>
      <c r="AH6" s="87"/>
      <c r="AI6" s="87"/>
      <c r="AJ6" s="87"/>
      <c r="AK6" s="86"/>
      <c r="AL6" s="130" t="s">
        <v>138</v>
      </c>
      <c r="AU6" s="57"/>
      <c r="AV6" s="103"/>
      <c r="AW6" s="104"/>
      <c r="AX6" s="43"/>
      <c r="AY6" s="96"/>
      <c r="AZ6" s="106"/>
      <c r="BA6" s="146" t="s">
        <v>304</v>
      </c>
      <c r="BB6" s="148" t="s">
        <v>305</v>
      </c>
      <c r="BC6" s="43"/>
      <c r="BD6" s="72">
        <f t="shared" ref="BD6:BH6" si="6">countif($K6:$BC6,BD$2)</f>
        <v>1</v>
      </c>
      <c r="BE6" s="74">
        <f t="shared" si="6"/>
        <v>0</v>
      </c>
      <c r="BF6" s="74">
        <f t="shared" si="6"/>
        <v>0</v>
      </c>
      <c r="BG6" s="74">
        <f t="shared" si="6"/>
        <v>0</v>
      </c>
      <c r="BH6" s="74">
        <f t="shared" si="6"/>
        <v>0</v>
      </c>
      <c r="BI6" s="112"/>
      <c r="BJ6" s="112"/>
      <c r="BK6" s="112"/>
      <c r="BL6" s="112"/>
      <c r="BM6" s="92"/>
      <c r="BN6" s="15"/>
      <c r="BO6" s="15"/>
      <c r="BP6" s="15"/>
      <c r="BQ6" s="15"/>
      <c r="BR6" s="15"/>
      <c r="BS6" s="15"/>
    </row>
    <row r="7">
      <c r="A7" s="96"/>
      <c r="B7" s="151" t="s">
        <v>310</v>
      </c>
      <c r="J7" s="106"/>
      <c r="K7" s="152"/>
      <c r="L7" s="47" t="s">
        <v>311</v>
      </c>
      <c r="M7" s="46"/>
      <c r="N7" s="47" t="s">
        <v>312</v>
      </c>
      <c r="O7" s="46"/>
      <c r="P7" s="153" t="s">
        <v>314</v>
      </c>
      <c r="Q7" s="46"/>
      <c r="R7" s="153" t="s">
        <v>317</v>
      </c>
      <c r="S7" s="46"/>
      <c r="T7" s="43"/>
      <c r="U7" s="122" t="s">
        <v>318</v>
      </c>
      <c r="V7" s="61"/>
      <c r="W7" s="61"/>
      <c r="X7" s="61"/>
      <c r="Y7" s="61"/>
      <c r="Z7" s="61"/>
      <c r="AA7" s="61"/>
      <c r="AB7" s="46"/>
      <c r="AC7" s="117" t="s">
        <v>138</v>
      </c>
      <c r="AD7" s="157" t="s">
        <v>321</v>
      </c>
      <c r="AE7" s="158" t="s">
        <v>324</v>
      </c>
      <c r="AF7" s="160" t="s">
        <v>325</v>
      </c>
      <c r="AG7" s="160" t="s">
        <v>326</v>
      </c>
      <c r="AH7" s="160" t="s">
        <v>328</v>
      </c>
      <c r="AI7" s="54"/>
      <c r="AJ7" s="54"/>
      <c r="AK7" s="54"/>
      <c r="AL7" s="43"/>
      <c r="AM7" s="122" t="s">
        <v>331</v>
      </c>
      <c r="AN7" s="61"/>
      <c r="AO7" s="61"/>
      <c r="AP7" s="61"/>
      <c r="AQ7" s="61"/>
      <c r="AR7" s="61"/>
      <c r="AS7" s="61"/>
      <c r="AT7" s="46"/>
      <c r="AU7" s="117" t="s">
        <v>140</v>
      </c>
      <c r="AV7" s="103"/>
      <c r="AW7" s="104"/>
      <c r="AX7" s="43"/>
      <c r="AY7" s="96"/>
      <c r="AZ7" s="106"/>
      <c r="BA7" s="96"/>
      <c r="BB7" s="106"/>
      <c r="BC7" s="165"/>
      <c r="BD7" s="72">
        <f t="shared" ref="BD7:BG7" si="7">countif($K7:$BC7,BD$2)</f>
        <v>1</v>
      </c>
      <c r="BE7" s="74">
        <f t="shared" si="7"/>
        <v>1</v>
      </c>
      <c r="BF7" s="74">
        <f t="shared" si="7"/>
        <v>0</v>
      </c>
      <c r="BG7" s="74">
        <f t="shared" si="7"/>
        <v>0</v>
      </c>
      <c r="BH7" s="74">
        <f t="shared" ref="BH7:BH8" si="10">countif($D7:$BC7,BH$2)</f>
        <v>0</v>
      </c>
      <c r="BI7" s="81">
        <f>countif($K7:$BC8,"*" &amp; BI$2 &amp; "*")</f>
        <v>0</v>
      </c>
      <c r="BJ7" s="81">
        <f t="shared" ref="BJ7:BK7" si="8">countif($K7:$BC8,"*" &amp; BJ$2 &amp; "*")/2</f>
        <v>1</v>
      </c>
      <c r="BK7" s="81">
        <f t="shared" si="8"/>
        <v>0</v>
      </c>
      <c r="BL7" s="81">
        <f>countif($K7:$BC8,"*" &amp; BL$2 &amp; "*")</f>
        <v>0</v>
      </c>
      <c r="BM7" s="92"/>
      <c r="BN7" s="15"/>
      <c r="BO7" s="15"/>
      <c r="BP7" s="15"/>
      <c r="BQ7" s="15"/>
      <c r="BR7" s="15"/>
      <c r="BS7" s="15"/>
    </row>
    <row r="8">
      <c r="A8" s="96"/>
      <c r="B8" s="151" t="s">
        <v>341</v>
      </c>
      <c r="J8" s="106"/>
      <c r="K8" s="152"/>
      <c r="L8" s="142"/>
      <c r="M8" s="106"/>
      <c r="N8" s="142"/>
      <c r="O8" s="106"/>
      <c r="P8" s="142"/>
      <c r="Q8" s="106"/>
      <c r="R8" s="142"/>
      <c r="S8" s="106"/>
      <c r="T8" s="43"/>
      <c r="U8" s="85"/>
      <c r="V8" s="87"/>
      <c r="W8" s="87"/>
      <c r="X8" s="87"/>
      <c r="Y8" s="87"/>
      <c r="Z8" s="87"/>
      <c r="AA8" s="87"/>
      <c r="AB8" s="86"/>
      <c r="AC8" s="117" t="s">
        <v>138</v>
      </c>
      <c r="AD8" s="96"/>
      <c r="AE8" s="106"/>
      <c r="AF8" s="96"/>
      <c r="AG8" s="96"/>
      <c r="AH8" s="96"/>
      <c r="AI8" s="54"/>
      <c r="AJ8" s="54"/>
      <c r="AK8" s="54"/>
      <c r="AL8" s="43"/>
      <c r="AM8" s="85"/>
      <c r="AN8" s="87"/>
      <c r="AO8" s="87"/>
      <c r="AP8" s="87"/>
      <c r="AQ8" s="87"/>
      <c r="AR8" s="87"/>
      <c r="AS8" s="87"/>
      <c r="AT8" s="86"/>
      <c r="AU8" s="117" t="s">
        <v>140</v>
      </c>
      <c r="AV8" s="103"/>
      <c r="AW8" s="104"/>
      <c r="AX8" s="43"/>
      <c r="AY8" s="96"/>
      <c r="AZ8" s="106"/>
      <c r="BA8" s="96"/>
      <c r="BB8" s="106"/>
      <c r="BC8" s="171"/>
      <c r="BD8" s="72">
        <f t="shared" ref="BD8:BG8" si="9">countif($K8:$BC8,BD$2)</f>
        <v>1</v>
      </c>
      <c r="BE8" s="74">
        <f t="shared" si="9"/>
        <v>1</v>
      </c>
      <c r="BF8" s="74">
        <f t="shared" si="9"/>
        <v>0</v>
      </c>
      <c r="BG8" s="74">
        <f t="shared" si="9"/>
        <v>0</v>
      </c>
      <c r="BH8" s="74">
        <f t="shared" si="10"/>
        <v>0</v>
      </c>
      <c r="BI8" s="112"/>
      <c r="BJ8" s="112"/>
      <c r="BK8" s="112"/>
      <c r="BL8" s="112"/>
      <c r="BM8" s="92"/>
      <c r="BN8" s="15"/>
      <c r="BO8" s="15"/>
      <c r="BP8" s="15"/>
      <c r="BQ8" s="15"/>
      <c r="BR8" s="15"/>
      <c r="BS8" s="15"/>
    </row>
    <row r="9" ht="15.75" customHeight="1">
      <c r="A9" s="96"/>
      <c r="B9" s="151" t="s">
        <v>342</v>
      </c>
      <c r="C9" s="122" t="s">
        <v>343</v>
      </c>
      <c r="D9" s="61"/>
      <c r="E9" s="61"/>
      <c r="F9" s="61"/>
      <c r="G9" s="61"/>
      <c r="H9" s="61"/>
      <c r="I9" s="61"/>
      <c r="J9" s="46"/>
      <c r="K9" s="152" t="s">
        <v>141</v>
      </c>
      <c r="L9" s="85"/>
      <c r="M9" s="86"/>
      <c r="N9" s="85"/>
      <c r="O9" s="86"/>
      <c r="P9" s="47" t="s">
        <v>346</v>
      </c>
      <c r="Q9" s="46"/>
      <c r="R9" s="47" t="s">
        <v>347</v>
      </c>
      <c r="S9" s="46"/>
      <c r="T9" s="43"/>
      <c r="U9" s="178" t="s">
        <v>349</v>
      </c>
      <c r="AB9" s="106"/>
      <c r="AC9" s="117" t="s">
        <v>138</v>
      </c>
      <c r="AD9" s="96"/>
      <c r="AE9" s="106"/>
      <c r="AF9" s="96"/>
      <c r="AG9" s="96"/>
      <c r="AH9" s="96"/>
      <c r="AI9" s="54"/>
      <c r="AJ9" s="54"/>
      <c r="AK9" s="54"/>
      <c r="AL9" s="43"/>
      <c r="AM9" s="102" t="s">
        <v>352</v>
      </c>
      <c r="AT9" s="106"/>
      <c r="AU9" s="117" t="s">
        <v>281</v>
      </c>
      <c r="AV9" s="103"/>
      <c r="AW9" s="104"/>
      <c r="AX9" s="43"/>
      <c r="AY9" s="180" t="s">
        <v>355</v>
      </c>
      <c r="AZ9" s="61"/>
      <c r="BA9" s="61"/>
      <c r="BB9" s="46"/>
      <c r="BC9" s="181" t="s">
        <v>138</v>
      </c>
      <c r="BD9" s="72">
        <f t="shared" ref="BD9:BH9" si="11">countif($K9:$BC9,BD$2)</f>
        <v>2</v>
      </c>
      <c r="BE9" s="74">
        <f t="shared" si="11"/>
        <v>0</v>
      </c>
      <c r="BF9" s="74">
        <f t="shared" si="11"/>
        <v>1</v>
      </c>
      <c r="BG9" s="74">
        <f t="shared" si="11"/>
        <v>0</v>
      </c>
      <c r="BH9" s="74">
        <f t="shared" si="11"/>
        <v>0</v>
      </c>
      <c r="BI9" s="81">
        <f>countif($K9:$BC10,"*" &amp; BI$2 &amp; "*")</f>
        <v>0</v>
      </c>
      <c r="BJ9" s="81">
        <f t="shared" ref="BJ9:BK9" si="12">countif($K9:$BC10,"*" &amp; BJ$2 &amp; "*")/2</f>
        <v>0</v>
      </c>
      <c r="BK9" s="81">
        <f t="shared" si="12"/>
        <v>0</v>
      </c>
      <c r="BL9" s="81">
        <f>countif($K9:$BC10,"*" &amp; BL$2 &amp; "*")</f>
        <v>0</v>
      </c>
      <c r="BM9" s="92"/>
      <c r="BN9" s="15"/>
      <c r="BO9" s="15"/>
      <c r="BP9" s="15"/>
      <c r="BQ9" s="15"/>
      <c r="BR9" s="15"/>
      <c r="BS9" s="15"/>
    </row>
    <row r="10">
      <c r="A10" s="96"/>
      <c r="B10" s="151" t="s">
        <v>369</v>
      </c>
      <c r="C10" s="85"/>
      <c r="D10" s="87"/>
      <c r="E10" s="87"/>
      <c r="F10" s="87"/>
      <c r="G10" s="87"/>
      <c r="H10" s="87"/>
      <c r="I10" s="87"/>
      <c r="J10" s="86"/>
      <c r="K10" s="152" t="s">
        <v>141</v>
      </c>
      <c r="L10" s="193" t="s">
        <v>370</v>
      </c>
      <c r="M10" s="5"/>
      <c r="N10" s="193" t="s">
        <v>372</v>
      </c>
      <c r="O10" s="5"/>
      <c r="P10" s="85"/>
      <c r="Q10" s="86"/>
      <c r="R10" s="85"/>
      <c r="S10" s="86"/>
      <c r="T10" s="43"/>
      <c r="U10" s="85"/>
      <c r="V10" s="87"/>
      <c r="W10" s="87"/>
      <c r="X10" s="87"/>
      <c r="Y10" s="87"/>
      <c r="Z10" s="87"/>
      <c r="AA10" s="87"/>
      <c r="AB10" s="86"/>
      <c r="AC10" s="171" t="s">
        <v>140</v>
      </c>
      <c r="AD10" s="112"/>
      <c r="AE10" s="86"/>
      <c r="AF10" s="112"/>
      <c r="AG10" s="112"/>
      <c r="AH10" s="112"/>
      <c r="AI10" s="54"/>
      <c r="AJ10" s="54"/>
      <c r="AK10" s="54"/>
      <c r="AL10" s="43"/>
      <c r="AM10" s="85"/>
      <c r="AN10" s="87"/>
      <c r="AO10" s="87"/>
      <c r="AP10" s="87"/>
      <c r="AQ10" s="87"/>
      <c r="AR10" s="87"/>
      <c r="AS10" s="87"/>
      <c r="AT10" s="86"/>
      <c r="AU10" s="117" t="s">
        <v>281</v>
      </c>
      <c r="AV10" s="103"/>
      <c r="AW10" s="104"/>
      <c r="AX10" s="43"/>
      <c r="AY10" s="85"/>
      <c r="AZ10" s="87"/>
      <c r="BA10" s="87"/>
      <c r="BB10" s="86"/>
      <c r="BC10" s="171" t="s">
        <v>140</v>
      </c>
      <c r="BD10" s="72">
        <f t="shared" ref="BD10:BH10" si="13">countif($K10:$BC10,BD$2)</f>
        <v>0</v>
      </c>
      <c r="BE10" s="74">
        <f t="shared" si="13"/>
        <v>2</v>
      </c>
      <c r="BF10" s="74">
        <f t="shared" si="13"/>
        <v>1</v>
      </c>
      <c r="BG10" s="74">
        <f t="shared" si="13"/>
        <v>0</v>
      </c>
      <c r="BH10" s="74">
        <f t="shared" si="13"/>
        <v>0</v>
      </c>
      <c r="BI10" s="112"/>
      <c r="BJ10" s="112"/>
      <c r="BK10" s="112"/>
      <c r="BL10" s="112"/>
      <c r="BM10" s="92"/>
      <c r="BN10" s="15"/>
      <c r="BO10" s="15"/>
      <c r="BP10" s="15"/>
      <c r="BQ10" s="15"/>
      <c r="BR10" s="15"/>
      <c r="BS10" s="15"/>
    </row>
    <row r="11" ht="15.75" customHeight="1">
      <c r="A11" s="96"/>
      <c r="B11" s="151" t="s">
        <v>375</v>
      </c>
      <c r="C11" s="122" t="s">
        <v>376</v>
      </c>
      <c r="D11" s="61"/>
      <c r="E11" s="61"/>
      <c r="F11" s="61"/>
      <c r="G11" s="61"/>
      <c r="H11" s="61"/>
      <c r="I11" s="61"/>
      <c r="J11" s="46"/>
      <c r="K11" s="152" t="s">
        <v>141</v>
      </c>
      <c r="L11" s="118"/>
      <c r="M11" s="120"/>
      <c r="N11" s="120"/>
      <c r="O11" s="120"/>
      <c r="P11" s="120"/>
      <c r="Q11" s="120"/>
      <c r="R11" s="120"/>
      <c r="S11" s="120"/>
      <c r="T11" s="43"/>
      <c r="Y11" s="54"/>
      <c r="Z11" s="54"/>
      <c r="AA11" s="202" t="s">
        <v>380</v>
      </c>
      <c r="AB11" s="202" t="s">
        <v>381</v>
      </c>
      <c r="AC11" s="57"/>
      <c r="AD11" s="204"/>
      <c r="AE11" s="206"/>
      <c r="AF11" s="206"/>
      <c r="AG11" s="206"/>
      <c r="AH11" s="206"/>
      <c r="AI11" s="206"/>
      <c r="AJ11" s="206"/>
      <c r="AK11" s="206"/>
      <c r="AL11" s="43"/>
      <c r="AM11" s="102" t="s">
        <v>384</v>
      </c>
      <c r="AT11" s="106"/>
      <c r="AU11" s="117" t="s">
        <v>281</v>
      </c>
      <c r="AV11" s="99" t="s">
        <v>385</v>
      </c>
      <c r="AW11" s="99" t="s">
        <v>386</v>
      </c>
      <c r="AX11" s="43"/>
      <c r="AY11" s="209" t="s">
        <v>387</v>
      </c>
      <c r="BA11" s="209" t="s">
        <v>389</v>
      </c>
      <c r="BC11" s="171"/>
      <c r="BD11" s="72">
        <f t="shared" ref="BD11:BH11" si="14">countif($K11:$BC11,BD$2)</f>
        <v>0</v>
      </c>
      <c r="BE11" s="74">
        <f t="shared" si="14"/>
        <v>0</v>
      </c>
      <c r="BF11" s="74">
        <f t="shared" si="14"/>
        <v>1</v>
      </c>
      <c r="BG11" s="74">
        <f t="shared" si="14"/>
        <v>0</v>
      </c>
      <c r="BH11" s="74">
        <f t="shared" si="14"/>
        <v>0</v>
      </c>
      <c r="BI11" s="81">
        <f>countif($K11:$BC12,"*" &amp; BI$2 &amp; "*")</f>
        <v>0</v>
      </c>
      <c r="BJ11" s="81">
        <f t="shared" ref="BJ11:BK11" si="15">countif($K11:$BC12,"*" &amp; BJ$2 &amp; "*")/2</f>
        <v>0</v>
      </c>
      <c r="BK11" s="81">
        <f t="shared" si="15"/>
        <v>0</v>
      </c>
      <c r="BL11" s="81">
        <f>countif($K11:$BC12,"*" &amp; BL$2 &amp; "*")</f>
        <v>0</v>
      </c>
      <c r="BM11" s="92"/>
      <c r="BN11" s="15"/>
      <c r="BO11" s="15"/>
      <c r="BP11" s="15"/>
      <c r="BQ11" s="15"/>
      <c r="BR11" s="15"/>
      <c r="BS11" s="15"/>
    </row>
    <row r="12" ht="15.75" customHeight="1">
      <c r="A12" s="96"/>
      <c r="B12" s="151" t="s">
        <v>392</v>
      </c>
      <c r="C12" s="85"/>
      <c r="D12" s="87"/>
      <c r="E12" s="87"/>
      <c r="F12" s="87"/>
      <c r="G12" s="87"/>
      <c r="H12" s="87"/>
      <c r="I12" s="87"/>
      <c r="J12" s="86"/>
      <c r="K12" s="152" t="s">
        <v>141</v>
      </c>
      <c r="L12" s="118"/>
      <c r="M12" s="120"/>
      <c r="N12" s="120"/>
      <c r="O12" s="120"/>
      <c r="P12" s="120"/>
      <c r="Q12" s="120"/>
      <c r="R12" s="120"/>
      <c r="S12" s="120"/>
      <c r="T12" s="43"/>
      <c r="Y12" s="54"/>
      <c r="AA12" s="96"/>
      <c r="AB12" s="96"/>
      <c r="AC12" s="57"/>
      <c r="AD12" s="204"/>
      <c r="AE12" s="206"/>
      <c r="AF12" s="206"/>
      <c r="AG12" s="206"/>
      <c r="AH12" s="206"/>
      <c r="AI12" s="206"/>
      <c r="AJ12" s="206"/>
      <c r="AK12" s="206"/>
      <c r="AL12" s="43"/>
      <c r="AM12" s="85"/>
      <c r="AN12" s="87"/>
      <c r="AO12" s="87"/>
      <c r="AP12" s="87"/>
      <c r="AQ12" s="87"/>
      <c r="AR12" s="87"/>
      <c r="AS12" s="87"/>
      <c r="AT12" s="86"/>
      <c r="AU12" s="117" t="s">
        <v>281</v>
      </c>
      <c r="AV12" s="96"/>
      <c r="AW12" s="96"/>
      <c r="AX12" s="43"/>
      <c r="AY12" s="85"/>
      <c r="AZ12" s="87"/>
      <c r="BA12" s="85"/>
      <c r="BB12" s="87"/>
      <c r="BC12" s="171"/>
      <c r="BD12" s="72">
        <f t="shared" ref="BD12:BH12" si="16">countif($K12:$BC12,BD$2)</f>
        <v>0</v>
      </c>
      <c r="BE12" s="74">
        <f t="shared" si="16"/>
        <v>0</v>
      </c>
      <c r="BF12" s="74">
        <f t="shared" si="16"/>
        <v>1</v>
      </c>
      <c r="BG12" s="74">
        <f t="shared" si="16"/>
        <v>0</v>
      </c>
      <c r="BH12" s="74">
        <f t="shared" si="16"/>
        <v>0</v>
      </c>
      <c r="BI12" s="112"/>
      <c r="BJ12" s="112"/>
      <c r="BK12" s="112"/>
      <c r="BL12" s="112"/>
      <c r="BM12" s="92"/>
      <c r="BN12" s="15"/>
      <c r="BO12" s="15"/>
      <c r="BP12" s="15"/>
      <c r="BQ12" s="15"/>
      <c r="BR12" s="15"/>
      <c r="BS12" s="15"/>
    </row>
    <row r="13" ht="15.75" customHeight="1">
      <c r="A13" s="96"/>
      <c r="B13" s="151" t="s">
        <v>398</v>
      </c>
      <c r="C13" s="102" t="s">
        <v>400</v>
      </c>
      <c r="J13" s="106"/>
      <c r="K13" s="152" t="s">
        <v>141</v>
      </c>
      <c r="L13" s="118"/>
      <c r="M13" s="120"/>
      <c r="N13" s="120"/>
      <c r="O13" s="120"/>
      <c r="P13" s="120"/>
      <c r="Q13" s="120"/>
      <c r="R13" s="120"/>
      <c r="S13" s="120"/>
      <c r="T13" s="43"/>
      <c r="Y13" s="54"/>
      <c r="Z13" s="54"/>
      <c r="AA13" s="112"/>
      <c r="AB13" s="112"/>
      <c r="AC13" s="57"/>
      <c r="AD13" s="204"/>
      <c r="AE13" s="206"/>
      <c r="AF13" s="206"/>
      <c r="AG13" s="206"/>
      <c r="AH13" s="206"/>
      <c r="AI13" s="206"/>
      <c r="AJ13" s="206"/>
      <c r="AK13" s="206"/>
      <c r="AL13" s="43"/>
      <c r="AM13" s="142"/>
      <c r="AT13" s="106"/>
      <c r="AU13" s="128"/>
      <c r="AV13" s="99" t="s">
        <v>402</v>
      </c>
      <c r="AW13" s="99" t="s">
        <v>403</v>
      </c>
      <c r="AX13" s="43"/>
      <c r="AY13" s="15"/>
      <c r="AZ13" s="15"/>
      <c r="BA13" s="221"/>
      <c r="BB13" s="221"/>
      <c r="BC13" s="57"/>
      <c r="BD13" s="72">
        <f t="shared" ref="BD13:BH13" si="17">countif($K13:$BC13,BD$2)</f>
        <v>0</v>
      </c>
      <c r="BE13" s="74">
        <f t="shared" si="17"/>
        <v>0</v>
      </c>
      <c r="BF13" s="74">
        <f t="shared" si="17"/>
        <v>1</v>
      </c>
      <c r="BG13" s="74">
        <f t="shared" si="17"/>
        <v>0</v>
      </c>
      <c r="BH13" s="74">
        <f t="shared" si="17"/>
        <v>0</v>
      </c>
      <c r="BI13" s="81">
        <f>countif($K13:$BC14,"*" &amp; BI$2 &amp; "*")</f>
        <v>0</v>
      </c>
      <c r="BJ13" s="81">
        <f t="shared" ref="BJ13:BK13" si="18">countif($K13:$BC14,"*" &amp; BJ$2 &amp; "*")/2</f>
        <v>0</v>
      </c>
      <c r="BK13" s="81">
        <f t="shared" si="18"/>
        <v>0</v>
      </c>
      <c r="BL13" s="81">
        <f>countif($K13:$BC14,"*" &amp; BL$2 &amp; "*")</f>
        <v>0</v>
      </c>
      <c r="BM13" s="92"/>
      <c r="BN13" s="15"/>
      <c r="BO13" s="15"/>
      <c r="BP13" s="15"/>
      <c r="BQ13" s="15"/>
      <c r="BR13" s="15"/>
      <c r="BS13" s="15"/>
    </row>
    <row r="14" ht="15.75" customHeight="1">
      <c r="A14" s="112"/>
      <c r="B14" s="151" t="s">
        <v>408</v>
      </c>
      <c r="C14" s="85"/>
      <c r="D14" s="87"/>
      <c r="E14" s="87"/>
      <c r="F14" s="87"/>
      <c r="G14" s="87"/>
      <c r="H14" s="87"/>
      <c r="I14" s="87"/>
      <c r="J14" s="86"/>
      <c r="K14" s="152" t="s">
        <v>141</v>
      </c>
      <c r="L14" s="226"/>
      <c r="M14" s="227"/>
      <c r="N14" s="227"/>
      <c r="O14" s="227"/>
      <c r="P14" s="227"/>
      <c r="Q14" s="227"/>
      <c r="R14" s="227"/>
      <c r="S14" s="227"/>
      <c r="T14" s="43"/>
      <c r="U14" s="87"/>
      <c r="V14" s="87"/>
      <c r="Y14" s="229"/>
      <c r="Z14" s="229"/>
      <c r="AA14" s="229"/>
      <c r="AB14" s="229"/>
      <c r="AC14" s="43"/>
      <c r="AD14" s="230"/>
      <c r="AE14" s="231"/>
      <c r="AF14" s="231"/>
      <c r="AG14" s="231"/>
      <c r="AH14" s="231"/>
      <c r="AI14" s="231"/>
      <c r="AJ14" s="231"/>
      <c r="AK14" s="231"/>
      <c r="AL14" s="43"/>
      <c r="AM14" s="233"/>
      <c r="AN14" s="234"/>
      <c r="AO14" s="234"/>
      <c r="AP14" s="234"/>
      <c r="AQ14" s="234"/>
      <c r="AR14" s="234"/>
      <c r="AS14" s="234"/>
      <c r="AT14" s="235"/>
      <c r="AU14" s="237"/>
      <c r="AV14" s="112"/>
      <c r="AW14" s="112"/>
      <c r="AX14" s="43"/>
      <c r="AY14" s="15"/>
      <c r="AZ14" s="15"/>
      <c r="BA14" s="15"/>
      <c r="BB14" s="15"/>
      <c r="BC14" s="43"/>
      <c r="BD14" s="72">
        <f t="shared" ref="BD14:BH14" si="19">countif($K14:$BC14,BD$2)</f>
        <v>0</v>
      </c>
      <c r="BE14" s="74">
        <f t="shared" si="19"/>
        <v>0</v>
      </c>
      <c r="BF14" s="74">
        <f t="shared" si="19"/>
        <v>1</v>
      </c>
      <c r="BG14" s="74">
        <f t="shared" si="19"/>
        <v>0</v>
      </c>
      <c r="BH14" s="74">
        <f t="shared" si="19"/>
        <v>0</v>
      </c>
      <c r="BI14" s="112"/>
      <c r="BJ14" s="112"/>
      <c r="BK14" s="112"/>
      <c r="BL14" s="112"/>
      <c r="BM14" s="92"/>
      <c r="BN14" s="15"/>
      <c r="BO14" s="15"/>
      <c r="BP14" s="15"/>
      <c r="BQ14" s="15"/>
      <c r="BR14" s="15"/>
      <c r="BS14" s="15"/>
    </row>
    <row r="15" ht="1.5" customHeight="1">
      <c r="A15" s="6"/>
      <c r="B15" s="6"/>
      <c r="C15" s="243"/>
      <c r="D15" s="61"/>
      <c r="E15" s="61"/>
      <c r="F15" s="61"/>
      <c r="G15" s="61"/>
      <c r="H15" s="61"/>
      <c r="I15" s="61"/>
      <c r="J15" s="46"/>
      <c r="K15" s="245"/>
      <c r="L15" s="246"/>
      <c r="M15" s="15"/>
      <c r="N15" s="15"/>
      <c r="O15" s="15"/>
      <c r="P15" s="15"/>
      <c r="Q15" s="15"/>
      <c r="R15" s="15"/>
      <c r="S15" s="15"/>
      <c r="T15" s="245"/>
      <c r="U15" s="247"/>
      <c r="V15" s="248"/>
      <c r="W15" s="249"/>
      <c r="X15" s="249"/>
      <c r="Y15" s="249"/>
      <c r="Z15" s="248"/>
      <c r="AA15" s="249"/>
      <c r="AB15" s="250"/>
      <c r="AC15" s="251"/>
      <c r="AD15" s="230"/>
      <c r="AE15" s="231"/>
      <c r="AF15" s="231"/>
      <c r="AG15" s="231"/>
      <c r="AH15" s="231"/>
      <c r="AI15" s="231"/>
      <c r="AJ15" s="231"/>
      <c r="AK15" s="231"/>
      <c r="AL15" s="245"/>
      <c r="AM15" s="252"/>
      <c r="AN15" s="249"/>
      <c r="AO15" s="249"/>
      <c r="AP15" s="249"/>
      <c r="AQ15" s="249"/>
      <c r="AR15" s="249"/>
      <c r="AS15" s="249"/>
      <c r="AT15" s="249"/>
      <c r="AU15" s="245"/>
      <c r="AV15" s="248"/>
      <c r="AW15" s="248"/>
      <c r="AX15" s="245"/>
      <c r="AY15" s="248"/>
      <c r="AZ15" s="248"/>
      <c r="BA15" s="248"/>
      <c r="BB15" s="248"/>
      <c r="BC15" s="245"/>
      <c r="BD15" s="254"/>
      <c r="BE15" s="255"/>
      <c r="BF15" s="255"/>
      <c r="BG15" s="255"/>
      <c r="BH15" s="255"/>
      <c r="BI15" s="255"/>
      <c r="BJ15" s="255"/>
      <c r="BK15" s="255"/>
      <c r="BL15" s="255"/>
      <c r="BM15" s="257"/>
      <c r="BN15" s="15"/>
      <c r="BO15" s="15"/>
      <c r="BP15" s="15"/>
      <c r="BQ15" s="15"/>
      <c r="BR15" s="15"/>
      <c r="BS15" s="15"/>
    </row>
    <row r="16">
      <c r="A16" s="30" t="s">
        <v>421</v>
      </c>
      <c r="B16" s="40">
        <v>42623.0</v>
      </c>
      <c r="C16" s="122" t="s">
        <v>424</v>
      </c>
      <c r="D16" s="61"/>
      <c r="E16" s="61"/>
      <c r="F16" s="61"/>
      <c r="G16" s="61"/>
      <c r="H16" s="61"/>
      <c r="I16" s="61"/>
      <c r="J16" s="46"/>
      <c r="K16" s="152" t="s">
        <v>140</v>
      </c>
      <c r="L16" s="122" t="s">
        <v>425</v>
      </c>
      <c r="M16" s="61"/>
      <c r="N16" s="61"/>
      <c r="O16" s="61"/>
      <c r="P16" s="61"/>
      <c r="Q16" s="61"/>
      <c r="R16" s="61"/>
      <c r="S16" s="46"/>
      <c r="T16" s="152" t="s">
        <v>141</v>
      </c>
      <c r="U16" s="259" t="s">
        <v>426</v>
      </c>
      <c r="V16" s="61"/>
      <c r="W16" s="61"/>
      <c r="X16" s="61"/>
      <c r="Y16" s="61"/>
      <c r="Z16" s="61"/>
      <c r="AA16" s="61"/>
      <c r="AB16" s="46"/>
      <c r="AC16" s="260" t="s">
        <v>138</v>
      </c>
      <c r="AD16" s="261"/>
      <c r="AE16" s="261"/>
      <c r="AF16" s="261"/>
      <c r="AG16" s="261"/>
      <c r="AH16" s="261"/>
      <c r="AI16" s="261"/>
      <c r="AJ16" s="53" t="s">
        <v>427</v>
      </c>
      <c r="AK16" s="54"/>
      <c r="AL16" s="43"/>
      <c r="AM16" s="262" t="s">
        <v>428</v>
      </c>
      <c r="AN16" s="263" t="s">
        <v>429</v>
      </c>
      <c r="AO16" s="262" t="s">
        <v>430</v>
      </c>
      <c r="AP16" s="262" t="s">
        <v>432</v>
      </c>
      <c r="AQ16" s="262" t="s">
        <v>433</v>
      </c>
      <c r="AR16" s="262" t="s">
        <v>434</v>
      </c>
      <c r="AS16" s="68"/>
      <c r="AT16" s="263"/>
      <c r="AU16" s="43"/>
      <c r="AV16" s="122" t="s">
        <v>436</v>
      </c>
      <c r="AW16" s="46"/>
      <c r="AX16" s="191" t="s">
        <v>413</v>
      </c>
      <c r="AY16" s="155" t="s">
        <v>437</v>
      </c>
      <c r="AZ16" s="61"/>
      <c r="BA16" s="61"/>
      <c r="BB16" s="46"/>
      <c r="BC16" s="171" t="s">
        <v>143</v>
      </c>
      <c r="BD16" s="72">
        <f t="shared" ref="BD16:BH16" si="20">countif($K16:$BC16,BD$2)</f>
        <v>1</v>
      </c>
      <c r="BE16" s="74">
        <f t="shared" si="20"/>
        <v>1</v>
      </c>
      <c r="BF16" s="74">
        <f t="shared" si="20"/>
        <v>1</v>
      </c>
      <c r="BG16" s="74">
        <f t="shared" si="20"/>
        <v>0</v>
      </c>
      <c r="BH16" s="74">
        <f t="shared" si="20"/>
        <v>1</v>
      </c>
      <c r="BI16" s="81">
        <f>countif($K16:$BC17,"*" &amp; BI$2 &amp; "*")</f>
        <v>0</v>
      </c>
      <c r="BJ16" s="81">
        <f t="shared" ref="BJ16:BK16" si="21">countif($K16:$BC17,"*" &amp; BJ$2 &amp; "*")/2</f>
        <v>0</v>
      </c>
      <c r="BK16" s="81">
        <f t="shared" si="21"/>
        <v>0</v>
      </c>
      <c r="BL16" s="81">
        <f>countif($K16:$BC17,"*" &amp; BL$2 &amp; "*")</f>
        <v>0</v>
      </c>
      <c r="BM16" s="92"/>
      <c r="BN16" s="15"/>
      <c r="BO16" s="15"/>
      <c r="BP16" s="15"/>
      <c r="BQ16" s="15"/>
      <c r="BR16" s="15"/>
      <c r="BS16" s="15"/>
    </row>
    <row r="17">
      <c r="A17" s="96"/>
      <c r="B17" s="97">
        <v>42654.0</v>
      </c>
      <c r="C17" s="85"/>
      <c r="D17" s="87"/>
      <c r="E17" s="87"/>
      <c r="F17" s="87"/>
      <c r="G17" s="87"/>
      <c r="H17" s="87"/>
      <c r="I17" s="87"/>
      <c r="J17" s="86"/>
      <c r="K17" s="152" t="s">
        <v>140</v>
      </c>
      <c r="L17" s="85"/>
      <c r="M17" s="87"/>
      <c r="N17" s="87"/>
      <c r="O17" s="87"/>
      <c r="P17" s="87"/>
      <c r="Q17" s="87"/>
      <c r="R17" s="87"/>
      <c r="S17" s="86"/>
      <c r="T17" s="152" t="s">
        <v>141</v>
      </c>
      <c r="U17" s="85"/>
      <c r="V17" s="87"/>
      <c r="W17" s="87"/>
      <c r="X17" s="87"/>
      <c r="Y17" s="87"/>
      <c r="Z17" s="87"/>
      <c r="AA17" s="87"/>
      <c r="AB17" s="86"/>
      <c r="AC17" s="269" t="s">
        <v>138</v>
      </c>
      <c r="AD17" s="270"/>
      <c r="AE17" s="54"/>
      <c r="AF17" s="54"/>
      <c r="AG17" s="54"/>
      <c r="AH17" s="54"/>
      <c r="AI17" s="54"/>
      <c r="AJ17" s="96"/>
      <c r="AK17" s="54"/>
      <c r="AL17" s="43"/>
      <c r="AM17" s="96"/>
      <c r="AN17" s="106"/>
      <c r="AO17" s="96"/>
      <c r="AP17" s="96"/>
      <c r="AQ17" s="96"/>
      <c r="AR17" s="96"/>
      <c r="AS17" s="104"/>
      <c r="AT17" s="271"/>
      <c r="AU17" s="43"/>
      <c r="AV17" s="85"/>
      <c r="AW17" s="86"/>
      <c r="AX17" s="191" t="s">
        <v>413</v>
      </c>
      <c r="AY17" s="87"/>
      <c r="AZ17" s="87"/>
      <c r="BA17" s="87"/>
      <c r="BB17" s="86"/>
      <c r="BC17" s="272" t="s">
        <v>143</v>
      </c>
      <c r="BD17" s="72">
        <f t="shared" ref="BD17:BH17" si="22">countif($K17:$BC17,BD$2)</f>
        <v>1</v>
      </c>
      <c r="BE17" s="74">
        <f t="shared" si="22"/>
        <v>1</v>
      </c>
      <c r="BF17" s="74">
        <f t="shared" si="22"/>
        <v>1</v>
      </c>
      <c r="BG17" s="74">
        <f t="shared" si="22"/>
        <v>0</v>
      </c>
      <c r="BH17" s="74">
        <f t="shared" si="22"/>
        <v>1</v>
      </c>
      <c r="BI17" s="112"/>
      <c r="BJ17" s="112"/>
      <c r="BK17" s="112"/>
      <c r="BL17" s="112"/>
      <c r="BM17" s="92"/>
      <c r="BN17" s="15"/>
      <c r="BO17" s="15"/>
      <c r="BP17" s="15"/>
      <c r="BQ17" s="15"/>
      <c r="BR17" s="15"/>
      <c r="BS17" s="15"/>
    </row>
    <row r="18">
      <c r="A18" s="96"/>
      <c r="B18" s="97">
        <v>42686.0</v>
      </c>
      <c r="C18" s="102" t="s">
        <v>449</v>
      </c>
      <c r="J18" s="106"/>
      <c r="K18" s="152" t="s">
        <v>140</v>
      </c>
      <c r="L18" s="102" t="s">
        <v>452</v>
      </c>
      <c r="S18" s="106"/>
      <c r="T18" s="152" t="s">
        <v>141</v>
      </c>
      <c r="U18" s="122" t="s">
        <v>453</v>
      </c>
      <c r="V18" s="61"/>
      <c r="W18" s="61"/>
      <c r="X18" s="61"/>
      <c r="Y18" s="61"/>
      <c r="Z18" s="61"/>
      <c r="AA18" s="61"/>
      <c r="AB18" s="46"/>
      <c r="AC18" s="181" t="s">
        <v>138</v>
      </c>
      <c r="AD18" s="54"/>
      <c r="AE18" s="54"/>
      <c r="AF18" s="54"/>
      <c r="AG18" s="54"/>
      <c r="AH18" s="54"/>
      <c r="AI18" s="54"/>
      <c r="AJ18" s="96"/>
      <c r="AK18" s="202" t="s">
        <v>455</v>
      </c>
      <c r="AL18" s="43"/>
      <c r="AM18" s="112"/>
      <c r="AN18" s="86"/>
      <c r="AO18" s="112"/>
      <c r="AP18" s="112"/>
      <c r="AQ18" s="112"/>
      <c r="AR18" s="112"/>
      <c r="AS18" s="104"/>
      <c r="AT18" s="271"/>
      <c r="AU18" s="43"/>
      <c r="AV18" s="122" t="s">
        <v>457</v>
      </c>
      <c r="AW18" s="46"/>
      <c r="AX18" s="191" t="s">
        <v>413</v>
      </c>
      <c r="AY18" s="122" t="s">
        <v>458</v>
      </c>
      <c r="AZ18" s="61"/>
      <c r="BA18" s="61"/>
      <c r="BB18" s="46"/>
      <c r="BC18" s="272" t="s">
        <v>143</v>
      </c>
      <c r="BD18" s="72">
        <f t="shared" ref="BD18:BH18" si="23">countif($K18:$BC18,BD$2)</f>
        <v>1</v>
      </c>
      <c r="BE18" s="74">
        <f t="shared" si="23"/>
        <v>1</v>
      </c>
      <c r="BF18" s="74">
        <f t="shared" si="23"/>
        <v>1</v>
      </c>
      <c r="BG18" s="74">
        <f t="shared" si="23"/>
        <v>0</v>
      </c>
      <c r="BH18" s="74">
        <f t="shared" si="23"/>
        <v>1</v>
      </c>
      <c r="BI18" s="81">
        <f>countif($D18:$BC19,"*" &amp; BI$2 &amp; "*")</f>
        <v>0</v>
      </c>
      <c r="BJ18" s="81">
        <f t="shared" ref="BJ18:BK18" si="24">countif($D18:$BC19,"*" &amp; BJ$2 &amp; "*")/2</f>
        <v>0</v>
      </c>
      <c r="BK18" s="81">
        <f t="shared" si="24"/>
        <v>0</v>
      </c>
      <c r="BL18" s="81">
        <f>countif($D18:$BC19,"*" &amp; BL$2 &amp; "*")</f>
        <v>0</v>
      </c>
      <c r="BM18" s="92"/>
      <c r="BN18" s="15"/>
      <c r="BO18" s="15"/>
      <c r="BP18" s="15"/>
      <c r="BQ18" s="15"/>
      <c r="BR18" s="15"/>
      <c r="BS18" s="15"/>
    </row>
    <row r="19">
      <c r="A19" s="96"/>
      <c r="B19" s="97">
        <v>42717.0</v>
      </c>
      <c r="C19" s="85"/>
      <c r="D19" s="87"/>
      <c r="E19" s="87"/>
      <c r="F19" s="87"/>
      <c r="G19" s="87"/>
      <c r="H19" s="87"/>
      <c r="I19" s="87"/>
      <c r="J19" s="86"/>
      <c r="K19" s="152" t="s">
        <v>140</v>
      </c>
      <c r="L19" s="85"/>
      <c r="M19" s="87"/>
      <c r="N19" s="87"/>
      <c r="O19" s="87"/>
      <c r="P19" s="87"/>
      <c r="Q19" s="87"/>
      <c r="R19" s="87"/>
      <c r="S19" s="86"/>
      <c r="T19" s="152" t="s">
        <v>141</v>
      </c>
      <c r="U19" s="85"/>
      <c r="V19" s="87"/>
      <c r="W19" s="87"/>
      <c r="X19" s="87"/>
      <c r="Y19" s="87"/>
      <c r="Z19" s="87"/>
      <c r="AA19" s="87"/>
      <c r="AB19" s="86"/>
      <c r="AC19" s="181" t="s">
        <v>138</v>
      </c>
      <c r="AD19" s="54"/>
      <c r="AE19" s="54"/>
      <c r="AF19" s="54"/>
      <c r="AG19" s="54"/>
      <c r="AH19" s="54"/>
      <c r="AI19" s="54"/>
      <c r="AJ19" s="112"/>
      <c r="AK19" s="112"/>
      <c r="AL19" s="43"/>
      <c r="AM19" s="99" t="s">
        <v>460</v>
      </c>
      <c r="AN19" s="286" t="s">
        <v>461</v>
      </c>
      <c r="AO19" s="262" t="s">
        <v>462</v>
      </c>
      <c r="AP19" s="263" t="s">
        <v>463</v>
      </c>
      <c r="AQ19" s="287"/>
      <c r="AR19" s="287"/>
      <c r="AS19" s="104"/>
      <c r="AT19" s="271"/>
      <c r="AU19" s="43"/>
      <c r="AV19" s="85"/>
      <c r="AW19" s="86"/>
      <c r="AX19" s="191" t="s">
        <v>413</v>
      </c>
      <c r="AY19" s="85"/>
      <c r="AZ19" s="87"/>
      <c r="BA19" s="87"/>
      <c r="BB19" s="86"/>
      <c r="BC19" s="272" t="s">
        <v>143</v>
      </c>
      <c r="BD19" s="72">
        <f t="shared" ref="BD19:BG19" si="25">countif($D19:$BC19,BD$2)</f>
        <v>1</v>
      </c>
      <c r="BE19" s="74">
        <f t="shared" si="25"/>
        <v>1</v>
      </c>
      <c r="BF19" s="74">
        <f t="shared" si="25"/>
        <v>1</v>
      </c>
      <c r="BG19" s="74">
        <f t="shared" si="25"/>
        <v>0</v>
      </c>
      <c r="BH19" s="74">
        <f>countif($K19:$BC19,BH$2)</f>
        <v>1</v>
      </c>
      <c r="BI19" s="112"/>
      <c r="BJ19" s="112"/>
      <c r="BK19" s="112"/>
      <c r="BL19" s="112"/>
      <c r="BM19" s="92"/>
      <c r="BN19" s="15"/>
      <c r="BO19" s="15"/>
      <c r="BP19" s="15"/>
      <c r="BQ19" s="15"/>
      <c r="BR19" s="15"/>
      <c r="BS19" s="15"/>
    </row>
    <row r="20">
      <c r="A20" s="96"/>
      <c r="B20" s="151" t="s">
        <v>310</v>
      </c>
      <c r="C20" s="102" t="s">
        <v>466</v>
      </c>
      <c r="J20" s="106"/>
      <c r="K20" s="152" t="s">
        <v>140</v>
      </c>
      <c r="N20" s="297" t="s">
        <v>467</v>
      </c>
      <c r="O20" s="299" t="s">
        <v>468</v>
      </c>
      <c r="P20" s="153" t="s">
        <v>469</v>
      </c>
      <c r="Q20" s="46"/>
      <c r="R20" s="153" t="s">
        <v>470</v>
      </c>
      <c r="S20" s="46"/>
      <c r="T20" s="43"/>
      <c r="U20" s="60" t="s">
        <v>471</v>
      </c>
      <c r="V20" s="61"/>
      <c r="W20" s="61"/>
      <c r="X20" s="61"/>
      <c r="Y20" s="61"/>
      <c r="Z20" s="61"/>
      <c r="AA20" s="61"/>
      <c r="AB20" s="46"/>
      <c r="AC20" s="181" t="s">
        <v>138</v>
      </c>
      <c r="AD20" s="122" t="s">
        <v>473</v>
      </c>
      <c r="AE20" s="61"/>
      <c r="AF20" s="61"/>
      <c r="AG20" s="61"/>
      <c r="AH20" s="61"/>
      <c r="AI20" s="61"/>
      <c r="AJ20" s="61"/>
      <c r="AK20" s="46"/>
      <c r="AL20" s="117" t="s">
        <v>141</v>
      </c>
      <c r="AM20" s="96"/>
      <c r="AN20" s="106"/>
      <c r="AO20" s="99" t="s">
        <v>474</v>
      </c>
      <c r="AP20" s="286" t="s">
        <v>475</v>
      </c>
      <c r="AQ20" s="89" t="s">
        <v>476</v>
      </c>
      <c r="AR20" s="99" t="s">
        <v>477</v>
      </c>
      <c r="AS20" s="89" t="s">
        <v>478</v>
      </c>
      <c r="AT20" s="99" t="s">
        <v>479</v>
      </c>
      <c r="AU20" s="43"/>
      <c r="AV20" s="306" t="s">
        <v>481</v>
      </c>
      <c r="AW20" s="309" t="s">
        <v>482</v>
      </c>
      <c r="AX20" s="57"/>
      <c r="AY20" s="311" t="s">
        <v>484</v>
      </c>
      <c r="AZ20" s="146" t="s">
        <v>485</v>
      </c>
      <c r="BA20" s="311" t="s">
        <v>486</v>
      </c>
      <c r="BB20" s="53" t="s">
        <v>487</v>
      </c>
      <c r="BC20" s="43"/>
      <c r="BD20" s="72">
        <f t="shared" ref="BD20:BH20" si="26">countif($K20:$BC20,BD$2)</f>
        <v>1</v>
      </c>
      <c r="BE20" s="74">
        <f t="shared" si="26"/>
        <v>1</v>
      </c>
      <c r="BF20" s="74">
        <f t="shared" si="26"/>
        <v>1</v>
      </c>
      <c r="BG20" s="74">
        <f t="shared" si="26"/>
        <v>0</v>
      </c>
      <c r="BH20" s="74">
        <f t="shared" si="26"/>
        <v>0</v>
      </c>
      <c r="BI20" s="81">
        <f>countif($K20:$BC21,"*" &amp; BI$2 &amp; "*")</f>
        <v>0</v>
      </c>
      <c r="BJ20" s="81">
        <f t="shared" ref="BJ20:BK20" si="27">countif($K20:$BC21,"*" &amp; BJ$2 &amp; "*")/2</f>
        <v>0</v>
      </c>
      <c r="BK20" s="81">
        <f t="shared" si="27"/>
        <v>0</v>
      </c>
      <c r="BL20" s="81">
        <f>countif($K20:$BC21,"*" &amp; BL$2 &amp; "*")</f>
        <v>0</v>
      </c>
      <c r="BM20" s="92"/>
      <c r="BN20" s="15"/>
      <c r="BO20" s="15"/>
      <c r="BP20" s="15"/>
      <c r="BQ20" s="15"/>
      <c r="BR20" s="15"/>
      <c r="BS20" s="15"/>
    </row>
    <row r="21">
      <c r="A21" s="96"/>
      <c r="B21" s="151" t="s">
        <v>341</v>
      </c>
      <c r="C21" s="85"/>
      <c r="D21" s="87"/>
      <c r="E21" s="87"/>
      <c r="F21" s="87"/>
      <c r="G21" s="87"/>
      <c r="H21" s="87"/>
      <c r="I21" s="87"/>
      <c r="J21" s="86"/>
      <c r="K21" s="152" t="s">
        <v>140</v>
      </c>
      <c r="N21" s="96"/>
      <c r="O21" s="106"/>
      <c r="P21" s="142"/>
      <c r="Q21" s="106"/>
      <c r="R21" s="142"/>
      <c r="S21" s="106"/>
      <c r="T21" s="43"/>
      <c r="U21" s="85"/>
      <c r="V21" s="87"/>
      <c r="W21" s="87"/>
      <c r="X21" s="87"/>
      <c r="Y21" s="87"/>
      <c r="Z21" s="87"/>
      <c r="AA21" s="87"/>
      <c r="AB21" s="86"/>
      <c r="AC21" s="181" t="s">
        <v>138</v>
      </c>
      <c r="AD21" s="85"/>
      <c r="AE21" s="87"/>
      <c r="AF21" s="87"/>
      <c r="AG21" s="87"/>
      <c r="AH21" s="87"/>
      <c r="AI21" s="87"/>
      <c r="AJ21" s="87"/>
      <c r="AK21" s="86"/>
      <c r="AL21" s="181" t="s">
        <v>141</v>
      </c>
      <c r="AM21" s="112"/>
      <c r="AN21" s="86"/>
      <c r="AO21" s="112"/>
      <c r="AP21" s="86"/>
      <c r="AQ21" s="85"/>
      <c r="AR21" s="112"/>
      <c r="AS21" s="85"/>
      <c r="AT21" s="112"/>
      <c r="AU21" s="43"/>
      <c r="AV21" s="142"/>
      <c r="AW21" s="142"/>
      <c r="AX21" s="57"/>
      <c r="AY21" s="112"/>
      <c r="AZ21" s="112"/>
      <c r="BA21" s="96"/>
      <c r="BB21" s="96"/>
      <c r="BC21" s="43"/>
      <c r="BD21" s="72">
        <f t="shared" ref="BD21:BH21" si="28">countif($K21:$BC21,BD$2)</f>
        <v>1</v>
      </c>
      <c r="BE21" s="74">
        <f t="shared" si="28"/>
        <v>1</v>
      </c>
      <c r="BF21" s="74">
        <f t="shared" si="28"/>
        <v>1</v>
      </c>
      <c r="BG21" s="74">
        <f t="shared" si="28"/>
        <v>0</v>
      </c>
      <c r="BH21" s="74">
        <f t="shared" si="28"/>
        <v>0</v>
      </c>
      <c r="BI21" s="112"/>
      <c r="BJ21" s="112"/>
      <c r="BK21" s="112"/>
      <c r="BL21" s="112"/>
      <c r="BM21" s="92"/>
      <c r="BN21" s="15"/>
      <c r="BO21" s="15"/>
      <c r="BP21" s="15"/>
      <c r="BQ21" s="15"/>
      <c r="BR21" s="15"/>
      <c r="BS21" s="15"/>
    </row>
    <row r="22">
      <c r="A22" s="96"/>
      <c r="B22" s="151" t="s">
        <v>342</v>
      </c>
      <c r="K22" s="43"/>
      <c r="N22" s="297" t="s">
        <v>497</v>
      </c>
      <c r="O22" s="299" t="s">
        <v>498</v>
      </c>
      <c r="P22" s="85"/>
      <c r="Q22" s="86"/>
      <c r="R22" s="85"/>
      <c r="S22" s="86"/>
      <c r="T22" s="43"/>
      <c r="U22" s="325"/>
      <c r="V22" s="325"/>
      <c r="W22" s="325"/>
      <c r="X22" s="325"/>
      <c r="Y22" s="325"/>
      <c r="Z22" s="325"/>
      <c r="AA22" s="325"/>
      <c r="AB22" s="325"/>
      <c r="AC22" s="57"/>
      <c r="AD22" s="122" t="s">
        <v>500</v>
      </c>
      <c r="AE22" s="61"/>
      <c r="AF22" s="61"/>
      <c r="AG22" s="61"/>
      <c r="AH22" s="61"/>
      <c r="AI22" s="61"/>
      <c r="AJ22" s="61"/>
      <c r="AK22" s="46"/>
      <c r="AL22" s="171" t="s">
        <v>138</v>
      </c>
      <c r="AM22" s="89" t="s">
        <v>502</v>
      </c>
      <c r="AN22" s="99" t="s">
        <v>503</v>
      </c>
      <c r="AO22" s="89" t="s">
        <v>504</v>
      </c>
      <c r="AP22" s="99" t="s">
        <v>505</v>
      </c>
      <c r="AQ22" s="262" t="s">
        <v>506</v>
      </c>
      <c r="AR22" s="263" t="s">
        <v>507</v>
      </c>
      <c r="AS22" s="99" t="s">
        <v>508</v>
      </c>
      <c r="AT22" s="286" t="s">
        <v>509</v>
      </c>
      <c r="AU22" s="43"/>
      <c r="AV22" s="142"/>
      <c r="AW22" s="142"/>
      <c r="AX22" s="57"/>
      <c r="AY22" s="328" t="s">
        <v>510</v>
      </c>
      <c r="AZ22" s="328" t="s">
        <v>511</v>
      </c>
      <c r="BA22" s="311" t="s">
        <v>512</v>
      </c>
      <c r="BB22" s="146" t="s">
        <v>513</v>
      </c>
      <c r="BC22" s="43"/>
      <c r="BD22" s="72">
        <f t="shared" ref="BD22:BH22" si="29">countif($K22:$BC22,BD$2)</f>
        <v>1</v>
      </c>
      <c r="BE22" s="74">
        <f t="shared" si="29"/>
        <v>0</v>
      </c>
      <c r="BF22" s="74">
        <f t="shared" si="29"/>
        <v>0</v>
      </c>
      <c r="BG22" s="74">
        <f t="shared" si="29"/>
        <v>0</v>
      </c>
      <c r="BH22" s="74">
        <f t="shared" si="29"/>
        <v>0</v>
      </c>
      <c r="BI22" s="81">
        <f>countif($K22:$BC23,"*" &amp; BI$2 &amp; "*")</f>
        <v>0</v>
      </c>
      <c r="BJ22" s="81">
        <f t="shared" ref="BJ22:BK22" si="30">countif($K22:$BC23,"*" &amp; BJ$2 &amp; "*")/2</f>
        <v>0</v>
      </c>
      <c r="BK22" s="81">
        <f t="shared" si="30"/>
        <v>0</v>
      </c>
      <c r="BL22" s="81">
        <f>countif($K22:$BC23,"*" &amp; BL$2 &amp; "*")</f>
        <v>0</v>
      </c>
      <c r="BM22" s="92"/>
      <c r="BN22" s="15"/>
      <c r="BO22" s="15"/>
      <c r="BP22" s="15"/>
      <c r="BQ22" s="15"/>
      <c r="BR22" s="15"/>
      <c r="BS22" s="15"/>
    </row>
    <row r="23">
      <c r="A23" s="96"/>
      <c r="B23" s="151" t="s">
        <v>369</v>
      </c>
      <c r="K23" s="43"/>
      <c r="N23" s="112"/>
      <c r="O23" s="86"/>
      <c r="T23" s="43"/>
      <c r="U23" s="325"/>
      <c r="V23" s="325"/>
      <c r="W23" s="325"/>
      <c r="X23" s="325"/>
      <c r="Y23" s="325"/>
      <c r="Z23" s="325"/>
      <c r="AA23" s="325"/>
      <c r="AB23" s="325"/>
      <c r="AC23" s="43"/>
      <c r="AD23" s="85"/>
      <c r="AE23" s="87"/>
      <c r="AF23" s="87"/>
      <c r="AG23" s="87"/>
      <c r="AH23" s="87"/>
      <c r="AI23" s="87"/>
      <c r="AJ23" s="87"/>
      <c r="AK23" s="86"/>
      <c r="AL23" s="171" t="s">
        <v>138</v>
      </c>
      <c r="AM23" s="85"/>
      <c r="AN23" s="112"/>
      <c r="AO23" s="85"/>
      <c r="AP23" s="112"/>
      <c r="AQ23" s="96"/>
      <c r="AR23" s="106"/>
      <c r="AS23" s="96"/>
      <c r="AT23" s="106"/>
      <c r="AU23" s="43"/>
      <c r="AV23" s="85"/>
      <c r="AW23" s="85"/>
      <c r="AX23" s="43"/>
      <c r="AY23" s="334" t="s">
        <v>515</v>
      </c>
      <c r="AZ23" s="146" t="s">
        <v>517</v>
      </c>
      <c r="BA23" s="336" t="s">
        <v>519</v>
      </c>
      <c r="BB23" s="336" t="s">
        <v>520</v>
      </c>
      <c r="BC23" s="43"/>
      <c r="BD23" s="72">
        <f t="shared" ref="BD23:BH23" si="31">countif($K23:$BC23,BD$2)</f>
        <v>1</v>
      </c>
      <c r="BE23" s="74">
        <f t="shared" si="31"/>
        <v>0</v>
      </c>
      <c r="BF23" s="74">
        <f t="shared" si="31"/>
        <v>0</v>
      </c>
      <c r="BG23" s="74">
        <f t="shared" si="31"/>
        <v>0</v>
      </c>
      <c r="BH23" s="74">
        <f t="shared" si="31"/>
        <v>0</v>
      </c>
      <c r="BI23" s="112"/>
      <c r="BJ23" s="112"/>
      <c r="BK23" s="112"/>
      <c r="BL23" s="112"/>
      <c r="BM23" s="92"/>
      <c r="BN23" s="15"/>
      <c r="BO23" s="15"/>
      <c r="BP23" s="15"/>
      <c r="BQ23" s="15"/>
      <c r="BR23" s="15"/>
      <c r="BS23" s="15"/>
    </row>
    <row r="24">
      <c r="A24" s="96"/>
      <c r="B24" s="151" t="s">
        <v>375</v>
      </c>
      <c r="K24" s="43"/>
      <c r="T24" s="43"/>
      <c r="V24" s="64"/>
      <c r="W24" s="64"/>
      <c r="X24" s="64"/>
      <c r="Y24" s="64"/>
      <c r="Z24" s="64"/>
      <c r="AA24" s="64"/>
      <c r="AB24" s="66"/>
      <c r="AC24" s="43"/>
      <c r="AD24" s="122" t="s">
        <v>527</v>
      </c>
      <c r="AE24" s="61"/>
      <c r="AF24" s="61"/>
      <c r="AG24" s="61"/>
      <c r="AH24" s="61"/>
      <c r="AI24" s="61"/>
      <c r="AJ24" s="61"/>
      <c r="AK24" s="46"/>
      <c r="AL24" s="171" t="s">
        <v>138</v>
      </c>
      <c r="AM24" s="103"/>
      <c r="AN24" s="104"/>
      <c r="AO24" s="104"/>
      <c r="AP24" s="104"/>
      <c r="AQ24" s="112"/>
      <c r="AR24" s="86"/>
      <c r="AS24" s="338" t="s">
        <v>530</v>
      </c>
      <c r="AT24" s="339" t="s">
        <v>531</v>
      </c>
      <c r="AU24" s="43"/>
      <c r="AV24" s="315"/>
      <c r="AW24" s="316"/>
      <c r="AX24" s="43"/>
      <c r="AY24" s="96"/>
      <c r="AZ24" s="96"/>
      <c r="BA24" s="316"/>
      <c r="BB24" s="316"/>
      <c r="BC24" s="43"/>
      <c r="BD24" s="72">
        <f t="shared" ref="BD24:BG24" si="32">countif($D24:$BC24,BD$2)</f>
        <v>1</v>
      </c>
      <c r="BE24" s="74">
        <f t="shared" si="32"/>
        <v>0</v>
      </c>
      <c r="BF24" s="74">
        <f t="shared" si="32"/>
        <v>0</v>
      </c>
      <c r="BG24" s="74">
        <f t="shared" si="32"/>
        <v>0</v>
      </c>
      <c r="BH24" s="74">
        <f t="shared" ref="BH24:BH27" si="35">countif($K24:$BC24,BH$2)</f>
        <v>0</v>
      </c>
      <c r="BI24" s="81">
        <f>countif($D24:$BC25,"*" &amp; BI$2 &amp; "*")</f>
        <v>0</v>
      </c>
      <c r="BJ24" s="81">
        <f t="shared" ref="BJ24:BK24" si="33">countif($D24:$BC25,"*" &amp; BJ$2 &amp; "*")/2</f>
        <v>0</v>
      </c>
      <c r="BK24" s="81">
        <f t="shared" si="33"/>
        <v>0</v>
      </c>
      <c r="BL24" s="81">
        <f>countif($D24:$BC25,"*" &amp; BL$2 &amp; "*")</f>
        <v>0</v>
      </c>
      <c r="BM24" s="92"/>
      <c r="BN24" s="15"/>
      <c r="BO24" s="15"/>
      <c r="BP24" s="15"/>
      <c r="BQ24" s="15"/>
      <c r="BR24" s="15"/>
      <c r="BS24" s="15"/>
    </row>
    <row r="25">
      <c r="A25" s="96"/>
      <c r="B25" s="151" t="s">
        <v>392</v>
      </c>
      <c r="K25" s="344"/>
      <c r="L25" s="142"/>
      <c r="T25" s="43"/>
      <c r="V25" s="64"/>
      <c r="W25" s="64"/>
      <c r="X25" s="64"/>
      <c r="Y25" s="64"/>
      <c r="Z25" s="64"/>
      <c r="AA25" s="64"/>
      <c r="AB25" s="66"/>
      <c r="AC25" s="43"/>
      <c r="AD25" s="85"/>
      <c r="AE25" s="87"/>
      <c r="AF25" s="87"/>
      <c r="AG25" s="87"/>
      <c r="AH25" s="87"/>
      <c r="AI25" s="87"/>
      <c r="AJ25" s="87"/>
      <c r="AK25" s="86"/>
      <c r="AL25" s="171" t="s">
        <v>138</v>
      </c>
      <c r="AM25" s="103"/>
      <c r="AN25" s="104"/>
      <c r="AO25" s="104"/>
      <c r="AP25" s="104"/>
      <c r="AQ25" s="338" t="s">
        <v>530</v>
      </c>
      <c r="AR25" s="339" t="s">
        <v>531</v>
      </c>
      <c r="AS25" s="262" t="s">
        <v>434</v>
      </c>
      <c r="AT25" s="262" t="s">
        <v>433</v>
      </c>
      <c r="AU25" s="43"/>
      <c r="AV25" s="315"/>
      <c r="AW25" s="316"/>
      <c r="AX25" s="43"/>
      <c r="AY25" s="112"/>
      <c r="AZ25" s="112"/>
      <c r="BA25" s="316"/>
      <c r="BB25" s="316"/>
      <c r="BC25" s="43"/>
      <c r="BD25" s="72">
        <f t="shared" ref="BD25:BG25" si="34">countif($D25:$BC25,BD$2)</f>
        <v>1</v>
      </c>
      <c r="BE25" s="74">
        <f t="shared" si="34"/>
        <v>0</v>
      </c>
      <c r="BF25" s="74">
        <f t="shared" si="34"/>
        <v>0</v>
      </c>
      <c r="BG25" s="74">
        <f t="shared" si="34"/>
        <v>0</v>
      </c>
      <c r="BH25" s="74">
        <f t="shared" si="35"/>
        <v>0</v>
      </c>
      <c r="BI25" s="112"/>
      <c r="BJ25" s="112"/>
      <c r="BK25" s="112"/>
      <c r="BL25" s="112"/>
      <c r="BM25" s="92"/>
      <c r="BN25" s="15"/>
      <c r="BO25" s="15"/>
      <c r="BP25" s="15"/>
      <c r="BQ25" s="15"/>
      <c r="BR25" s="15"/>
      <c r="BS25" s="15"/>
    </row>
    <row r="26">
      <c r="A26" s="96"/>
      <c r="B26" s="151" t="s">
        <v>398</v>
      </c>
      <c r="C26" s="15"/>
      <c r="D26" s="15"/>
      <c r="E26" s="15"/>
      <c r="F26" s="15"/>
      <c r="G26" s="15"/>
      <c r="H26" s="15"/>
      <c r="I26" s="15"/>
      <c r="J26" s="15"/>
      <c r="K26" s="344"/>
      <c r="L26" s="142"/>
      <c r="T26" s="43"/>
      <c r="V26" s="64"/>
      <c r="W26" s="64"/>
      <c r="X26" s="64"/>
      <c r="Y26" s="64"/>
      <c r="Z26" s="64"/>
      <c r="AA26" s="64"/>
      <c r="AB26" s="66"/>
      <c r="AC26" s="43"/>
      <c r="AD26" s="15"/>
      <c r="AE26" s="15"/>
      <c r="AF26" s="15"/>
      <c r="AG26" s="17"/>
      <c r="AH26" s="17"/>
      <c r="AI26" s="17"/>
      <c r="AJ26" s="17"/>
      <c r="AK26" s="17"/>
      <c r="AL26" s="43"/>
      <c r="AM26" s="103"/>
      <c r="AN26" s="104"/>
      <c r="AO26" s="104"/>
      <c r="AP26" s="104"/>
      <c r="AQ26" s="96"/>
      <c r="AR26" s="106"/>
      <c r="AS26" s="96"/>
      <c r="AT26" s="96"/>
      <c r="AU26" s="43"/>
      <c r="AV26" s="315"/>
      <c r="AW26" s="316"/>
      <c r="AX26" s="43"/>
      <c r="AY26" s="315"/>
      <c r="AZ26" s="316"/>
      <c r="BA26" s="316"/>
      <c r="BB26" s="316"/>
      <c r="BC26" s="43"/>
      <c r="BD26" s="72">
        <f t="shared" ref="BD26:BG26" si="36">countif($D26:$BC26,BD$2)</f>
        <v>0</v>
      </c>
      <c r="BE26" s="74">
        <f t="shared" si="36"/>
        <v>0</v>
      </c>
      <c r="BF26" s="74">
        <f t="shared" si="36"/>
        <v>0</v>
      </c>
      <c r="BG26" s="74">
        <f t="shared" si="36"/>
        <v>0</v>
      </c>
      <c r="BH26" s="74">
        <f t="shared" si="35"/>
        <v>0</v>
      </c>
      <c r="BI26" s="81">
        <f>countif($D26:$BC27,"*" &amp; BI$2 &amp; "*")</f>
        <v>0</v>
      </c>
      <c r="BJ26" s="81">
        <f t="shared" ref="BJ26:BK26" si="37">countif($D26:$BC27,"*" &amp; BJ$2 &amp; "*")/2</f>
        <v>0</v>
      </c>
      <c r="BK26" s="81">
        <f t="shared" si="37"/>
        <v>0</v>
      </c>
      <c r="BL26" s="81">
        <f>countif($D26:$BC27,"*" &amp; BL$2 &amp; "*")</f>
        <v>0</v>
      </c>
      <c r="BM26" s="92"/>
      <c r="BN26" s="15"/>
      <c r="BO26" s="15"/>
      <c r="BP26" s="15"/>
      <c r="BQ26" s="15"/>
      <c r="BR26" s="15"/>
      <c r="BS26" s="15"/>
    </row>
    <row r="27">
      <c r="A27" s="112"/>
      <c r="B27" s="151" t="s">
        <v>408</v>
      </c>
      <c r="C27" s="15"/>
      <c r="D27" s="15"/>
      <c r="E27" s="15"/>
      <c r="F27" s="15"/>
      <c r="G27" s="15"/>
      <c r="H27" s="15"/>
      <c r="I27" s="15"/>
      <c r="J27" s="15"/>
      <c r="K27" s="43"/>
      <c r="T27" s="43"/>
      <c r="U27" s="347"/>
      <c r="V27" s="348"/>
      <c r="W27" s="348"/>
      <c r="X27" s="348"/>
      <c r="Y27" s="348"/>
      <c r="Z27" s="348"/>
      <c r="AA27" s="348"/>
      <c r="AB27" s="349"/>
      <c r="AC27" s="43"/>
      <c r="AD27" s="234"/>
      <c r="AE27" s="234"/>
      <c r="AF27" s="234"/>
      <c r="AG27" s="234"/>
      <c r="AH27" s="234"/>
      <c r="AI27" s="234"/>
      <c r="AJ27" s="234"/>
      <c r="AK27" s="15"/>
      <c r="AL27" s="43"/>
      <c r="AM27" s="350"/>
      <c r="AN27" s="351"/>
      <c r="AO27" s="351"/>
      <c r="AP27" s="351"/>
      <c r="AQ27" s="112"/>
      <c r="AR27" s="86"/>
      <c r="AS27" s="112"/>
      <c r="AT27" s="112"/>
      <c r="AU27" s="43"/>
      <c r="AV27" s="352"/>
      <c r="AW27" s="353"/>
      <c r="AX27" s="43"/>
      <c r="AY27" s="315"/>
      <c r="AZ27" s="316"/>
      <c r="BA27" s="316"/>
      <c r="BB27" s="346"/>
      <c r="BC27" s="43"/>
      <c r="BD27" s="72">
        <f t="shared" ref="BD27:BG27" si="38">countif($D27:$BC27,BD$2)</f>
        <v>0</v>
      </c>
      <c r="BE27" s="74">
        <f t="shared" si="38"/>
        <v>0</v>
      </c>
      <c r="BF27" s="74">
        <f t="shared" si="38"/>
        <v>0</v>
      </c>
      <c r="BG27" s="74">
        <f t="shared" si="38"/>
        <v>0</v>
      </c>
      <c r="BH27" s="74">
        <f t="shared" si="35"/>
        <v>0</v>
      </c>
      <c r="BI27" s="112"/>
      <c r="BJ27" s="112"/>
      <c r="BK27" s="112"/>
      <c r="BL27" s="112"/>
      <c r="BM27" s="92"/>
      <c r="BN27" s="15"/>
      <c r="BO27" s="15"/>
      <c r="BP27" s="15"/>
      <c r="BQ27" s="15"/>
      <c r="BR27" s="15"/>
      <c r="BS27" s="15"/>
    </row>
    <row r="28" ht="1.5" customHeight="1">
      <c r="A28" s="6"/>
      <c r="B28" s="6"/>
      <c r="C28" s="248"/>
      <c r="D28" s="248"/>
      <c r="E28" s="248"/>
      <c r="F28" s="248"/>
      <c r="G28" s="248"/>
      <c r="H28" s="248"/>
      <c r="I28" s="248"/>
      <c r="J28" s="248"/>
      <c r="K28" s="245"/>
      <c r="L28" s="247"/>
      <c r="M28" s="248"/>
      <c r="N28" s="248"/>
      <c r="O28" s="248"/>
      <c r="P28" s="248"/>
      <c r="Q28" s="248"/>
      <c r="R28" s="248"/>
      <c r="S28" s="248"/>
      <c r="T28" s="245"/>
      <c r="U28" s="356"/>
      <c r="V28" s="358"/>
      <c r="W28" s="358"/>
      <c r="X28" s="358"/>
      <c r="Y28" s="358"/>
      <c r="Z28" s="358"/>
      <c r="AA28" s="358"/>
      <c r="AB28" s="359"/>
      <c r="AC28" s="245"/>
      <c r="AD28" s="358"/>
      <c r="AE28" s="358"/>
      <c r="AF28" s="358"/>
      <c r="AG28" s="248"/>
      <c r="AH28" s="358"/>
      <c r="AI28" s="248"/>
      <c r="AJ28" s="248"/>
      <c r="AK28" s="248"/>
      <c r="AL28" s="245"/>
      <c r="AM28" s="247"/>
      <c r="AN28" s="248"/>
      <c r="AO28" s="248"/>
      <c r="AP28" s="248"/>
      <c r="AQ28" s="248"/>
      <c r="AR28" s="248"/>
      <c r="AS28" s="248"/>
      <c r="AT28" s="248"/>
      <c r="AU28" s="245"/>
      <c r="AV28" s="249"/>
      <c r="AW28" s="249"/>
      <c r="AX28" s="251"/>
      <c r="AY28" s="248"/>
      <c r="AZ28" s="248"/>
      <c r="BA28" s="358"/>
      <c r="BB28" s="358"/>
      <c r="BC28" s="251"/>
      <c r="BD28" s="254"/>
      <c r="BE28" s="255"/>
      <c r="BF28" s="255"/>
      <c r="BG28" s="255"/>
      <c r="BH28" s="255"/>
      <c r="BI28" s="255"/>
      <c r="BJ28" s="255"/>
      <c r="BK28" s="255"/>
      <c r="BL28" s="255"/>
      <c r="BM28" s="257"/>
      <c r="BN28" s="15"/>
      <c r="BO28" s="15"/>
      <c r="BP28" s="15"/>
      <c r="BQ28" s="15"/>
      <c r="BR28" s="15"/>
      <c r="BS28" s="15"/>
    </row>
    <row r="29" ht="15.75" customHeight="1">
      <c r="A29" s="30" t="s">
        <v>552</v>
      </c>
      <c r="B29" s="40">
        <v>42623.0</v>
      </c>
      <c r="C29" s="122" t="s">
        <v>554</v>
      </c>
      <c r="D29" s="61"/>
      <c r="E29" s="61"/>
      <c r="F29" s="61"/>
      <c r="G29" s="61"/>
      <c r="H29" s="61"/>
      <c r="I29" s="61"/>
      <c r="J29" s="46"/>
      <c r="K29" s="108" t="s">
        <v>138</v>
      </c>
      <c r="L29" s="122" t="s">
        <v>556</v>
      </c>
      <c r="M29" s="61"/>
      <c r="N29" s="61"/>
      <c r="O29" s="61"/>
      <c r="P29" s="61"/>
      <c r="Q29" s="61"/>
      <c r="R29" s="61"/>
      <c r="S29" s="46"/>
      <c r="T29" s="108" t="s">
        <v>141</v>
      </c>
      <c r="U29" s="365" t="s">
        <v>562</v>
      </c>
      <c r="V29" s="46"/>
      <c r="W29" s="366"/>
      <c r="X29" s="367" t="s">
        <v>565</v>
      </c>
      <c r="Y29" s="367" t="s">
        <v>566</v>
      </c>
      <c r="Z29" s="369"/>
      <c r="AA29" s="369" t="s">
        <v>568</v>
      </c>
      <c r="AB29" s="369" t="s">
        <v>569</v>
      </c>
      <c r="AC29" s="43"/>
      <c r="AD29" s="373" t="s">
        <v>570</v>
      </c>
      <c r="AE29" s="373" t="s">
        <v>325</v>
      </c>
      <c r="AF29" s="375" t="s">
        <v>572</v>
      </c>
      <c r="AG29" s="376" t="s">
        <v>574</v>
      </c>
      <c r="AH29" s="377"/>
      <c r="AI29" s="157" t="s">
        <v>575</v>
      </c>
      <c r="AJ29" s="376" t="s">
        <v>576</v>
      </c>
      <c r="AK29" s="376" t="s">
        <v>577</v>
      </c>
      <c r="AL29" s="43"/>
      <c r="AU29" s="43"/>
      <c r="AV29" s="67" t="s">
        <v>579</v>
      </c>
      <c r="AW29" s="46"/>
      <c r="AX29" s="380"/>
      <c r="AZ29" s="61"/>
      <c r="BA29" s="61"/>
      <c r="BB29" s="382" t="s">
        <v>581</v>
      </c>
      <c r="BC29" s="260"/>
      <c r="BD29" s="72">
        <f t="shared" ref="BD29:BH29" si="39">countif($K29:$BC29,BD$2)</f>
        <v>1</v>
      </c>
      <c r="BE29" s="74">
        <f t="shared" si="39"/>
        <v>0</v>
      </c>
      <c r="BF29" s="74">
        <f t="shared" si="39"/>
        <v>1</v>
      </c>
      <c r="BG29" s="74">
        <f t="shared" si="39"/>
        <v>0</v>
      </c>
      <c r="BH29" s="74">
        <f t="shared" si="39"/>
        <v>0</v>
      </c>
      <c r="BI29" s="81">
        <f>countif($K29:$BC30,"*" &amp; BI$2 &amp; "*")</f>
        <v>0</v>
      </c>
      <c r="BJ29" s="81">
        <f t="shared" ref="BJ29:BK29" si="40">countif($K29:$BC30,"*" &amp; BJ$2 &amp; "*")/2</f>
        <v>1</v>
      </c>
      <c r="BK29" s="81">
        <f t="shared" si="40"/>
        <v>0</v>
      </c>
      <c r="BL29" s="81">
        <f>countif($K29:$BC30,"*" &amp; BL$2 &amp; "*")</f>
        <v>0</v>
      </c>
      <c r="BM29" s="92"/>
      <c r="BN29" s="15"/>
      <c r="BO29" s="15"/>
      <c r="BP29" s="15"/>
      <c r="BQ29" s="15"/>
      <c r="BR29" s="15"/>
      <c r="BS29" s="15"/>
    </row>
    <row r="30" ht="15.75" customHeight="1">
      <c r="A30" s="96"/>
      <c r="B30" s="97">
        <v>42654.0</v>
      </c>
      <c r="C30" s="85"/>
      <c r="D30" s="87"/>
      <c r="E30" s="87"/>
      <c r="F30" s="87"/>
      <c r="G30" s="87"/>
      <c r="H30" s="87"/>
      <c r="I30" s="87"/>
      <c r="J30" s="86"/>
      <c r="K30" s="65" t="s">
        <v>138</v>
      </c>
      <c r="L30" s="85"/>
      <c r="M30" s="87"/>
      <c r="N30" s="87"/>
      <c r="O30" s="87"/>
      <c r="P30" s="87"/>
      <c r="Q30" s="87"/>
      <c r="R30" s="87"/>
      <c r="S30" s="86"/>
      <c r="T30" s="65" t="s">
        <v>141</v>
      </c>
      <c r="U30" s="85"/>
      <c r="V30" s="86"/>
      <c r="W30" s="287"/>
      <c r="X30" s="112"/>
      <c r="Y30" s="112"/>
      <c r="Z30" s="64"/>
      <c r="AA30" s="112"/>
      <c r="AB30" s="112"/>
      <c r="AC30" s="43"/>
      <c r="AD30" s="112"/>
      <c r="AE30" s="112"/>
      <c r="AF30" s="112"/>
      <c r="AG30" s="112"/>
      <c r="AH30" s="112"/>
      <c r="AI30" s="96"/>
      <c r="AJ30" s="112"/>
      <c r="AK30" s="112"/>
      <c r="AL30" s="43"/>
      <c r="AU30" s="43"/>
      <c r="AV30" s="85"/>
      <c r="AW30" s="86"/>
      <c r="AX30" s="387"/>
      <c r="BB30" s="112"/>
      <c r="BC30" s="181"/>
      <c r="BD30" s="72">
        <f t="shared" ref="BD30:BH30" si="41">countif($K30:$BC30,BD$2)</f>
        <v>1</v>
      </c>
      <c r="BE30" s="74">
        <f t="shared" si="41"/>
        <v>0</v>
      </c>
      <c r="BF30" s="74">
        <f t="shared" si="41"/>
        <v>1</v>
      </c>
      <c r="BG30" s="74">
        <f t="shared" si="41"/>
        <v>0</v>
      </c>
      <c r="BH30" s="74">
        <f t="shared" si="41"/>
        <v>0</v>
      </c>
      <c r="BI30" s="112"/>
      <c r="BJ30" s="112"/>
      <c r="BK30" s="112"/>
      <c r="BL30" s="112"/>
      <c r="BM30" s="92"/>
      <c r="BN30" s="15"/>
      <c r="BO30" s="15"/>
      <c r="BP30" s="15"/>
      <c r="BQ30" s="15"/>
      <c r="BR30" s="15"/>
      <c r="BS30" s="15"/>
    </row>
    <row r="31" ht="19.5" customHeight="1">
      <c r="A31" s="96"/>
      <c r="B31" s="97">
        <v>42686.0</v>
      </c>
      <c r="C31" s="122" t="s">
        <v>597</v>
      </c>
      <c r="D31" s="61"/>
      <c r="E31" s="61"/>
      <c r="F31" s="61"/>
      <c r="G31" s="61"/>
      <c r="H31" s="61"/>
      <c r="I31" s="61"/>
      <c r="J31" s="46"/>
      <c r="K31" s="65" t="s">
        <v>138</v>
      </c>
      <c r="L31" s="102" t="s">
        <v>599</v>
      </c>
      <c r="S31" s="106"/>
      <c r="T31" s="65" t="s">
        <v>141</v>
      </c>
      <c r="U31" s="369" t="s">
        <v>600</v>
      </c>
      <c r="V31" s="64"/>
      <c r="W31" s="64"/>
      <c r="X31" s="64"/>
      <c r="Y31" s="369" t="s">
        <v>566</v>
      </c>
      <c r="Z31" s="64"/>
      <c r="AA31" s="369" t="s">
        <v>565</v>
      </c>
      <c r="AB31" s="365" t="s">
        <v>601</v>
      </c>
      <c r="AC31" s="394"/>
      <c r="AD31" s="373" t="s">
        <v>602</v>
      </c>
      <c r="AE31" s="375" t="s">
        <v>603</v>
      </c>
      <c r="AF31" s="376" t="s">
        <v>604</v>
      </c>
      <c r="AG31" s="287"/>
      <c r="AH31" s="373" t="s">
        <v>605</v>
      </c>
      <c r="AI31" s="396" t="s">
        <v>191</v>
      </c>
      <c r="AJ31" s="376" t="s">
        <v>607</v>
      </c>
      <c r="AK31" s="376" t="s">
        <v>608</v>
      </c>
      <c r="AL31" s="43"/>
      <c r="AM31" s="15"/>
      <c r="AN31" s="15"/>
      <c r="AO31" s="15"/>
      <c r="AP31" s="15"/>
      <c r="AQ31" s="15"/>
      <c r="AR31" s="15"/>
      <c r="AS31" s="15"/>
      <c r="AT31" s="15"/>
      <c r="AU31" s="43"/>
      <c r="AV31" s="122" t="s">
        <v>609</v>
      </c>
      <c r="AW31" s="46"/>
      <c r="AX31" s="181" t="s">
        <v>413</v>
      </c>
      <c r="AY31" s="122" t="s">
        <v>610</v>
      </c>
      <c r="AZ31" s="61"/>
      <c r="BA31" s="61"/>
      <c r="BB31" s="46"/>
      <c r="BC31" s="171" t="s">
        <v>140</v>
      </c>
      <c r="BD31" s="72">
        <f t="shared" ref="BD31:BH31" si="42">countif($K31:$BC31,BD$2)</f>
        <v>1</v>
      </c>
      <c r="BE31" s="74">
        <f t="shared" si="42"/>
        <v>1</v>
      </c>
      <c r="BF31" s="74">
        <f t="shared" si="42"/>
        <v>1</v>
      </c>
      <c r="BG31" s="74">
        <f t="shared" si="42"/>
        <v>0</v>
      </c>
      <c r="BH31" s="74">
        <f t="shared" si="42"/>
        <v>0</v>
      </c>
      <c r="BI31" s="81">
        <f>countif($K31:$BC32,"*" &amp; BI$2 &amp; "*")</f>
        <v>0</v>
      </c>
      <c r="BJ31" s="81">
        <f t="shared" ref="BJ31:BK31" si="43">countif($K31:$BC32,"*" &amp; BJ$2 &amp; "*")/2</f>
        <v>1</v>
      </c>
      <c r="BK31" s="81">
        <f t="shared" si="43"/>
        <v>0</v>
      </c>
      <c r="BL31" s="81">
        <f>countif($K31:$BC32,"*" &amp; BL$2 &amp; "*")</f>
        <v>0</v>
      </c>
      <c r="BM31" s="92"/>
      <c r="BN31" s="15"/>
      <c r="BO31" s="15"/>
      <c r="BP31" s="15"/>
      <c r="BQ31" s="15"/>
      <c r="BR31" s="15"/>
      <c r="BS31" s="15"/>
    </row>
    <row r="32" ht="21.0" customHeight="1">
      <c r="A32" s="96"/>
      <c r="B32" s="97">
        <v>42717.0</v>
      </c>
      <c r="C32" s="85"/>
      <c r="D32" s="87"/>
      <c r="E32" s="87"/>
      <c r="F32" s="87"/>
      <c r="G32" s="87"/>
      <c r="H32" s="87"/>
      <c r="I32" s="87"/>
      <c r="J32" s="86"/>
      <c r="K32" s="65" t="s">
        <v>138</v>
      </c>
      <c r="L32" s="85"/>
      <c r="M32" s="87"/>
      <c r="N32" s="87"/>
      <c r="O32" s="87"/>
      <c r="P32" s="87"/>
      <c r="Q32" s="87"/>
      <c r="R32" s="87"/>
      <c r="S32" s="86"/>
      <c r="T32" s="65" t="s">
        <v>141</v>
      </c>
      <c r="U32" s="112"/>
      <c r="V32" s="64"/>
      <c r="W32" s="64"/>
      <c r="X32" s="64"/>
      <c r="Y32" s="112"/>
      <c r="Z32" s="398"/>
      <c r="AA32" s="112"/>
      <c r="AB32" s="85"/>
      <c r="AC32" s="394"/>
      <c r="AD32" s="112"/>
      <c r="AE32" s="112"/>
      <c r="AF32" s="112"/>
      <c r="AG32" s="287"/>
      <c r="AH32" s="112"/>
      <c r="AI32" s="96"/>
      <c r="AJ32" s="112"/>
      <c r="AK32" s="112"/>
      <c r="AL32" s="43"/>
      <c r="AM32" s="15"/>
      <c r="AN32" s="15"/>
      <c r="AO32" s="15"/>
      <c r="AP32" s="15"/>
      <c r="AQ32" s="15"/>
      <c r="AR32" s="15"/>
      <c r="AS32" s="15"/>
      <c r="AT32" s="15"/>
      <c r="AU32" s="43"/>
      <c r="AV32" s="85"/>
      <c r="AW32" s="86"/>
      <c r="AX32" s="181" t="s">
        <v>413</v>
      </c>
      <c r="AY32" s="85"/>
      <c r="AZ32" s="87"/>
      <c r="BA32" s="87"/>
      <c r="BB32" s="86"/>
      <c r="BC32" s="171" t="s">
        <v>140</v>
      </c>
      <c r="BD32" s="72">
        <f t="shared" ref="BD32:BH32" si="44">countif($K32:$BC32,BD$2)</f>
        <v>1</v>
      </c>
      <c r="BE32" s="74">
        <f t="shared" si="44"/>
        <v>1</v>
      </c>
      <c r="BF32" s="74">
        <f t="shared" si="44"/>
        <v>1</v>
      </c>
      <c r="BG32" s="74">
        <f t="shared" si="44"/>
        <v>0</v>
      </c>
      <c r="BH32" s="74">
        <f t="shared" si="44"/>
        <v>0</v>
      </c>
      <c r="BI32" s="112"/>
      <c r="BJ32" s="112"/>
      <c r="BK32" s="112"/>
      <c r="BL32" s="112"/>
      <c r="BM32" s="92"/>
      <c r="BN32" s="15"/>
      <c r="BO32" s="15"/>
      <c r="BP32" s="15"/>
      <c r="BQ32" s="15"/>
      <c r="BR32" s="15"/>
      <c r="BS32" s="15"/>
    </row>
    <row r="33" ht="15.75" customHeight="1">
      <c r="A33" s="96"/>
      <c r="B33" s="151" t="s">
        <v>310</v>
      </c>
      <c r="E33" s="161" t="s">
        <v>615</v>
      </c>
      <c r="F33" s="46"/>
      <c r="G33" s="89" t="s">
        <v>616</v>
      </c>
      <c r="H33" s="46"/>
      <c r="K33" s="43"/>
      <c r="L33" s="102" t="s">
        <v>617</v>
      </c>
      <c r="S33" s="106"/>
      <c r="T33" s="65" t="s">
        <v>141</v>
      </c>
      <c r="U33" s="382" t="s">
        <v>618</v>
      </c>
      <c r="V33" s="403" t="s">
        <v>619</v>
      </c>
      <c r="W33" s="396" t="s">
        <v>621</v>
      </c>
      <c r="X33" s="396" t="s">
        <v>622</v>
      </c>
      <c r="Y33" s="404" t="s">
        <v>623</v>
      </c>
      <c r="Z33" s="365" t="s">
        <v>624</v>
      </c>
      <c r="AA33" s="382" t="s">
        <v>626</v>
      </c>
      <c r="AB33" s="287"/>
      <c r="AC33" s="43"/>
      <c r="AD33" s="382" t="s">
        <v>627</v>
      </c>
      <c r="AF33" s="287"/>
      <c r="AG33" s="396" t="s">
        <v>629</v>
      </c>
      <c r="AH33" s="407" t="s">
        <v>630</v>
      </c>
      <c r="AI33" s="373" t="s">
        <v>631</v>
      </c>
      <c r="AJ33" s="287"/>
      <c r="AK33" s="157" t="s">
        <v>633</v>
      </c>
      <c r="AL33" s="43"/>
      <c r="AM33" s="122" t="s">
        <v>634</v>
      </c>
      <c r="AN33" s="61"/>
      <c r="AO33" s="61"/>
      <c r="AP33" s="61"/>
      <c r="AQ33" s="61"/>
      <c r="AR33" s="61"/>
      <c r="AS33" s="61"/>
      <c r="AT33" s="46"/>
      <c r="AU33" s="65" t="s">
        <v>138</v>
      </c>
      <c r="AV33" s="122" t="s">
        <v>635</v>
      </c>
      <c r="AW33" s="46"/>
      <c r="AX33" s="117" t="s">
        <v>413</v>
      </c>
      <c r="AY33" s="102" t="s">
        <v>636</v>
      </c>
      <c r="BB33" s="106"/>
      <c r="BC33" s="171" t="s">
        <v>140</v>
      </c>
      <c r="BD33" s="72">
        <f t="shared" ref="BD33:BH33" si="45">countif($D33:$BC33,BD$2)</f>
        <v>1</v>
      </c>
      <c r="BE33" s="74">
        <f t="shared" si="45"/>
        <v>1</v>
      </c>
      <c r="BF33" s="74">
        <f t="shared" si="45"/>
        <v>1</v>
      </c>
      <c r="BG33" s="74">
        <f t="shared" si="45"/>
        <v>0</v>
      </c>
      <c r="BH33" s="74">
        <f t="shared" si="45"/>
        <v>0</v>
      </c>
      <c r="BI33" s="81">
        <f>countif($D33:$BC34,"*" &amp; BI$2 &amp; "*")</f>
        <v>0</v>
      </c>
      <c r="BJ33" s="81">
        <f t="shared" ref="BJ33:BK33" si="46">countif($D33:$BC34,"*" &amp; BJ$2 &amp; "*")/2</f>
        <v>0</v>
      </c>
      <c r="BK33" s="81">
        <f t="shared" si="46"/>
        <v>0</v>
      </c>
      <c r="BL33" s="81">
        <f>countif($D33:$BC34,"*" &amp; BL$2 &amp; "*")</f>
        <v>0</v>
      </c>
      <c r="BM33" s="92"/>
      <c r="BN33" s="15"/>
      <c r="BO33" s="15"/>
      <c r="BP33" s="15"/>
      <c r="BQ33" s="15"/>
      <c r="BR33" s="15"/>
      <c r="BS33" s="15"/>
    </row>
    <row r="34" ht="17.25" customHeight="1">
      <c r="A34" s="96"/>
      <c r="B34" s="151" t="s">
        <v>341</v>
      </c>
      <c r="E34" s="85"/>
      <c r="F34" s="86"/>
      <c r="G34" s="85"/>
      <c r="H34" s="86"/>
      <c r="K34" s="43"/>
      <c r="L34" s="85"/>
      <c r="M34" s="87"/>
      <c r="N34" s="87"/>
      <c r="O34" s="87"/>
      <c r="P34" s="87"/>
      <c r="Q34" s="87"/>
      <c r="R34" s="87"/>
      <c r="S34" s="86"/>
      <c r="T34" s="65" t="s">
        <v>141</v>
      </c>
      <c r="U34" s="96"/>
      <c r="V34" s="112"/>
      <c r="W34" s="112"/>
      <c r="X34" s="96"/>
      <c r="Y34" s="85"/>
      <c r="Z34" s="85"/>
      <c r="AA34" s="96"/>
      <c r="AB34" s="287"/>
      <c r="AC34" s="43"/>
      <c r="AD34" s="112"/>
      <c r="AF34" s="287"/>
      <c r="AG34" s="96"/>
      <c r="AH34" s="85"/>
      <c r="AI34" s="96"/>
      <c r="AJ34" s="287"/>
      <c r="AK34" s="96"/>
      <c r="AL34" s="43"/>
      <c r="AM34" s="85"/>
      <c r="AN34" s="87"/>
      <c r="AO34" s="87"/>
      <c r="AP34" s="87"/>
      <c r="AQ34" s="87"/>
      <c r="AR34" s="87"/>
      <c r="AS34" s="87"/>
      <c r="AT34" s="86"/>
      <c r="AU34" s="65" t="s">
        <v>138</v>
      </c>
      <c r="AV34" s="85"/>
      <c r="AW34" s="86"/>
      <c r="AX34" s="181" t="s">
        <v>413</v>
      </c>
      <c r="AY34" s="85"/>
      <c r="AZ34" s="87"/>
      <c r="BA34" s="87"/>
      <c r="BB34" s="86"/>
      <c r="BC34" s="171" t="s">
        <v>140</v>
      </c>
      <c r="BD34" s="72">
        <f t="shared" ref="BD34:BH34" si="47">countif($D34:$BC34,BD$2)</f>
        <v>1</v>
      </c>
      <c r="BE34" s="74">
        <f t="shared" si="47"/>
        <v>1</v>
      </c>
      <c r="BF34" s="74">
        <f t="shared" si="47"/>
        <v>1</v>
      </c>
      <c r="BG34" s="74">
        <f t="shared" si="47"/>
        <v>0</v>
      </c>
      <c r="BH34" s="74">
        <f t="shared" si="47"/>
        <v>0</v>
      </c>
      <c r="BI34" s="112"/>
      <c r="BJ34" s="112"/>
      <c r="BK34" s="112"/>
      <c r="BL34" s="112"/>
      <c r="BM34" s="92"/>
      <c r="BN34" s="15"/>
      <c r="BO34" s="15"/>
      <c r="BP34" s="15"/>
      <c r="BQ34" s="15"/>
      <c r="BR34" s="15"/>
      <c r="BS34" s="15"/>
    </row>
    <row r="35">
      <c r="A35" s="96"/>
      <c r="B35" s="151" t="s">
        <v>342</v>
      </c>
      <c r="K35" s="43"/>
      <c r="L35" s="246"/>
      <c r="M35" s="15"/>
      <c r="N35" s="15"/>
      <c r="O35" s="15"/>
      <c r="P35" s="15"/>
      <c r="Q35" s="15"/>
      <c r="R35" s="15"/>
      <c r="S35" s="15"/>
      <c r="T35" s="43"/>
      <c r="U35" s="96"/>
      <c r="V35" s="367" t="s">
        <v>623</v>
      </c>
      <c r="W35" s="414" t="s">
        <v>652</v>
      </c>
      <c r="X35" s="157" t="s">
        <v>653</v>
      </c>
      <c r="Y35" s="415" t="s">
        <v>655</v>
      </c>
      <c r="Z35" s="369" t="s">
        <v>656</v>
      </c>
      <c r="AA35" s="96"/>
      <c r="AB35" s="416"/>
      <c r="AC35" s="43"/>
      <c r="AD35" s="287"/>
      <c r="AE35" s="287"/>
      <c r="AF35" s="287"/>
      <c r="AG35" s="96"/>
      <c r="AH35" s="287"/>
      <c r="AI35" s="96"/>
      <c r="AJ35" s="287"/>
      <c r="AK35" s="96"/>
      <c r="AL35" s="43"/>
      <c r="AM35" s="122" t="s">
        <v>657</v>
      </c>
      <c r="AN35" s="61"/>
      <c r="AO35" s="61"/>
      <c r="AP35" s="61"/>
      <c r="AQ35" s="61"/>
      <c r="AR35" s="61"/>
      <c r="AS35" s="61"/>
      <c r="AT35" s="46"/>
      <c r="AU35" s="117" t="s">
        <v>140</v>
      </c>
      <c r="AV35" s="306" t="s">
        <v>659</v>
      </c>
      <c r="AW35" s="46"/>
      <c r="AX35" s="57"/>
      <c r="AY35" s="417" t="s">
        <v>660</v>
      </c>
      <c r="AZ35" s="61"/>
      <c r="BA35" s="311" t="s">
        <v>661</v>
      </c>
      <c r="BB35" s="311" t="s">
        <v>662</v>
      </c>
      <c r="BC35" s="57"/>
      <c r="BD35" s="72">
        <f t="shared" ref="BD35:BG35" si="48">countif($K35:$BC35,BD$2)</f>
        <v>0</v>
      </c>
      <c r="BE35" s="74">
        <f t="shared" si="48"/>
        <v>1</v>
      </c>
      <c r="BF35" s="74">
        <f t="shared" si="48"/>
        <v>0</v>
      </c>
      <c r="BG35" s="74">
        <f t="shared" si="48"/>
        <v>0</v>
      </c>
      <c r="BH35" s="74">
        <f t="shared" ref="BH35:BH36" si="51">countif($D35:$BC35,BH$2)</f>
        <v>0</v>
      </c>
      <c r="BI35" s="81">
        <f>countif($K35:$BC36,"*" &amp; BI$2 &amp; "*")</f>
        <v>0</v>
      </c>
      <c r="BJ35" s="81">
        <f t="shared" ref="BJ35:BK35" si="49">countif($K35:$BC36,"*" &amp; BJ$2 &amp; "*")/2</f>
        <v>0</v>
      </c>
      <c r="BK35" s="81">
        <f t="shared" si="49"/>
        <v>0</v>
      </c>
      <c r="BL35" s="81">
        <f>countif($K35:$BC36,"*" &amp; BL$2 &amp; "*")</f>
        <v>0</v>
      </c>
      <c r="BM35" s="92"/>
      <c r="BN35" s="15"/>
      <c r="BO35" s="15"/>
      <c r="BP35" s="15"/>
      <c r="BQ35" s="15"/>
      <c r="BR35" s="15"/>
      <c r="BS35" s="15"/>
    </row>
    <row r="36">
      <c r="A36" s="96"/>
      <c r="B36" s="151" t="s">
        <v>369</v>
      </c>
      <c r="K36" s="43"/>
      <c r="L36" s="246"/>
      <c r="M36" s="15"/>
      <c r="N36" s="15"/>
      <c r="O36" s="15"/>
      <c r="P36" s="15"/>
      <c r="Q36" s="15"/>
      <c r="R36" s="15"/>
      <c r="S36" s="15"/>
      <c r="T36" s="43"/>
      <c r="U36" s="112"/>
      <c r="V36" s="112"/>
      <c r="W36" s="414" t="s">
        <v>669</v>
      </c>
      <c r="X36" s="414" t="s">
        <v>670</v>
      </c>
      <c r="Y36" s="112"/>
      <c r="Z36" s="112"/>
      <c r="AA36" s="112"/>
      <c r="AB36" s="416"/>
      <c r="AC36" s="43"/>
      <c r="AD36" s="287"/>
      <c r="AE36" s="287"/>
      <c r="AF36" s="287"/>
      <c r="AG36" s="112"/>
      <c r="AH36" s="287"/>
      <c r="AI36" s="112"/>
      <c r="AJ36" s="287"/>
      <c r="AK36" s="112"/>
      <c r="AL36" s="43"/>
      <c r="AM36" s="85"/>
      <c r="AN36" s="87"/>
      <c r="AO36" s="87"/>
      <c r="AP36" s="87"/>
      <c r="AQ36" s="87"/>
      <c r="AR36" s="87"/>
      <c r="AS36" s="87"/>
      <c r="AT36" s="86"/>
      <c r="AU36" s="117" t="s">
        <v>140</v>
      </c>
      <c r="AV36" s="142"/>
      <c r="AW36" s="106"/>
      <c r="AX36" s="57"/>
      <c r="AY36" s="85"/>
      <c r="AZ36" s="87"/>
      <c r="BA36" s="112"/>
      <c r="BB36" s="112"/>
      <c r="BC36" s="43"/>
      <c r="BD36" s="72">
        <f t="shared" ref="BD36:BG36" si="50">countif($K36:$BC36,BD$2)</f>
        <v>0</v>
      </c>
      <c r="BE36" s="74">
        <f t="shared" si="50"/>
        <v>1</v>
      </c>
      <c r="BF36" s="74">
        <f t="shared" si="50"/>
        <v>0</v>
      </c>
      <c r="BG36" s="74">
        <f t="shared" si="50"/>
        <v>0</v>
      </c>
      <c r="BH36" s="74">
        <f t="shared" si="51"/>
        <v>0</v>
      </c>
      <c r="BI36" s="112"/>
      <c r="BJ36" s="112"/>
      <c r="BK36" s="112"/>
      <c r="BL36" s="112"/>
      <c r="BM36" s="92"/>
      <c r="BN36" s="15"/>
      <c r="BO36" s="15"/>
      <c r="BP36" s="15"/>
      <c r="BQ36" s="15"/>
      <c r="BR36" s="15"/>
      <c r="BS36" s="15"/>
    </row>
    <row r="37" ht="17.25" customHeight="1">
      <c r="A37" s="96"/>
      <c r="B37" s="151" t="s">
        <v>375</v>
      </c>
      <c r="K37" s="43"/>
      <c r="L37" s="246"/>
      <c r="M37" s="15"/>
      <c r="N37" s="15"/>
      <c r="O37" s="15"/>
      <c r="P37" s="15"/>
      <c r="Q37" s="15"/>
      <c r="R37" s="15"/>
      <c r="S37" s="15"/>
      <c r="T37" s="43"/>
      <c r="U37" s="382" t="s">
        <v>671</v>
      </c>
      <c r="V37" s="287"/>
      <c r="W37" s="382" t="s">
        <v>672</v>
      </c>
      <c r="X37" s="427" t="s">
        <v>673</v>
      </c>
      <c r="Y37" s="396" t="s">
        <v>381</v>
      </c>
      <c r="Z37" s="334" t="s">
        <v>487</v>
      </c>
      <c r="AA37" s="403" t="s">
        <v>674</v>
      </c>
      <c r="AB37" s="287"/>
      <c r="AC37" s="43"/>
      <c r="AD37" s="287"/>
      <c r="AE37" s="287"/>
      <c r="AF37" s="287"/>
      <c r="AG37" s="287"/>
      <c r="AH37" s="287"/>
      <c r="AI37" s="287"/>
      <c r="AJ37" s="287"/>
      <c r="AK37" s="287"/>
      <c r="AL37" s="237"/>
      <c r="AM37" s="102" t="s">
        <v>676</v>
      </c>
      <c r="AT37" s="106"/>
      <c r="AU37" s="117" t="s">
        <v>140</v>
      </c>
      <c r="AV37" s="85"/>
      <c r="AW37" s="86"/>
      <c r="AX37" s="43"/>
      <c r="AY37" s="429"/>
      <c r="AZ37" s="429"/>
      <c r="BA37" s="316"/>
      <c r="BB37" s="316"/>
      <c r="BC37" s="43"/>
      <c r="BD37" s="72">
        <f t="shared" ref="BD37:BH37" si="52">countif($D37:$BC37,BD$2)</f>
        <v>0</v>
      </c>
      <c r="BE37" s="74">
        <f t="shared" si="52"/>
        <v>1</v>
      </c>
      <c r="BF37" s="74">
        <f t="shared" si="52"/>
        <v>0</v>
      </c>
      <c r="BG37" s="74">
        <f t="shared" si="52"/>
        <v>0</v>
      </c>
      <c r="BH37" s="74">
        <f t="shared" si="52"/>
        <v>0</v>
      </c>
      <c r="BI37" s="81">
        <f>countif($D37:$BC38,"*" &amp; BI$2 &amp; "*")</f>
        <v>0</v>
      </c>
      <c r="BJ37" s="81">
        <f t="shared" ref="BJ37:BK37" si="53">countif($D37:$BC38,"*" &amp; BJ$2 &amp; "*")/2</f>
        <v>0</v>
      </c>
      <c r="BK37" s="81">
        <f t="shared" si="53"/>
        <v>0</v>
      </c>
      <c r="BL37" s="81">
        <f>countif($D37:$BC38,"*" &amp; BL$2 &amp; "*")</f>
        <v>0</v>
      </c>
      <c r="BM37" s="92"/>
      <c r="BN37" s="15"/>
      <c r="BO37" s="15"/>
      <c r="BP37" s="15"/>
      <c r="BQ37" s="15"/>
      <c r="BR37" s="15"/>
      <c r="BS37" s="15"/>
    </row>
    <row r="38" ht="15.75" customHeight="1">
      <c r="A38" s="96"/>
      <c r="B38" s="151" t="s">
        <v>392</v>
      </c>
      <c r="K38" s="43"/>
      <c r="L38" s="246"/>
      <c r="M38" s="15"/>
      <c r="N38" s="15"/>
      <c r="O38" s="15"/>
      <c r="P38" s="15"/>
      <c r="Q38" s="15"/>
      <c r="R38" s="15"/>
      <c r="S38" s="15"/>
      <c r="T38" s="43"/>
      <c r="U38" s="112"/>
      <c r="V38" s="287"/>
      <c r="W38" s="112"/>
      <c r="X38" s="85"/>
      <c r="Y38" s="96"/>
      <c r="Z38" s="96"/>
      <c r="AA38" s="112"/>
      <c r="AB38" s="287"/>
      <c r="AC38" s="43"/>
      <c r="AD38" s="287"/>
      <c r="AE38" s="287"/>
      <c r="AF38" s="287"/>
      <c r="AG38" s="287"/>
      <c r="AH38" s="287"/>
      <c r="AI38" s="287"/>
      <c r="AJ38" s="287"/>
      <c r="AK38" s="287"/>
      <c r="AL38" s="237"/>
      <c r="AM38" s="85"/>
      <c r="AN38" s="87"/>
      <c r="AO38" s="87"/>
      <c r="AP38" s="87"/>
      <c r="AQ38" s="87"/>
      <c r="AR38" s="87"/>
      <c r="AS38" s="87"/>
      <c r="AT38" s="86"/>
      <c r="AU38" s="117" t="s">
        <v>140</v>
      </c>
      <c r="AV38" s="15"/>
      <c r="AW38" s="15"/>
      <c r="AX38" s="43"/>
      <c r="AY38" s="429"/>
      <c r="AZ38" s="15"/>
      <c r="BA38" s="15"/>
      <c r="BB38" s="15"/>
      <c r="BC38" s="43"/>
      <c r="BD38" s="72">
        <f t="shared" ref="BD38:BH38" si="54">countif($D38:$BC38,BD$2)</f>
        <v>0</v>
      </c>
      <c r="BE38" s="74">
        <f t="shared" si="54"/>
        <v>1</v>
      </c>
      <c r="BF38" s="74">
        <f t="shared" si="54"/>
        <v>0</v>
      </c>
      <c r="BG38" s="74">
        <f t="shared" si="54"/>
        <v>0</v>
      </c>
      <c r="BH38" s="74">
        <f t="shared" si="54"/>
        <v>0</v>
      </c>
      <c r="BI38" s="112"/>
      <c r="BJ38" s="112"/>
      <c r="BK38" s="112"/>
      <c r="BL38" s="112"/>
      <c r="BM38" s="92"/>
      <c r="BN38" s="15"/>
      <c r="BO38" s="15"/>
      <c r="BP38" s="15"/>
      <c r="BQ38" s="15"/>
      <c r="BR38" s="15"/>
      <c r="BS38" s="15"/>
    </row>
    <row r="39" ht="15.75" customHeight="1">
      <c r="A39" s="96"/>
      <c r="B39" s="151" t="s">
        <v>398</v>
      </c>
      <c r="C39" s="15"/>
      <c r="D39" s="15"/>
      <c r="E39" s="15"/>
      <c r="F39" s="15"/>
      <c r="G39" s="15"/>
      <c r="H39" s="15"/>
      <c r="I39" s="15"/>
      <c r="J39" s="15"/>
      <c r="K39" s="43"/>
      <c r="L39" s="246"/>
      <c r="M39" s="15"/>
      <c r="N39" s="15"/>
      <c r="O39" s="15"/>
      <c r="P39" s="15"/>
      <c r="Q39" s="15"/>
      <c r="R39" s="15"/>
      <c r="S39" s="15"/>
      <c r="T39" s="43"/>
      <c r="U39" s="287"/>
      <c r="W39" s="287"/>
      <c r="X39" s="432"/>
      <c r="Y39" s="112"/>
      <c r="Z39" s="112"/>
      <c r="AA39" s="287"/>
      <c r="AB39" s="287"/>
      <c r="AC39" s="43"/>
      <c r="AD39" s="287"/>
      <c r="AE39" s="287"/>
      <c r="AF39" s="287"/>
      <c r="AG39" s="287"/>
      <c r="AH39" s="287"/>
      <c r="AI39" s="433"/>
      <c r="AL39" s="237"/>
      <c r="AM39" s="15"/>
      <c r="AN39" s="15"/>
      <c r="AO39" s="15"/>
      <c r="AP39" s="15"/>
      <c r="AQ39" s="15"/>
      <c r="AR39" s="15"/>
      <c r="AS39" s="15"/>
      <c r="AT39" s="127"/>
      <c r="AU39" s="117"/>
      <c r="AV39" s="221"/>
      <c r="AW39" s="221"/>
      <c r="AX39" s="43"/>
      <c r="AY39" s="221"/>
      <c r="AZ39" s="221"/>
      <c r="BA39" s="429"/>
      <c r="BB39" s="429"/>
      <c r="BC39" s="43"/>
      <c r="BD39" s="72">
        <f t="shared" ref="BD39:BH39" si="55">countif($D39:$BC39,BD$2)</f>
        <v>0</v>
      </c>
      <c r="BE39" s="74">
        <f t="shared" si="55"/>
        <v>0</v>
      </c>
      <c r="BF39" s="74">
        <f t="shared" si="55"/>
        <v>0</v>
      </c>
      <c r="BG39" s="74">
        <f t="shared" si="55"/>
        <v>0</v>
      </c>
      <c r="BH39" s="74">
        <f t="shared" si="55"/>
        <v>0</v>
      </c>
      <c r="BI39" s="81">
        <f>countif($D39:$BC40,"*" &amp; BI$2 &amp; "*")</f>
        <v>0</v>
      </c>
      <c r="BJ39" s="81">
        <f t="shared" ref="BJ39:BK39" si="56">countif($D39:$BC40,"*" &amp; BJ$2 &amp; "*")/2</f>
        <v>0</v>
      </c>
      <c r="BK39" s="81">
        <f t="shared" si="56"/>
        <v>0</v>
      </c>
      <c r="BL39" s="81">
        <f>countif($D39:$BC40,"*" &amp; BL$2 &amp; "*")</f>
        <v>0</v>
      </c>
      <c r="BM39" s="92"/>
      <c r="BN39" s="15"/>
      <c r="BO39" s="15"/>
      <c r="BP39" s="15"/>
      <c r="BQ39" s="15"/>
      <c r="BR39" s="15"/>
      <c r="BS39" s="15"/>
    </row>
    <row r="40" ht="23.25" customHeight="1">
      <c r="A40" s="112"/>
      <c r="B40" s="151" t="s">
        <v>408</v>
      </c>
      <c r="C40" s="15"/>
      <c r="D40" s="15"/>
      <c r="E40" s="15"/>
      <c r="F40" s="15"/>
      <c r="G40" s="15"/>
      <c r="H40" s="15"/>
      <c r="I40" s="15"/>
      <c r="J40" s="15"/>
      <c r="K40" s="43"/>
      <c r="L40" s="246"/>
      <c r="M40" s="15"/>
      <c r="N40" s="15"/>
      <c r="O40" s="15"/>
      <c r="P40" s="15"/>
      <c r="Q40" s="15"/>
      <c r="R40" s="15"/>
      <c r="S40" s="15"/>
      <c r="T40" s="43"/>
      <c r="U40" s="348"/>
      <c r="W40" s="348"/>
      <c r="X40" s="348"/>
      <c r="Y40" s="348"/>
      <c r="Z40" s="348"/>
      <c r="AA40" s="348"/>
      <c r="AB40" s="348"/>
      <c r="AC40" s="43"/>
      <c r="AD40" s="287"/>
      <c r="AE40" s="287"/>
      <c r="AF40" s="287"/>
      <c r="AG40" s="287"/>
      <c r="AH40" s="438"/>
      <c r="AI40" s="439"/>
      <c r="AJ40" s="87"/>
      <c r="AK40" s="87"/>
      <c r="AL40" s="237"/>
      <c r="AM40" s="15"/>
      <c r="AN40" s="15"/>
      <c r="AO40" s="15"/>
      <c r="AP40" s="15"/>
      <c r="AQ40" s="15"/>
      <c r="AR40" s="15"/>
      <c r="AS40" s="15"/>
      <c r="AT40" s="127"/>
      <c r="AU40" s="117"/>
      <c r="AV40" s="15"/>
      <c r="AW40" s="15"/>
      <c r="AX40" s="43"/>
      <c r="AY40" s="15"/>
      <c r="AZ40" s="15"/>
      <c r="BA40" s="441"/>
      <c r="BB40" s="441"/>
      <c r="BC40" s="43"/>
      <c r="BD40" s="72">
        <f t="shared" ref="BD40:BH40" si="57">countif($D40:$BC40,BD$2)</f>
        <v>0</v>
      </c>
      <c r="BE40" s="74">
        <f t="shared" si="57"/>
        <v>0</v>
      </c>
      <c r="BF40" s="74">
        <f t="shared" si="57"/>
        <v>0</v>
      </c>
      <c r="BG40" s="74">
        <f t="shared" si="57"/>
        <v>0</v>
      </c>
      <c r="BH40" s="74">
        <f t="shared" si="57"/>
        <v>0</v>
      </c>
      <c r="BI40" s="112"/>
      <c r="BJ40" s="112"/>
      <c r="BK40" s="112"/>
      <c r="BL40" s="112"/>
      <c r="BM40" s="92"/>
      <c r="BN40" s="15"/>
      <c r="BO40" s="15"/>
      <c r="BP40" s="15"/>
      <c r="BQ40" s="15"/>
      <c r="BR40" s="15"/>
      <c r="BS40" s="15"/>
    </row>
    <row r="41" ht="1.5" customHeight="1">
      <c r="A41" s="6"/>
      <c r="B41" s="6"/>
      <c r="C41" s="358"/>
      <c r="D41" s="358"/>
      <c r="E41" s="358"/>
      <c r="F41" s="358"/>
      <c r="G41" s="248"/>
      <c r="H41" s="248"/>
      <c r="I41" s="248"/>
      <c r="J41" s="248"/>
      <c r="K41" s="245"/>
      <c r="L41" s="247"/>
      <c r="M41" s="248"/>
      <c r="N41" s="248"/>
      <c r="O41" s="248"/>
      <c r="P41" s="248"/>
      <c r="Q41" s="248"/>
      <c r="R41" s="248"/>
      <c r="S41" s="248"/>
      <c r="T41" s="245"/>
      <c r="U41" s="247"/>
      <c r="V41" s="249"/>
      <c r="W41" s="249"/>
      <c r="X41" s="249"/>
      <c r="Y41" s="249"/>
      <c r="Z41" s="249"/>
      <c r="AA41" s="248"/>
      <c r="AB41" s="444"/>
      <c r="AC41" s="245"/>
      <c r="AD41" s="249"/>
      <c r="AE41" s="248"/>
      <c r="AF41" s="248"/>
      <c r="AG41" s="248"/>
      <c r="AH41" s="249"/>
      <c r="AI41" s="249"/>
      <c r="AJ41" s="249"/>
      <c r="AK41" s="249"/>
      <c r="AL41" s="245"/>
      <c r="AM41" s="247"/>
      <c r="AN41" s="248"/>
      <c r="AO41" s="248"/>
      <c r="AP41" s="248"/>
      <c r="AQ41" s="248"/>
      <c r="AR41" s="248"/>
      <c r="AS41" s="248"/>
      <c r="AT41" s="248"/>
      <c r="AU41" s="445"/>
      <c r="AV41" s="248"/>
      <c r="AW41" s="248"/>
      <c r="AX41" s="245"/>
      <c r="AY41" s="248"/>
      <c r="AZ41" s="248"/>
      <c r="BA41" s="249"/>
      <c r="BB41" s="249"/>
      <c r="BC41" s="245"/>
      <c r="BD41" s="254"/>
      <c r="BE41" s="255"/>
      <c r="BF41" s="255"/>
      <c r="BG41" s="255"/>
      <c r="BH41" s="255"/>
      <c r="BI41" s="255"/>
      <c r="BJ41" s="255"/>
      <c r="BK41" s="255"/>
      <c r="BL41" s="255"/>
      <c r="BM41" s="257"/>
      <c r="BN41" s="15"/>
      <c r="BO41" s="15"/>
      <c r="BP41" s="15"/>
      <c r="BQ41" s="15"/>
      <c r="BR41" s="15"/>
      <c r="BS41" s="15"/>
    </row>
    <row r="42" ht="19.5" customHeight="1">
      <c r="A42" s="30" t="s">
        <v>704</v>
      </c>
      <c r="B42" s="40">
        <v>42623.0</v>
      </c>
      <c r="C42" s="446" t="s">
        <v>705</v>
      </c>
      <c r="D42" s="446" t="s">
        <v>706</v>
      </c>
      <c r="E42" s="99" t="s">
        <v>707</v>
      </c>
      <c r="F42" s="99" t="s">
        <v>708</v>
      </c>
      <c r="G42" s="446" t="s">
        <v>709</v>
      </c>
      <c r="H42" s="446" t="s">
        <v>710</v>
      </c>
      <c r="I42" s="446" t="s">
        <v>709</v>
      </c>
      <c r="J42" s="446" t="s">
        <v>710</v>
      </c>
      <c r="K42" s="43"/>
      <c r="L42" s="262" t="s">
        <v>497</v>
      </c>
      <c r="M42" s="263" t="s">
        <v>498</v>
      </c>
      <c r="N42" s="287"/>
      <c r="O42" s="287"/>
      <c r="P42" s="287"/>
      <c r="Q42" s="287"/>
      <c r="R42" s="68"/>
      <c r="S42" s="263"/>
      <c r="T42" s="237"/>
      <c r="U42" s="449" t="s">
        <v>713</v>
      </c>
      <c r="AB42" s="106"/>
      <c r="AC42" s="450" t="s">
        <v>138</v>
      </c>
      <c r="AD42" s="259" t="s">
        <v>715</v>
      </c>
      <c r="AE42" s="61"/>
      <c r="AF42" s="61"/>
      <c r="AG42" s="61"/>
      <c r="AH42" s="61"/>
      <c r="AI42" s="61"/>
      <c r="AJ42" s="61"/>
      <c r="AK42" s="46"/>
      <c r="AL42" s="192" t="s">
        <v>281</v>
      </c>
      <c r="AM42" s="122" t="s">
        <v>716</v>
      </c>
      <c r="AN42" s="61"/>
      <c r="AO42" s="61"/>
      <c r="AP42" s="61"/>
      <c r="AQ42" s="61"/>
      <c r="AR42" s="61"/>
      <c r="AS42" s="61"/>
      <c r="AT42" s="46"/>
      <c r="AU42" s="117" t="s">
        <v>141</v>
      </c>
      <c r="AV42" s="89" t="s">
        <v>717</v>
      </c>
      <c r="AW42" s="46"/>
      <c r="AX42" s="43"/>
      <c r="AY42" s="122" t="s">
        <v>719</v>
      </c>
      <c r="AZ42" s="61"/>
      <c r="BA42" s="61"/>
      <c r="BB42" s="46"/>
      <c r="BC42" s="451" t="s">
        <v>140</v>
      </c>
      <c r="BD42" s="72">
        <f t="shared" ref="BD42:BH42" si="58">countif($H42:$BC42,BD$2)</f>
        <v>1</v>
      </c>
      <c r="BE42" s="74">
        <f t="shared" si="58"/>
        <v>1</v>
      </c>
      <c r="BF42" s="74">
        <f t="shared" si="58"/>
        <v>1</v>
      </c>
      <c r="BG42" s="74">
        <f t="shared" si="58"/>
        <v>0</v>
      </c>
      <c r="BH42" s="74">
        <f t="shared" si="58"/>
        <v>0</v>
      </c>
      <c r="BI42" s="81">
        <f>countif($H42:$BC43,"*" &amp; BI$2 &amp; "*")</f>
        <v>0</v>
      </c>
      <c r="BJ42" s="81">
        <f t="shared" ref="BJ42:BK42" si="59">countif($H42:$BC43,"*" &amp; BJ$2 &amp; "*")/2</f>
        <v>0</v>
      </c>
      <c r="BK42" s="81">
        <f t="shared" si="59"/>
        <v>0</v>
      </c>
      <c r="BL42" s="81">
        <f>countif($H42:$BC43,"*" &amp; BL$2 &amp; "*")</f>
        <v>0</v>
      </c>
      <c r="BM42" s="92"/>
      <c r="BN42" s="15"/>
      <c r="BO42" s="15"/>
      <c r="BP42" s="15"/>
      <c r="BQ42" s="15"/>
      <c r="BR42" s="15"/>
      <c r="BS42" s="15"/>
    </row>
    <row r="43">
      <c r="A43" s="96"/>
      <c r="B43" s="97">
        <v>42654.0</v>
      </c>
      <c r="C43" s="112"/>
      <c r="D43" s="112"/>
      <c r="E43" s="112"/>
      <c r="F43" s="112"/>
      <c r="G43" s="112"/>
      <c r="H43" s="112"/>
      <c r="I43" s="112"/>
      <c r="J43" s="112"/>
      <c r="K43" s="43"/>
      <c r="L43" s="96"/>
      <c r="M43" s="106"/>
      <c r="N43" s="287"/>
      <c r="O43" s="287"/>
      <c r="P43" s="287"/>
      <c r="Q43" s="287"/>
      <c r="R43" s="104"/>
      <c r="S43" s="104"/>
      <c r="T43" s="43"/>
      <c r="U43" s="85"/>
      <c r="V43" s="87"/>
      <c r="W43" s="87"/>
      <c r="X43" s="87"/>
      <c r="Y43" s="87"/>
      <c r="Z43" s="87"/>
      <c r="AA43" s="87"/>
      <c r="AB43" s="86"/>
      <c r="AC43" s="117" t="s">
        <v>138</v>
      </c>
      <c r="AD43" s="85"/>
      <c r="AE43" s="87"/>
      <c r="AF43" s="87"/>
      <c r="AG43" s="87"/>
      <c r="AH43" s="87"/>
      <c r="AI43" s="87"/>
      <c r="AJ43" s="87"/>
      <c r="AK43" s="86"/>
      <c r="AL43" s="192" t="s">
        <v>281</v>
      </c>
      <c r="AM43" s="85"/>
      <c r="AN43" s="87"/>
      <c r="AO43" s="87"/>
      <c r="AP43" s="87"/>
      <c r="AQ43" s="87"/>
      <c r="AR43" s="87"/>
      <c r="AS43" s="87"/>
      <c r="AT43" s="86"/>
      <c r="AU43" s="117" t="s">
        <v>141</v>
      </c>
      <c r="AV43" s="142"/>
      <c r="AW43" s="106"/>
      <c r="AX43" s="43"/>
      <c r="AY43" s="85"/>
      <c r="AZ43" s="87"/>
      <c r="BA43" s="87"/>
      <c r="BB43" s="86"/>
      <c r="BC43" s="451" t="s">
        <v>140</v>
      </c>
      <c r="BD43" s="72">
        <f t="shared" ref="BD43:BH43" si="60">countif($H43:$BC43,BD$2)</f>
        <v>1</v>
      </c>
      <c r="BE43" s="74">
        <f t="shared" si="60"/>
        <v>1</v>
      </c>
      <c r="BF43" s="74">
        <f t="shared" si="60"/>
        <v>1</v>
      </c>
      <c r="BG43" s="74">
        <f t="shared" si="60"/>
        <v>0</v>
      </c>
      <c r="BH43" s="74">
        <f t="shared" si="60"/>
        <v>0</v>
      </c>
      <c r="BI43" s="112"/>
      <c r="BJ43" s="112"/>
      <c r="BK43" s="112"/>
      <c r="BL43" s="112"/>
      <c r="BM43" s="92"/>
      <c r="BN43" s="15"/>
      <c r="BO43" s="15"/>
      <c r="BP43" s="15"/>
      <c r="BQ43" s="15"/>
      <c r="BR43" s="15"/>
      <c r="BS43" s="15"/>
    </row>
    <row r="44">
      <c r="A44" s="96"/>
      <c r="B44" s="97">
        <v>42686.0</v>
      </c>
      <c r="C44" s="457" t="s">
        <v>736</v>
      </c>
      <c r="D44" s="457" t="s">
        <v>738</v>
      </c>
      <c r="E44" s="458" t="s">
        <v>705</v>
      </c>
      <c r="F44" s="458" t="s">
        <v>706</v>
      </c>
      <c r="G44" s="457" t="s">
        <v>739</v>
      </c>
      <c r="H44" s="457" t="s">
        <v>741</v>
      </c>
      <c r="I44" s="460"/>
      <c r="J44" s="460"/>
      <c r="K44" s="237"/>
      <c r="L44" s="96"/>
      <c r="M44" s="106"/>
      <c r="P44" s="287"/>
      <c r="Q44" s="287"/>
      <c r="R44" s="262" t="s">
        <v>743</v>
      </c>
      <c r="S44" s="263" t="s">
        <v>744</v>
      </c>
      <c r="T44" s="43"/>
      <c r="U44" s="461" t="s">
        <v>745</v>
      </c>
      <c r="AB44" s="106"/>
      <c r="AC44" s="117" t="s">
        <v>138</v>
      </c>
      <c r="AD44" s="461" t="s">
        <v>750</v>
      </c>
      <c r="AK44" s="106"/>
      <c r="AL44" s="117" t="s">
        <v>138</v>
      </c>
      <c r="AM44" s="102" t="s">
        <v>753</v>
      </c>
      <c r="AT44" s="106"/>
      <c r="AU44" s="117" t="s">
        <v>141</v>
      </c>
      <c r="AV44" s="142"/>
      <c r="AW44" s="106"/>
      <c r="AX44" s="43"/>
      <c r="AY44" s="463" t="s">
        <v>754</v>
      </c>
      <c r="AZ44" s="61"/>
      <c r="BA44" s="61"/>
      <c r="BB44" s="46"/>
      <c r="BC44" s="181" t="s">
        <v>138</v>
      </c>
      <c r="BD44" s="72">
        <f t="shared" ref="BD44:BF44" si="61">countif($K44:$BC44,BD$2)</f>
        <v>3</v>
      </c>
      <c r="BE44" s="74">
        <f t="shared" si="61"/>
        <v>0</v>
      </c>
      <c r="BF44" s="74">
        <f t="shared" si="61"/>
        <v>1</v>
      </c>
      <c r="BG44" s="74">
        <f t="shared" ref="BG44:BH44" si="62">countif($E44:$BC44,BG$2)</f>
        <v>0</v>
      </c>
      <c r="BH44" s="74">
        <f t="shared" si="62"/>
        <v>0</v>
      </c>
      <c r="BI44" s="81">
        <f>countif($K44:$BC45,"*" &amp; BI$2 &amp; "*")</f>
        <v>0</v>
      </c>
      <c r="BJ44" s="81">
        <f t="shared" ref="BJ44:BK44" si="63">countif($K44:$BC45,"*" &amp; BJ$2 &amp; "*")/2</f>
        <v>0</v>
      </c>
      <c r="BK44" s="81">
        <f t="shared" si="63"/>
        <v>0</v>
      </c>
      <c r="BL44" s="81">
        <f>countif($K44:$BC45,"*" &amp; BL$2 &amp; "*")</f>
        <v>0</v>
      </c>
      <c r="BM44" s="92"/>
      <c r="BN44" s="15"/>
      <c r="BO44" s="15"/>
      <c r="BP44" s="15"/>
      <c r="BQ44" s="15"/>
      <c r="BR44" s="15"/>
      <c r="BS44" s="15"/>
    </row>
    <row r="45">
      <c r="A45" s="96"/>
      <c r="B45" s="97">
        <v>42717.0</v>
      </c>
      <c r="C45" s="112"/>
      <c r="D45" s="112"/>
      <c r="E45" s="112"/>
      <c r="F45" s="112"/>
      <c r="G45" s="112"/>
      <c r="H45" s="112"/>
      <c r="I45" s="460"/>
      <c r="J45" s="460"/>
      <c r="K45" s="237"/>
      <c r="L45" s="112"/>
      <c r="M45" s="86"/>
      <c r="P45" s="287"/>
      <c r="Q45" s="287"/>
      <c r="R45" s="112"/>
      <c r="S45" s="86"/>
      <c r="T45" s="43"/>
      <c r="U45" s="85"/>
      <c r="V45" s="87"/>
      <c r="W45" s="87"/>
      <c r="X45" s="87"/>
      <c r="Y45" s="87"/>
      <c r="Z45" s="87"/>
      <c r="AA45" s="87"/>
      <c r="AB45" s="86"/>
      <c r="AC45" s="117" t="s">
        <v>140</v>
      </c>
      <c r="AD45" s="85"/>
      <c r="AE45" s="87"/>
      <c r="AF45" s="87"/>
      <c r="AG45" s="87"/>
      <c r="AH45" s="87"/>
      <c r="AI45" s="87"/>
      <c r="AJ45" s="87"/>
      <c r="AK45" s="86"/>
      <c r="AL45" s="117" t="s">
        <v>140</v>
      </c>
      <c r="AM45" s="85"/>
      <c r="AN45" s="87"/>
      <c r="AO45" s="87"/>
      <c r="AP45" s="87"/>
      <c r="AQ45" s="87"/>
      <c r="AR45" s="87"/>
      <c r="AS45" s="87"/>
      <c r="AT45" s="86"/>
      <c r="AU45" s="181" t="s">
        <v>141</v>
      </c>
      <c r="AV45" s="142"/>
      <c r="AW45" s="106"/>
      <c r="AX45" s="43"/>
      <c r="AY45" s="85"/>
      <c r="AZ45" s="87"/>
      <c r="BA45" s="87"/>
      <c r="BB45" s="86"/>
      <c r="BC45" s="117" t="s">
        <v>140</v>
      </c>
      <c r="BD45" s="72">
        <f t="shared" ref="BD45:BF45" si="64">countif($K45:$BC45,BD$2)</f>
        <v>0</v>
      </c>
      <c r="BE45" s="74">
        <f t="shared" si="64"/>
        <v>3</v>
      </c>
      <c r="BF45" s="74">
        <f t="shared" si="64"/>
        <v>1</v>
      </c>
      <c r="BG45" s="74">
        <f t="shared" ref="BG45:BH45" si="65">countif($E45:$BC45,BG$2)</f>
        <v>0</v>
      </c>
      <c r="BH45" s="74">
        <f t="shared" si="65"/>
        <v>0</v>
      </c>
      <c r="BI45" s="112"/>
      <c r="BJ45" s="112"/>
      <c r="BK45" s="112"/>
      <c r="BL45" s="112"/>
      <c r="BM45" s="92"/>
      <c r="BN45" s="15"/>
      <c r="BO45" s="15"/>
      <c r="BP45" s="15"/>
      <c r="BQ45" s="15"/>
      <c r="BR45" s="15"/>
      <c r="BS45" s="15"/>
    </row>
    <row r="46">
      <c r="A46" s="96"/>
      <c r="B46" s="151" t="s">
        <v>310</v>
      </c>
      <c r="C46" s="103"/>
      <c r="D46" s="104"/>
      <c r="E46" s="104"/>
      <c r="F46" s="104"/>
      <c r="G46" s="457" t="s">
        <v>762</v>
      </c>
      <c r="H46" s="474" t="s">
        <v>764</v>
      </c>
      <c r="I46" s="99" t="s">
        <v>741</v>
      </c>
      <c r="J46" s="99" t="s">
        <v>739</v>
      </c>
      <c r="K46" s="237"/>
      <c r="L46" s="262" t="s">
        <v>743</v>
      </c>
      <c r="M46" s="263" t="s">
        <v>744</v>
      </c>
      <c r="P46" s="287"/>
      <c r="Q46" s="287"/>
      <c r="R46" s="262" t="s">
        <v>497</v>
      </c>
      <c r="S46" s="263" t="s">
        <v>498</v>
      </c>
      <c r="T46" s="43"/>
      <c r="U46" s="125" t="s">
        <v>768</v>
      </c>
      <c r="AB46" s="106"/>
      <c r="AC46" s="117" t="s">
        <v>138</v>
      </c>
      <c r="AD46" s="102" t="s">
        <v>769</v>
      </c>
      <c r="AK46" s="106"/>
      <c r="AL46" s="192" t="s">
        <v>141</v>
      </c>
      <c r="AO46" s="297" t="s">
        <v>506</v>
      </c>
      <c r="AP46" s="299" t="s">
        <v>507</v>
      </c>
      <c r="AQ46" s="297" t="s">
        <v>770</v>
      </c>
      <c r="AR46" s="299" t="s">
        <v>346</v>
      </c>
      <c r="AU46" s="130"/>
      <c r="AV46" s="122" t="s">
        <v>772</v>
      </c>
      <c r="AW46" s="46"/>
      <c r="AX46" s="117" t="s">
        <v>140</v>
      </c>
      <c r="AY46" s="479"/>
      <c r="AZ46" s="116"/>
      <c r="BA46" s="221"/>
      <c r="BB46" s="221"/>
      <c r="BC46" s="480"/>
      <c r="BD46" s="72">
        <f t="shared" ref="BD46:BG46" si="66">countif($L46:$BC46,BD$2)</f>
        <v>1</v>
      </c>
      <c r="BE46" s="74">
        <f t="shared" si="66"/>
        <v>1</v>
      </c>
      <c r="BF46" s="74">
        <f t="shared" si="66"/>
        <v>1</v>
      </c>
      <c r="BG46" s="74">
        <f t="shared" si="66"/>
        <v>0</v>
      </c>
      <c r="BH46" s="74">
        <f t="shared" ref="BH46:BH47" si="69">countif($D46:$BC46,BH$2)</f>
        <v>0</v>
      </c>
      <c r="BI46" s="81">
        <f>countif($L46:$BC47,"*" &amp; BI$2 &amp; "*")</f>
        <v>0</v>
      </c>
      <c r="BJ46" s="81">
        <f t="shared" ref="BJ46:BK46" si="67">countif($L46:$BC47,"*" &amp; BJ$2 &amp; "*")/2</f>
        <v>0</v>
      </c>
      <c r="BK46" s="81">
        <f t="shared" si="67"/>
        <v>0</v>
      </c>
      <c r="BL46" s="81">
        <f>countif($L46:$BC47,"*" &amp; BL$2 &amp; "*")</f>
        <v>0</v>
      </c>
      <c r="BM46" s="92"/>
      <c r="BN46" s="15"/>
      <c r="BO46" s="15"/>
      <c r="BP46" s="15"/>
      <c r="BQ46" s="15"/>
      <c r="BR46" s="15"/>
      <c r="BS46" s="15"/>
    </row>
    <row r="47">
      <c r="A47" s="96"/>
      <c r="B47" s="151" t="s">
        <v>341</v>
      </c>
      <c r="C47" s="103"/>
      <c r="D47" s="104"/>
      <c r="E47" s="104"/>
      <c r="F47" s="104"/>
      <c r="G47" s="112"/>
      <c r="H47" s="86"/>
      <c r="I47" s="112"/>
      <c r="J47" s="112"/>
      <c r="K47" s="237"/>
      <c r="L47" s="112"/>
      <c r="M47" s="86"/>
      <c r="P47" s="287"/>
      <c r="Q47" s="287"/>
      <c r="R47" s="96"/>
      <c r="S47" s="106"/>
      <c r="T47" s="43"/>
      <c r="U47" s="85"/>
      <c r="V47" s="87"/>
      <c r="W47" s="87"/>
      <c r="X47" s="87"/>
      <c r="Y47" s="87"/>
      <c r="Z47" s="87"/>
      <c r="AA47" s="87"/>
      <c r="AB47" s="86"/>
      <c r="AC47" s="181" t="s">
        <v>138</v>
      </c>
      <c r="AD47" s="85"/>
      <c r="AE47" s="87"/>
      <c r="AF47" s="87"/>
      <c r="AG47" s="87"/>
      <c r="AH47" s="87"/>
      <c r="AI47" s="87"/>
      <c r="AJ47" s="87"/>
      <c r="AK47" s="86"/>
      <c r="AL47" s="192" t="s">
        <v>141</v>
      </c>
      <c r="AO47" s="96"/>
      <c r="AP47" s="106"/>
      <c r="AQ47" s="112"/>
      <c r="AR47" s="86"/>
      <c r="AU47" s="130"/>
      <c r="AV47" s="85"/>
      <c r="AW47" s="86"/>
      <c r="AX47" s="117" t="s">
        <v>140</v>
      </c>
      <c r="AY47" s="484"/>
      <c r="AZ47" s="221"/>
      <c r="BA47" s="221"/>
      <c r="BB47" s="221"/>
      <c r="BC47" s="485"/>
      <c r="BD47" s="72">
        <f t="shared" ref="BD47:BG47" si="68">countif($L47:$BC47,BD$2)</f>
        <v>1</v>
      </c>
      <c r="BE47" s="74">
        <f t="shared" si="68"/>
        <v>1</v>
      </c>
      <c r="BF47" s="74">
        <f t="shared" si="68"/>
        <v>1</v>
      </c>
      <c r="BG47" s="74">
        <f t="shared" si="68"/>
        <v>0</v>
      </c>
      <c r="BH47" s="74">
        <f t="shared" si="69"/>
        <v>0</v>
      </c>
      <c r="BI47" s="112"/>
      <c r="BJ47" s="112"/>
      <c r="BK47" s="112"/>
      <c r="BL47" s="112"/>
      <c r="BM47" s="92"/>
      <c r="BN47" s="15"/>
      <c r="BO47" s="15"/>
      <c r="BP47" s="15"/>
      <c r="BQ47" s="15"/>
      <c r="BR47" s="15"/>
      <c r="BS47" s="15"/>
    </row>
    <row r="48">
      <c r="A48" s="96"/>
      <c r="B48" s="489" t="s">
        <v>342</v>
      </c>
      <c r="C48" s="99" t="s">
        <v>741</v>
      </c>
      <c r="D48" s="99" t="s">
        <v>739</v>
      </c>
      <c r="E48" s="460"/>
      <c r="F48" s="460"/>
      <c r="G48" s="104"/>
      <c r="H48" s="104"/>
      <c r="I48" s="457" t="s">
        <v>738</v>
      </c>
      <c r="J48" s="457" t="s">
        <v>736</v>
      </c>
      <c r="K48" s="490"/>
      <c r="L48" s="491"/>
      <c r="M48" s="287"/>
      <c r="P48" s="297" t="s">
        <v>743</v>
      </c>
      <c r="Q48" s="299" t="s">
        <v>744</v>
      </c>
      <c r="R48" s="96"/>
      <c r="S48" s="106"/>
      <c r="T48" s="490"/>
      <c r="U48" s="492"/>
      <c r="V48" s="492"/>
      <c r="W48" s="492"/>
      <c r="X48" s="492"/>
      <c r="Y48" s="492"/>
      <c r="Z48" s="492"/>
      <c r="AA48" s="492"/>
      <c r="AB48" s="493"/>
      <c r="AC48" s="494"/>
      <c r="AD48" s="495"/>
      <c r="AE48" s="495"/>
      <c r="AF48" s="496"/>
      <c r="AG48" s="497"/>
      <c r="AH48" s="497"/>
      <c r="AI48" s="497"/>
      <c r="AJ48" s="497"/>
      <c r="AK48" s="497"/>
      <c r="AL48" s="498"/>
      <c r="AO48" s="112"/>
      <c r="AP48" s="86"/>
      <c r="AQ48" s="492"/>
      <c r="AR48" s="492"/>
      <c r="AS48" s="492"/>
      <c r="AT48" s="492"/>
      <c r="AU48" s="490"/>
      <c r="AV48" s="122" t="s">
        <v>793</v>
      </c>
      <c r="AW48" s="46"/>
      <c r="AX48" s="500" t="s">
        <v>283</v>
      </c>
      <c r="AY48" s="501"/>
      <c r="AZ48" s="501"/>
      <c r="BA48" s="501"/>
      <c r="BB48" s="501"/>
      <c r="BC48" s="237"/>
      <c r="BD48" s="72">
        <f t="shared" ref="BD48:BG48" si="70">countif($U48:$BC48,BD$2)</f>
        <v>0</v>
      </c>
      <c r="BE48" s="74">
        <f t="shared" si="70"/>
        <v>0</v>
      </c>
      <c r="BF48" s="74">
        <f t="shared" si="70"/>
        <v>0</v>
      </c>
      <c r="BG48" s="74">
        <f t="shared" si="70"/>
        <v>0</v>
      </c>
      <c r="BH48" s="74">
        <f t="shared" ref="BH48:BH49" si="73">countif($E48:$BC48,BH$2)</f>
        <v>0</v>
      </c>
      <c r="BI48" s="81">
        <f>countif($U48:$BC49,"*" &amp; BI$2 &amp; "*")</f>
        <v>0</v>
      </c>
      <c r="BJ48" s="81">
        <f t="shared" ref="BJ48:BK48" si="71">countif($U48:$BC49,"*" &amp; BJ$2 &amp; "*")/2</f>
        <v>0</v>
      </c>
      <c r="BK48" s="81">
        <f t="shared" si="71"/>
        <v>0</v>
      </c>
      <c r="BL48" s="81">
        <f>countif($U48:$BC49,"*" &amp; BL$2 &amp; "*")</f>
        <v>0</v>
      </c>
      <c r="BM48" s="92"/>
      <c r="BN48" s="15"/>
      <c r="BO48" s="15"/>
      <c r="BP48" s="15"/>
      <c r="BQ48" s="15"/>
      <c r="BR48" s="15"/>
      <c r="BS48" s="15"/>
    </row>
    <row r="49" ht="26.25" customHeight="1">
      <c r="A49" s="96"/>
      <c r="B49" s="489" t="s">
        <v>369</v>
      </c>
      <c r="C49" s="112"/>
      <c r="D49" s="112"/>
      <c r="E49" s="460"/>
      <c r="F49" s="460"/>
      <c r="G49" s="104"/>
      <c r="H49" s="104"/>
      <c r="I49" s="112"/>
      <c r="J49" s="112"/>
      <c r="K49" s="490"/>
      <c r="L49" s="491"/>
      <c r="M49" s="287"/>
      <c r="P49" s="96"/>
      <c r="Q49" s="106"/>
      <c r="R49" s="112"/>
      <c r="S49" s="86"/>
      <c r="T49" s="490"/>
      <c r="U49" s="492"/>
      <c r="V49" s="492"/>
      <c r="W49" s="492"/>
      <c r="X49" s="492"/>
      <c r="Y49" s="492"/>
      <c r="Z49" s="492"/>
      <c r="AA49" s="492"/>
      <c r="AB49" s="493"/>
      <c r="AC49" s="494"/>
      <c r="AD49" s="495"/>
      <c r="AE49" s="495"/>
      <c r="AF49" s="495"/>
      <c r="AG49" s="497"/>
      <c r="AH49" s="497"/>
      <c r="AI49" s="497"/>
      <c r="AJ49" s="497"/>
      <c r="AK49" s="497"/>
      <c r="AL49" s="502"/>
      <c r="AM49" s="492"/>
      <c r="AN49" s="492"/>
      <c r="AO49" s="492"/>
      <c r="AP49" s="492"/>
      <c r="AQ49" s="492"/>
      <c r="AR49" s="492"/>
      <c r="AS49" s="492"/>
      <c r="AT49" s="492"/>
      <c r="AU49" s="490"/>
      <c r="AV49" s="85"/>
      <c r="AW49" s="86"/>
      <c r="AX49" s="106"/>
      <c r="AY49" s="501"/>
      <c r="AZ49" s="501"/>
      <c r="BA49" s="501"/>
      <c r="BB49" s="501"/>
      <c r="BC49" s="237"/>
      <c r="BD49" s="72">
        <f t="shared" ref="BD49:BG49" si="72">countif($U49:$BC49,BD$2)</f>
        <v>0</v>
      </c>
      <c r="BE49" s="74">
        <f t="shared" si="72"/>
        <v>0</v>
      </c>
      <c r="BF49" s="74">
        <f t="shared" si="72"/>
        <v>0</v>
      </c>
      <c r="BG49" s="74">
        <f t="shared" si="72"/>
        <v>0</v>
      </c>
      <c r="BH49" s="74">
        <f t="shared" si="73"/>
        <v>0</v>
      </c>
      <c r="BI49" s="112"/>
      <c r="BJ49" s="112"/>
      <c r="BK49" s="112"/>
      <c r="BL49" s="112"/>
      <c r="BM49" s="92"/>
      <c r="BN49" s="15"/>
      <c r="BO49" s="15"/>
      <c r="BP49" s="15"/>
      <c r="BQ49" s="15"/>
      <c r="BR49" s="15"/>
      <c r="BS49" s="15"/>
    </row>
    <row r="50">
      <c r="A50" s="96"/>
      <c r="B50" s="184" t="s">
        <v>375</v>
      </c>
      <c r="C50" s="457" t="s">
        <v>796</v>
      </c>
      <c r="D50" s="457" t="s">
        <v>799</v>
      </c>
      <c r="E50" s="104"/>
      <c r="F50" s="104"/>
      <c r="G50" s="504"/>
      <c r="H50" s="504"/>
      <c r="I50" s="457" t="s">
        <v>796</v>
      </c>
      <c r="J50" s="457" t="s">
        <v>799</v>
      </c>
      <c r="K50" s="43"/>
      <c r="L50" s="491"/>
      <c r="M50" s="287"/>
      <c r="N50" s="287"/>
      <c r="O50" s="104"/>
      <c r="P50" s="262" t="s">
        <v>497</v>
      </c>
      <c r="Q50" s="263" t="s">
        <v>498</v>
      </c>
      <c r="R50" s="104"/>
      <c r="S50" s="104"/>
      <c r="T50" s="344"/>
      <c r="U50" s="142"/>
      <c r="AC50" s="43"/>
      <c r="AD50" s="15"/>
      <c r="AE50" s="15"/>
      <c r="AF50" s="15"/>
      <c r="AG50" s="17"/>
      <c r="AH50" s="17"/>
      <c r="AI50" s="17"/>
      <c r="AJ50" s="17"/>
      <c r="AK50" s="17"/>
      <c r="AL50" s="43"/>
      <c r="AU50" s="43"/>
      <c r="AX50" s="43"/>
      <c r="AY50" s="505"/>
      <c r="AZ50" s="506"/>
      <c r="BA50" s="506"/>
      <c r="BB50" s="506"/>
      <c r="BC50" s="43"/>
      <c r="BD50" s="72">
        <f t="shared" ref="BD50:BG50" si="74">countif($L50:$BC50,BD$2)</f>
        <v>0</v>
      </c>
      <c r="BE50" s="74">
        <f t="shared" si="74"/>
        <v>0</v>
      </c>
      <c r="BF50" s="74">
        <f t="shared" si="74"/>
        <v>0</v>
      </c>
      <c r="BG50" s="74">
        <f t="shared" si="74"/>
        <v>0</v>
      </c>
      <c r="BH50" s="74">
        <f t="shared" ref="BH50:BH51" si="77">countif($K50:$BC50,BH$2)</f>
        <v>0</v>
      </c>
      <c r="BI50" s="81">
        <f>countif($L50:$BC51,"*" &amp; BI$2 &amp; "*")</f>
        <v>0</v>
      </c>
      <c r="BJ50" s="81">
        <f t="shared" ref="BJ50:BK50" si="75">countif($L50:$BC51,"*" &amp; BJ$2 &amp; "*")/2</f>
        <v>0</v>
      </c>
      <c r="BK50" s="81">
        <f t="shared" si="75"/>
        <v>0</v>
      </c>
      <c r="BL50" s="81">
        <f>countif($L50:$BC51,"*" &amp; BL$2 &amp; "*")</f>
        <v>0</v>
      </c>
      <c r="BM50" s="92"/>
      <c r="BN50" s="15"/>
      <c r="BO50" s="15"/>
      <c r="BP50" s="15"/>
      <c r="BQ50" s="15"/>
      <c r="BR50" s="15"/>
      <c r="BS50" s="15"/>
    </row>
    <row r="51">
      <c r="A51" s="96"/>
      <c r="B51" s="184" t="s">
        <v>392</v>
      </c>
      <c r="C51" s="112"/>
      <c r="D51" s="112"/>
      <c r="E51" s="104"/>
      <c r="F51" s="104"/>
      <c r="G51" s="504"/>
      <c r="H51" s="504"/>
      <c r="I51" s="112"/>
      <c r="J51" s="112"/>
      <c r="K51" s="237"/>
      <c r="L51" s="491"/>
      <c r="M51" s="287"/>
      <c r="N51" s="287"/>
      <c r="O51" s="104"/>
      <c r="P51" s="96"/>
      <c r="Q51" s="106"/>
      <c r="R51" s="104"/>
      <c r="S51" s="104"/>
      <c r="T51" s="344"/>
      <c r="U51" s="142"/>
      <c r="AC51" s="43"/>
      <c r="AD51" s="15"/>
      <c r="AE51" s="15"/>
      <c r="AF51" s="510"/>
      <c r="AG51" s="17"/>
      <c r="AH51" s="17"/>
      <c r="AI51" s="17"/>
      <c r="AJ51" s="17"/>
      <c r="AK51" s="17"/>
      <c r="AL51" s="43"/>
      <c r="AU51" s="43"/>
      <c r="AX51" s="43"/>
      <c r="AY51" s="505"/>
      <c r="AZ51" s="506"/>
      <c r="BA51" s="506"/>
      <c r="BB51" s="506"/>
      <c r="BC51" s="43"/>
      <c r="BD51" s="72">
        <f t="shared" ref="BD51:BG51" si="76">countif($L51:$BC51,BD$2)</f>
        <v>0</v>
      </c>
      <c r="BE51" s="74">
        <f t="shared" si="76"/>
        <v>0</v>
      </c>
      <c r="BF51" s="74">
        <f t="shared" si="76"/>
        <v>0</v>
      </c>
      <c r="BG51" s="74">
        <f t="shared" si="76"/>
        <v>0</v>
      </c>
      <c r="BH51" s="74">
        <f t="shared" si="77"/>
        <v>0</v>
      </c>
      <c r="BI51" s="112"/>
      <c r="BJ51" s="112"/>
      <c r="BK51" s="112"/>
      <c r="BL51" s="112"/>
      <c r="BM51" s="92"/>
      <c r="BN51" s="15"/>
      <c r="BO51" s="15"/>
      <c r="BP51" s="15"/>
      <c r="BQ51" s="15"/>
      <c r="BR51" s="15"/>
      <c r="BS51" s="15"/>
    </row>
    <row r="52">
      <c r="A52" s="96"/>
      <c r="B52" s="151" t="s">
        <v>398</v>
      </c>
      <c r="C52" s="103"/>
      <c r="D52" s="104"/>
      <c r="E52" s="104"/>
      <c r="F52" s="104"/>
      <c r="G52" s="504"/>
      <c r="H52" s="504"/>
      <c r="I52" s="504"/>
      <c r="J52" s="504"/>
      <c r="K52" s="43"/>
      <c r="L52" s="513" t="s">
        <v>815</v>
      </c>
      <c r="M52" s="514" t="s">
        <v>817</v>
      </c>
      <c r="N52" s="513" t="s">
        <v>815</v>
      </c>
      <c r="O52" s="514" t="s">
        <v>817</v>
      </c>
      <c r="P52" s="96"/>
      <c r="Q52" s="106"/>
      <c r="R52" s="104"/>
      <c r="S52" s="104"/>
      <c r="T52" s="344"/>
      <c r="U52" s="246"/>
      <c r="V52" s="15"/>
      <c r="W52" s="15"/>
      <c r="X52" s="15"/>
      <c r="Y52" s="15"/>
      <c r="Z52" s="15"/>
      <c r="AA52" s="15"/>
      <c r="AB52" s="516"/>
      <c r="AC52" s="43"/>
      <c r="AD52" s="15"/>
      <c r="AE52" s="15"/>
      <c r="AF52" s="15"/>
      <c r="AG52" s="17"/>
      <c r="AH52" s="17"/>
      <c r="AI52" s="17"/>
      <c r="AJ52" s="17"/>
      <c r="AK52" s="17"/>
      <c r="AL52" s="43"/>
      <c r="AM52" s="15"/>
      <c r="AN52" s="15"/>
      <c r="AO52" s="15"/>
      <c r="AP52" s="15"/>
      <c r="AQ52" s="15"/>
      <c r="AR52" s="15"/>
      <c r="AS52" s="15"/>
      <c r="AT52" s="15"/>
      <c r="AU52" s="43"/>
      <c r="AV52" s="15"/>
      <c r="AW52" s="15"/>
      <c r="AX52" s="43"/>
      <c r="AY52" s="505"/>
      <c r="AZ52" s="506"/>
      <c r="BA52" s="506"/>
      <c r="BB52" s="506"/>
      <c r="BC52" s="43"/>
      <c r="BD52" s="72">
        <f t="shared" ref="BD52:BH52" si="78">countif($D52:$BC52,BD$2)</f>
        <v>0</v>
      </c>
      <c r="BE52" s="74">
        <f t="shared" si="78"/>
        <v>0</v>
      </c>
      <c r="BF52" s="74">
        <f t="shared" si="78"/>
        <v>0</v>
      </c>
      <c r="BG52" s="74">
        <f t="shared" si="78"/>
        <v>0</v>
      </c>
      <c r="BH52" s="74">
        <f t="shared" si="78"/>
        <v>0</v>
      </c>
      <c r="BI52" s="81">
        <f>countif($D52:$BC53,"*" &amp; BI$2 &amp; "*")</f>
        <v>0</v>
      </c>
      <c r="BJ52" s="81">
        <f t="shared" ref="BJ52:BK52" si="79">countif($D52:$BC53,"*" &amp; BJ$2 &amp; "*")/2</f>
        <v>0</v>
      </c>
      <c r="BK52" s="81">
        <f t="shared" si="79"/>
        <v>0</v>
      </c>
      <c r="BL52" s="81">
        <f>countif($D52:$BC53,"*" &amp; BL$2 &amp; "*")</f>
        <v>0</v>
      </c>
      <c r="BM52" s="92"/>
      <c r="BN52" s="15"/>
      <c r="BO52" s="15"/>
      <c r="BP52" s="15"/>
      <c r="BQ52" s="15"/>
      <c r="BR52" s="15"/>
      <c r="BS52" s="15"/>
    </row>
    <row r="53">
      <c r="A53" s="112"/>
      <c r="B53" s="151" t="s">
        <v>408</v>
      </c>
      <c r="C53" s="350"/>
      <c r="D53" s="351"/>
      <c r="E53" s="351"/>
      <c r="F53" s="351"/>
      <c r="G53" s="504"/>
      <c r="H53" s="504"/>
      <c r="I53" s="504"/>
      <c r="J53" s="504"/>
      <c r="K53" s="43"/>
      <c r="L53" s="112"/>
      <c r="M53" s="85"/>
      <c r="N53" s="112"/>
      <c r="O53" s="85"/>
      <c r="P53" s="112"/>
      <c r="Q53" s="86"/>
      <c r="R53" s="351"/>
      <c r="S53" s="351"/>
      <c r="T53" s="43"/>
      <c r="U53" s="15"/>
      <c r="V53" s="15"/>
      <c r="W53" s="15"/>
      <c r="X53" s="15"/>
      <c r="Y53" s="15"/>
      <c r="Z53" s="15"/>
      <c r="AA53" s="15"/>
      <c r="AB53" s="516"/>
      <c r="AC53" s="43"/>
      <c r="AD53" s="15"/>
      <c r="AE53" s="15"/>
      <c r="AF53" s="15"/>
      <c r="AG53" s="17"/>
      <c r="AH53" s="17"/>
      <c r="AI53" s="17"/>
      <c r="AJ53" s="17"/>
      <c r="AK53" s="17"/>
      <c r="AL53" s="43"/>
      <c r="AM53" s="15"/>
      <c r="AN53" s="15"/>
      <c r="AO53" s="15"/>
      <c r="AP53" s="15"/>
      <c r="AQ53" s="15"/>
      <c r="AR53" s="15"/>
      <c r="AS53" s="15"/>
      <c r="AT53" s="15"/>
      <c r="AU53" s="43"/>
      <c r="AV53" s="221"/>
      <c r="AW53" s="221"/>
      <c r="AX53" s="43"/>
      <c r="AY53" s="517"/>
      <c r="AZ53" s="518"/>
      <c r="BA53" s="506"/>
      <c r="BB53" s="506"/>
      <c r="BC53" s="43"/>
      <c r="BD53" s="72">
        <f t="shared" ref="BD53:BH53" si="80">countif($D53:$BC53,BD$2)</f>
        <v>0</v>
      </c>
      <c r="BE53" s="74">
        <f t="shared" si="80"/>
        <v>0</v>
      </c>
      <c r="BF53" s="74">
        <f t="shared" si="80"/>
        <v>0</v>
      </c>
      <c r="BG53" s="74">
        <f t="shared" si="80"/>
        <v>0</v>
      </c>
      <c r="BH53" s="74">
        <f t="shared" si="80"/>
        <v>0</v>
      </c>
      <c r="BI53" s="112"/>
      <c r="BJ53" s="112"/>
      <c r="BK53" s="112"/>
      <c r="BL53" s="112"/>
      <c r="BM53" s="92"/>
      <c r="BN53" s="521" t="s">
        <v>827</v>
      </c>
      <c r="BO53" s="15"/>
      <c r="BP53" s="15"/>
      <c r="BQ53" s="15"/>
      <c r="BR53" s="15"/>
      <c r="BS53" s="15"/>
    </row>
    <row r="54" ht="1.5" customHeight="1">
      <c r="A54" s="6"/>
      <c r="B54" s="6"/>
      <c r="C54" s="358"/>
      <c r="D54" s="358"/>
      <c r="E54" s="358"/>
      <c r="F54" s="358"/>
      <c r="G54" s="358"/>
      <c r="H54" s="358"/>
      <c r="I54" s="358"/>
      <c r="J54" s="358"/>
      <c r="K54" s="245"/>
      <c r="L54" s="356"/>
      <c r="M54" s="358"/>
      <c r="N54" s="358"/>
      <c r="O54" s="358"/>
      <c r="P54" s="358"/>
      <c r="Q54" s="358"/>
      <c r="R54" s="358"/>
      <c r="S54" s="358"/>
      <c r="T54" s="245"/>
      <c r="U54" s="356"/>
      <c r="V54" s="358"/>
      <c r="W54" s="358"/>
      <c r="X54" s="358"/>
      <c r="Y54" s="358"/>
      <c r="Z54" s="358"/>
      <c r="AA54" s="358"/>
      <c r="AB54" s="359"/>
      <c r="AC54" s="251"/>
      <c r="AD54" s="358"/>
      <c r="AE54" s="358"/>
      <c r="AF54" s="358"/>
      <c r="AG54" s="358"/>
      <c r="AH54" s="358"/>
      <c r="AI54" s="358"/>
      <c r="AJ54" s="358"/>
      <c r="AK54" s="358"/>
      <c r="AL54" s="251"/>
      <c r="AM54" s="356"/>
      <c r="AN54" s="358"/>
      <c r="AO54" s="358"/>
      <c r="AP54" s="358"/>
      <c r="AQ54" s="358"/>
      <c r="AR54" s="358"/>
      <c r="AS54" s="358"/>
      <c r="AT54" s="358"/>
      <c r="AU54" s="251"/>
      <c r="AV54" s="358"/>
      <c r="AW54" s="358"/>
      <c r="AX54" s="251"/>
      <c r="AY54" s="358"/>
      <c r="AZ54" s="358"/>
      <c r="BA54" s="358"/>
      <c r="BB54" s="358"/>
      <c r="BC54" s="251"/>
      <c r="BD54" s="254"/>
      <c r="BE54" s="255"/>
      <c r="BF54" s="255"/>
      <c r="BG54" s="255"/>
      <c r="BH54" s="255"/>
      <c r="BI54" s="255"/>
      <c r="BJ54" s="255"/>
      <c r="BK54" s="255"/>
      <c r="BL54" s="255"/>
      <c r="BM54" s="257"/>
      <c r="BN54" s="15"/>
      <c r="BO54" s="15"/>
      <c r="BP54" s="15"/>
      <c r="BQ54" s="15"/>
      <c r="BR54" s="15"/>
      <c r="BS54" s="15"/>
    </row>
    <row r="55">
      <c r="A55" s="30" t="s">
        <v>828</v>
      </c>
      <c r="B55" s="40">
        <v>42623.0</v>
      </c>
      <c r="C55" s="446" t="s">
        <v>709</v>
      </c>
      <c r="D55" s="446" t="s">
        <v>710</v>
      </c>
      <c r="E55" s="446" t="s">
        <v>709</v>
      </c>
      <c r="F55" s="446" t="s">
        <v>710</v>
      </c>
      <c r="G55" s="89" t="s">
        <v>832</v>
      </c>
      <c r="H55" s="99" t="s">
        <v>834</v>
      </c>
      <c r="I55" s="89" t="s">
        <v>832</v>
      </c>
      <c r="J55" s="99" t="s">
        <v>834</v>
      </c>
      <c r="K55" s="237"/>
      <c r="L55" s="524" t="s">
        <v>837</v>
      </c>
      <c r="M55" s="61"/>
      <c r="N55" s="61"/>
      <c r="O55" s="61"/>
      <c r="P55" s="61"/>
      <c r="Q55" s="61"/>
      <c r="R55" s="61"/>
      <c r="S55" s="46"/>
      <c r="T55" s="525" t="s">
        <v>282</v>
      </c>
      <c r="U55" s="202" t="s">
        <v>839</v>
      </c>
      <c r="V55" s="202" t="s">
        <v>841</v>
      </c>
      <c r="W55" s="261"/>
      <c r="X55" s="261"/>
      <c r="Y55" s="202" t="s">
        <v>839</v>
      </c>
      <c r="Z55" s="202" t="s">
        <v>842</v>
      </c>
      <c r="AA55" s="261"/>
      <c r="AB55" s="261"/>
      <c r="AC55" s="43"/>
      <c r="AD55" s="203" t="s">
        <v>844</v>
      </c>
      <c r="AE55" s="46"/>
      <c r="AF55" s="157" t="s">
        <v>845</v>
      </c>
      <c r="AG55" s="376" t="s">
        <v>848</v>
      </c>
      <c r="AH55" s="261"/>
      <c r="AI55" s="202" t="s">
        <v>849</v>
      </c>
      <c r="AJ55" s="202" t="s">
        <v>852</v>
      </c>
      <c r="AK55" s="261"/>
      <c r="AL55" s="43"/>
      <c r="AM55" s="262" t="s">
        <v>506</v>
      </c>
      <c r="AN55" s="263" t="s">
        <v>507</v>
      </c>
      <c r="AQ55" s="287"/>
      <c r="AR55" s="287"/>
      <c r="AS55" s="262" t="s">
        <v>430</v>
      </c>
      <c r="AT55" s="262" t="s">
        <v>432</v>
      </c>
      <c r="AU55" s="43"/>
      <c r="AW55" s="106"/>
      <c r="AX55" s="192"/>
      <c r="AY55" s="15"/>
      <c r="AZ55" s="15"/>
      <c r="BA55" s="202" t="s">
        <v>194</v>
      </c>
      <c r="BB55" s="53" t="s">
        <v>191</v>
      </c>
      <c r="BC55" s="43"/>
      <c r="BD55" s="72">
        <f t="shared" ref="BD55:BH55" si="81">countif($K55:$BC55,BD$2)</f>
        <v>0</v>
      </c>
      <c r="BE55" s="74">
        <f t="shared" si="81"/>
        <v>0</v>
      </c>
      <c r="BF55" s="74">
        <f t="shared" si="81"/>
        <v>0</v>
      </c>
      <c r="BG55" s="74">
        <f t="shared" si="81"/>
        <v>0</v>
      </c>
      <c r="BH55" s="74">
        <f t="shared" si="81"/>
        <v>0</v>
      </c>
      <c r="BI55" s="81">
        <f>countif($K55:$BC56,"*" &amp; BI$2 &amp; "*")</f>
        <v>0</v>
      </c>
      <c r="BJ55" s="81">
        <f t="shared" ref="BJ55:BK55" si="82">countif($K55:$BC56,"*" &amp; BJ$2 &amp; "*")/2</f>
        <v>0</v>
      </c>
      <c r="BK55" s="81">
        <f t="shared" si="82"/>
        <v>0</v>
      </c>
      <c r="BL55" s="81">
        <f>countif($K55:$BC56,"*" &amp; BL$2 &amp; "*")</f>
        <v>0</v>
      </c>
      <c r="BM55" s="92"/>
      <c r="BN55" s="532" t="s">
        <v>860</v>
      </c>
      <c r="BO55" s="46"/>
      <c r="BP55" s="533" t="s">
        <v>862</v>
      </c>
      <c r="BQ55" s="46"/>
      <c r="BR55" s="15"/>
      <c r="BS55" s="15"/>
    </row>
    <row r="56" ht="20.25" customHeight="1">
      <c r="A56" s="96"/>
      <c r="B56" s="97">
        <v>42654.0</v>
      </c>
      <c r="C56" s="112"/>
      <c r="D56" s="112"/>
      <c r="E56" s="112"/>
      <c r="F56" s="112"/>
      <c r="G56" s="85"/>
      <c r="H56" s="112"/>
      <c r="I56" s="85"/>
      <c r="J56" s="112"/>
      <c r="K56" s="237"/>
      <c r="L56" s="85"/>
      <c r="M56" s="87"/>
      <c r="N56" s="87"/>
      <c r="O56" s="87"/>
      <c r="P56" s="87"/>
      <c r="Q56" s="87"/>
      <c r="R56" s="87"/>
      <c r="S56" s="86"/>
      <c r="T56" s="236" t="s">
        <v>282</v>
      </c>
      <c r="U56" s="96"/>
      <c r="V56" s="96"/>
      <c r="W56" s="54"/>
      <c r="X56" s="54"/>
      <c r="Y56" s="96"/>
      <c r="Z56" s="96"/>
      <c r="AA56" s="54"/>
      <c r="AB56" s="54"/>
      <c r="AC56" s="43"/>
      <c r="AD56" s="85"/>
      <c r="AE56" s="86"/>
      <c r="AF56" s="96"/>
      <c r="AG56" s="112"/>
      <c r="AH56" s="54"/>
      <c r="AI56" s="112"/>
      <c r="AJ56" s="112"/>
      <c r="AK56" s="54"/>
      <c r="AL56" s="43"/>
      <c r="AM56" s="96"/>
      <c r="AN56" s="106"/>
      <c r="AQ56" s="287"/>
      <c r="AR56" s="287"/>
      <c r="AS56" s="96"/>
      <c r="AT56" s="96"/>
      <c r="AU56" s="43"/>
      <c r="AW56" s="106"/>
      <c r="AX56" s="192"/>
      <c r="AY56" s="15"/>
      <c r="AZ56" s="15"/>
      <c r="BA56" s="96"/>
      <c r="BB56" s="96"/>
      <c r="BC56" s="43"/>
      <c r="BD56" s="72">
        <f t="shared" ref="BD56:BH56" si="83">countif($K56:$BC56,BD$2)</f>
        <v>0</v>
      </c>
      <c r="BE56" s="74">
        <f t="shared" si="83"/>
        <v>0</v>
      </c>
      <c r="BF56" s="74">
        <f t="shared" si="83"/>
        <v>0</v>
      </c>
      <c r="BG56" s="74">
        <f t="shared" si="83"/>
        <v>0</v>
      </c>
      <c r="BH56" s="74">
        <f t="shared" si="83"/>
        <v>0</v>
      </c>
      <c r="BI56" s="112"/>
      <c r="BJ56" s="112"/>
      <c r="BK56" s="112"/>
      <c r="BL56" s="112"/>
      <c r="BM56" s="92"/>
      <c r="BN56" s="142"/>
      <c r="BO56" s="106"/>
      <c r="BP56" s="142"/>
      <c r="BQ56" s="106"/>
      <c r="BR56" s="15"/>
      <c r="BS56" s="15"/>
    </row>
    <row r="57">
      <c r="A57" s="96"/>
      <c r="B57" s="97">
        <v>42686.0</v>
      </c>
      <c r="C57" s="505" t="s">
        <v>832</v>
      </c>
      <c r="D57" s="457" t="s">
        <v>834</v>
      </c>
      <c r="E57" s="505" t="s">
        <v>832</v>
      </c>
      <c r="F57" s="457" t="s">
        <v>834</v>
      </c>
      <c r="G57" s="460"/>
      <c r="H57" s="460"/>
      <c r="I57" s="458" t="s">
        <v>705</v>
      </c>
      <c r="J57" s="458" t="s">
        <v>706</v>
      </c>
      <c r="K57" s="43"/>
      <c r="L57" s="122" t="s">
        <v>871</v>
      </c>
      <c r="M57" s="61"/>
      <c r="N57" s="61"/>
      <c r="O57" s="61"/>
      <c r="P57" s="61"/>
      <c r="Q57" s="61"/>
      <c r="R57" s="61"/>
      <c r="S57" s="46"/>
      <c r="T57" s="152" t="s">
        <v>141</v>
      </c>
      <c r="U57" s="112"/>
      <c r="V57" s="112"/>
      <c r="W57" s="229"/>
      <c r="X57" s="229"/>
      <c r="Y57" s="112"/>
      <c r="Z57" s="112"/>
      <c r="AA57" s="229"/>
      <c r="AB57" s="229"/>
      <c r="AC57" s="43"/>
      <c r="AD57" s="537"/>
      <c r="AE57" s="160" t="s">
        <v>872</v>
      </c>
      <c r="AF57" s="202" t="s">
        <v>873</v>
      </c>
      <c r="AG57" s="160" t="s">
        <v>874</v>
      </c>
      <c r="AH57" s="203" t="s">
        <v>875</v>
      </c>
      <c r="AI57" s="46"/>
      <c r="AJ57" s="203" t="s">
        <v>876</v>
      </c>
      <c r="AK57" s="46"/>
      <c r="AL57" s="43"/>
      <c r="AM57" s="112"/>
      <c r="AN57" s="86"/>
      <c r="AQ57" s="287"/>
      <c r="AR57" s="287"/>
      <c r="AS57" s="112"/>
      <c r="AT57" s="112"/>
      <c r="AU57" s="43"/>
      <c r="AV57" s="538" t="s">
        <v>879</v>
      </c>
      <c r="AW57" s="46"/>
      <c r="AX57" s="192" t="s">
        <v>282</v>
      </c>
      <c r="AY57" s="15"/>
      <c r="AZ57" s="15"/>
      <c r="BA57" s="96"/>
      <c r="BB57" s="96"/>
      <c r="BC57" s="43"/>
      <c r="BD57" s="72">
        <f t="shared" ref="BD57:BH57" si="84">countif($D57:$BC57,BD$2)</f>
        <v>0</v>
      </c>
      <c r="BE57" s="74">
        <f t="shared" si="84"/>
        <v>0</v>
      </c>
      <c r="BF57" s="74">
        <f t="shared" si="84"/>
        <v>1</v>
      </c>
      <c r="BG57" s="74">
        <f t="shared" si="84"/>
        <v>0</v>
      </c>
      <c r="BH57" s="74">
        <f t="shared" si="84"/>
        <v>0</v>
      </c>
      <c r="BI57" s="81">
        <f>countif($D57:$BC58,"*" &amp; BI$2 &amp; "*")</f>
        <v>0</v>
      </c>
      <c r="BJ57" s="81">
        <f t="shared" ref="BJ57:BK57" si="85">countif($D57:$BC58,"*" &amp; BJ$2 &amp; "*")/2</f>
        <v>0</v>
      </c>
      <c r="BK57" s="81">
        <f t="shared" si="85"/>
        <v>0</v>
      </c>
      <c r="BL57" s="81">
        <f>countif($D57:$BC58,"*" &amp; BL$2 &amp; "*")</f>
        <v>0</v>
      </c>
      <c r="BM57" s="92"/>
      <c r="BN57" s="142"/>
      <c r="BO57" s="106"/>
      <c r="BP57" s="142"/>
      <c r="BQ57" s="106"/>
      <c r="BR57" s="15"/>
      <c r="BS57" s="15"/>
    </row>
    <row r="58">
      <c r="A58" s="96"/>
      <c r="B58" s="543">
        <v>42717.0</v>
      </c>
      <c r="C58" s="85"/>
      <c r="D58" s="112"/>
      <c r="E58" s="85"/>
      <c r="F58" s="112"/>
      <c r="G58" s="460"/>
      <c r="H58" s="460"/>
      <c r="I58" s="112"/>
      <c r="J58" s="112"/>
      <c r="K58" s="237"/>
      <c r="L58" s="85"/>
      <c r="M58" s="87"/>
      <c r="N58" s="87"/>
      <c r="O58" s="87"/>
      <c r="P58" s="87"/>
      <c r="Q58" s="87"/>
      <c r="R58" s="87"/>
      <c r="S58" s="86"/>
      <c r="T58" s="152" t="s">
        <v>141</v>
      </c>
      <c r="U58" s="202" t="s">
        <v>895</v>
      </c>
      <c r="V58" s="202" t="s">
        <v>897</v>
      </c>
      <c r="W58" s="202" t="s">
        <v>839</v>
      </c>
      <c r="X58" s="202" t="s">
        <v>841</v>
      </c>
      <c r="Y58" s="54"/>
      <c r="Z58" s="547" t="s">
        <v>899</v>
      </c>
      <c r="AA58" s="202" t="s">
        <v>839</v>
      </c>
      <c r="AB58" s="202" t="s">
        <v>841</v>
      </c>
      <c r="AC58" s="43"/>
      <c r="AD58" s="537"/>
      <c r="AE58" s="112"/>
      <c r="AF58" s="112"/>
      <c r="AG58" s="112"/>
      <c r="AH58" s="85"/>
      <c r="AI58" s="86"/>
      <c r="AJ58" s="85"/>
      <c r="AK58" s="86"/>
      <c r="AL58" s="43"/>
      <c r="AM58" s="287"/>
      <c r="AN58" s="287"/>
      <c r="AO58" s="104"/>
      <c r="AP58" s="104"/>
      <c r="AQ58" s="262" t="s">
        <v>902</v>
      </c>
      <c r="AR58" s="263" t="s">
        <v>904</v>
      </c>
      <c r="AS58" s="262" t="s">
        <v>506</v>
      </c>
      <c r="AT58" s="263" t="s">
        <v>507</v>
      </c>
      <c r="AU58" s="43"/>
      <c r="AV58" s="85"/>
      <c r="AW58" s="86"/>
      <c r="AX58" s="192" t="s">
        <v>282</v>
      </c>
      <c r="AY58" s="15"/>
      <c r="AZ58" s="15"/>
      <c r="BA58" s="112"/>
      <c r="BB58" s="112"/>
      <c r="BC58" s="43"/>
      <c r="BD58" s="72">
        <f t="shared" ref="BD58:BH58" si="86">countif($D58:$BC58,BD$2)</f>
        <v>0</v>
      </c>
      <c r="BE58" s="74">
        <f t="shared" si="86"/>
        <v>0</v>
      </c>
      <c r="BF58" s="74">
        <f t="shared" si="86"/>
        <v>1</v>
      </c>
      <c r="BG58" s="74">
        <f t="shared" si="86"/>
        <v>0</v>
      </c>
      <c r="BH58" s="74">
        <f t="shared" si="86"/>
        <v>0</v>
      </c>
      <c r="BI58" s="112"/>
      <c r="BJ58" s="112"/>
      <c r="BK58" s="112"/>
      <c r="BL58" s="112"/>
      <c r="BM58" s="92"/>
      <c r="BN58" s="85"/>
      <c r="BO58" s="86"/>
      <c r="BP58" s="85"/>
      <c r="BQ58" s="86"/>
      <c r="BR58" s="15"/>
      <c r="BS58" s="15"/>
    </row>
    <row r="59">
      <c r="A59" s="96"/>
      <c r="B59" s="151" t="s">
        <v>310</v>
      </c>
      <c r="C59" s="458" t="s">
        <v>913</v>
      </c>
      <c r="D59" s="458" t="s">
        <v>914</v>
      </c>
      <c r="E59" s="458" t="s">
        <v>913</v>
      </c>
      <c r="F59" s="458" t="s">
        <v>914</v>
      </c>
      <c r="G59" s="551"/>
      <c r="H59" s="551"/>
      <c r="I59" s="551"/>
      <c r="J59" s="552"/>
      <c r="K59" s="43"/>
      <c r="L59" s="553"/>
      <c r="M59" s="554"/>
      <c r="N59" s="554"/>
      <c r="O59" s="554"/>
      <c r="P59" s="554"/>
      <c r="Q59" s="554"/>
      <c r="R59" s="554"/>
      <c r="S59" s="554"/>
      <c r="T59" s="43"/>
      <c r="U59" s="96"/>
      <c r="V59" s="96"/>
      <c r="W59" s="96"/>
      <c r="X59" s="96"/>
      <c r="Y59" s="54"/>
      <c r="Z59" s="54"/>
      <c r="AA59" s="96"/>
      <c r="AB59" s="96"/>
      <c r="AC59" s="43"/>
      <c r="AD59" s="537"/>
      <c r="AE59" s="202" t="s">
        <v>633</v>
      </c>
      <c r="AF59" s="202" t="s">
        <v>920</v>
      </c>
      <c r="AG59" s="202" t="s">
        <v>191</v>
      </c>
      <c r="AH59" s="202" t="s">
        <v>194</v>
      </c>
      <c r="AI59" s="54"/>
      <c r="AJ59" s="160" t="s">
        <v>325</v>
      </c>
      <c r="AK59" s="160" t="s">
        <v>326</v>
      </c>
      <c r="AL59" s="43"/>
      <c r="AM59" s="262" t="s">
        <v>770</v>
      </c>
      <c r="AN59" s="263" t="s">
        <v>346</v>
      </c>
      <c r="AO59" s="104"/>
      <c r="AP59" s="104"/>
      <c r="AQ59" s="96"/>
      <c r="AR59" s="106"/>
      <c r="AS59" s="96"/>
      <c r="AT59" s="106"/>
      <c r="AU59" s="43"/>
      <c r="AV59" s="67" t="s">
        <v>921</v>
      </c>
      <c r="AW59" s="46"/>
      <c r="AX59" s="43"/>
      <c r="AY59" s="15"/>
      <c r="AZ59" s="15"/>
      <c r="BA59" s="15"/>
      <c r="BB59" s="15"/>
      <c r="BC59" s="43"/>
      <c r="BD59" s="72">
        <f t="shared" ref="BD59:BH59" si="87">countif($D59:$BC59,BD$2)</f>
        <v>0</v>
      </c>
      <c r="BE59" s="74">
        <f t="shared" si="87"/>
        <v>0</v>
      </c>
      <c r="BF59" s="74">
        <f t="shared" si="87"/>
        <v>0</v>
      </c>
      <c r="BG59" s="74">
        <f t="shared" si="87"/>
        <v>0</v>
      </c>
      <c r="BH59" s="74">
        <f t="shared" si="87"/>
        <v>0</v>
      </c>
      <c r="BI59" s="81">
        <f>countif($D59:$BC60,"*" &amp; BI$2 &amp; "*")</f>
        <v>0</v>
      </c>
      <c r="BJ59" s="81">
        <f t="shared" ref="BJ59:BK59" si="88">countif($D59:$BC60,"*" &amp; BJ$2 &amp; "*")/2</f>
        <v>1</v>
      </c>
      <c r="BK59" s="81">
        <f t="shared" si="88"/>
        <v>0</v>
      </c>
      <c r="BL59" s="81">
        <f>countif($D59:$BC60,"*" &amp; BL$2 &amp; "*")</f>
        <v>0</v>
      </c>
      <c r="BM59" s="92"/>
      <c r="BN59" s="557" t="s">
        <v>927</v>
      </c>
      <c r="BO59" s="46"/>
      <c r="BP59" s="533" t="s">
        <v>930</v>
      </c>
      <c r="BQ59" s="46"/>
      <c r="BR59" s="15"/>
      <c r="BS59" s="15"/>
    </row>
    <row r="60">
      <c r="A60" s="96"/>
      <c r="B60" s="151" t="s">
        <v>341</v>
      </c>
      <c r="C60" s="112"/>
      <c r="D60" s="112"/>
      <c r="E60" s="112"/>
      <c r="F60" s="112"/>
      <c r="G60" s="551"/>
      <c r="H60" s="551"/>
      <c r="I60" s="551"/>
      <c r="J60" s="552"/>
      <c r="K60" s="43"/>
      <c r="L60" s="559"/>
      <c r="M60" s="560"/>
      <c r="N60" s="560"/>
      <c r="O60" s="560"/>
      <c r="P60" s="560"/>
      <c r="Q60" s="560"/>
      <c r="R60" s="560"/>
      <c r="S60" s="560"/>
      <c r="T60" s="43"/>
      <c r="U60" s="112"/>
      <c r="V60" s="112"/>
      <c r="W60" s="112"/>
      <c r="X60" s="112"/>
      <c r="Y60" s="54"/>
      <c r="Z60" s="54"/>
      <c r="AA60" s="112"/>
      <c r="AB60" s="112"/>
      <c r="AC60" s="43"/>
      <c r="AD60" s="537"/>
      <c r="AE60" s="96"/>
      <c r="AF60" s="96"/>
      <c r="AG60" s="96"/>
      <c r="AH60" s="96"/>
      <c r="AI60" s="54"/>
      <c r="AJ60" s="96"/>
      <c r="AK60" s="96"/>
      <c r="AL60" s="43"/>
      <c r="AM60" s="112"/>
      <c r="AN60" s="86"/>
      <c r="AO60" s="104"/>
      <c r="AP60" s="104"/>
      <c r="AQ60" s="112"/>
      <c r="AR60" s="86"/>
      <c r="AS60" s="112"/>
      <c r="AT60" s="86"/>
      <c r="AU60" s="43"/>
      <c r="AV60" s="85"/>
      <c r="AW60" s="86"/>
      <c r="AX60" s="43"/>
      <c r="AY60" s="15"/>
      <c r="AZ60" s="15"/>
      <c r="BA60" s="15"/>
      <c r="BB60" s="15"/>
      <c r="BC60" s="43"/>
      <c r="BD60" s="72">
        <f t="shared" ref="BD60:BH60" si="89">countif($D60:$BC60,BD$2)</f>
        <v>0</v>
      </c>
      <c r="BE60" s="74">
        <f t="shared" si="89"/>
        <v>0</v>
      </c>
      <c r="BF60" s="74">
        <f t="shared" si="89"/>
        <v>0</v>
      </c>
      <c r="BG60" s="74">
        <f t="shared" si="89"/>
        <v>0</v>
      </c>
      <c r="BH60" s="74">
        <f t="shared" si="89"/>
        <v>0</v>
      </c>
      <c r="BI60" s="112"/>
      <c r="BJ60" s="112"/>
      <c r="BK60" s="112"/>
      <c r="BL60" s="112"/>
      <c r="BM60" s="92"/>
      <c r="BN60" s="142"/>
      <c r="BO60" s="106"/>
      <c r="BP60" s="142"/>
      <c r="BQ60" s="106"/>
      <c r="BR60" s="15"/>
      <c r="BS60" s="15"/>
    </row>
    <row r="61">
      <c r="A61" s="96"/>
      <c r="B61" s="568" t="s">
        <v>342</v>
      </c>
      <c r="C61" s="457" t="s">
        <v>935</v>
      </c>
      <c r="D61" s="457" t="s">
        <v>936</v>
      </c>
      <c r="E61" s="457" t="s">
        <v>935</v>
      </c>
      <c r="F61" s="457" t="s">
        <v>936</v>
      </c>
      <c r="G61" s="446" t="s">
        <v>913</v>
      </c>
      <c r="H61" s="446" t="s">
        <v>914</v>
      </c>
      <c r="I61" s="446" t="s">
        <v>913</v>
      </c>
      <c r="J61" s="446" t="s">
        <v>914</v>
      </c>
      <c r="K61" s="43"/>
      <c r="L61" s="559"/>
      <c r="M61" s="560"/>
      <c r="N61" s="560"/>
      <c r="O61" s="560"/>
      <c r="P61" s="560"/>
      <c r="Q61" s="560"/>
      <c r="R61" s="560"/>
      <c r="S61" s="560"/>
      <c r="T61" s="43"/>
      <c r="U61" s="204"/>
      <c r="V61" s="206"/>
      <c r="W61" s="206"/>
      <c r="X61" s="206"/>
      <c r="Y61" s="206"/>
      <c r="Z61" s="206"/>
      <c r="AA61" s="206"/>
      <c r="AB61" s="572"/>
      <c r="AC61" s="43"/>
      <c r="AD61" s="537"/>
      <c r="AE61" s="96"/>
      <c r="AF61" s="96"/>
      <c r="AG61" s="96"/>
      <c r="AH61" s="96"/>
      <c r="AI61" s="54"/>
      <c r="AJ61" s="96"/>
      <c r="AK61" s="96"/>
      <c r="AL61" s="43"/>
      <c r="AM61" s="287"/>
      <c r="AN61" s="287"/>
      <c r="AO61" s="262" t="s">
        <v>433</v>
      </c>
      <c r="AP61" s="262" t="s">
        <v>434</v>
      </c>
      <c r="AQ61" s="287"/>
      <c r="AR61" s="287"/>
      <c r="AS61" s="262" t="s">
        <v>462</v>
      </c>
      <c r="AT61" s="262" t="s">
        <v>463</v>
      </c>
      <c r="AU61" s="43"/>
      <c r="AV61" s="505"/>
      <c r="AW61" s="506"/>
      <c r="AX61" s="43"/>
      <c r="AY61" s="15"/>
      <c r="AZ61" s="15"/>
      <c r="BA61" s="15"/>
      <c r="BB61" s="15"/>
      <c r="BC61" s="43"/>
      <c r="BD61" s="72">
        <f t="shared" ref="BD61:BH61" si="90">countif($D61:$BC61,BD$2)</f>
        <v>0</v>
      </c>
      <c r="BE61" s="74">
        <f t="shared" si="90"/>
        <v>0</v>
      </c>
      <c r="BF61" s="74">
        <f t="shared" si="90"/>
        <v>0</v>
      </c>
      <c r="BG61" s="74">
        <f t="shared" si="90"/>
        <v>0</v>
      </c>
      <c r="BH61" s="74">
        <f t="shared" si="90"/>
        <v>0</v>
      </c>
      <c r="BI61" s="81">
        <f>countif($D61:$BC62,"*" &amp; BI$2 &amp; "*")</f>
        <v>0</v>
      </c>
      <c r="BJ61" s="81">
        <f t="shared" ref="BJ61:BK61" si="91">countif($D61:$BC62,"*" &amp; BJ$2 &amp; "*")/2</f>
        <v>0</v>
      </c>
      <c r="BK61" s="81">
        <f t="shared" si="91"/>
        <v>0</v>
      </c>
      <c r="BL61" s="81">
        <f>countif($D61:$BC62,"*" &amp; BL$2 &amp; "*")</f>
        <v>0</v>
      </c>
      <c r="BM61" s="92"/>
      <c r="BN61" s="142"/>
      <c r="BO61" s="106"/>
      <c r="BP61" s="142"/>
      <c r="BQ61" s="106"/>
      <c r="BR61" s="15"/>
      <c r="BS61" s="15"/>
    </row>
    <row r="62">
      <c r="A62" s="96"/>
      <c r="B62" s="568" t="s">
        <v>369</v>
      </c>
      <c r="C62" s="112"/>
      <c r="D62" s="112"/>
      <c r="E62" s="112"/>
      <c r="F62" s="112"/>
      <c r="G62" s="112"/>
      <c r="H62" s="112"/>
      <c r="I62" s="112"/>
      <c r="J62" s="112"/>
      <c r="K62" s="43"/>
      <c r="L62" s="559"/>
      <c r="M62" s="560"/>
      <c r="N62" s="560"/>
      <c r="O62" s="560"/>
      <c r="P62" s="560"/>
      <c r="Q62" s="560"/>
      <c r="R62" s="560"/>
      <c r="S62" s="560"/>
      <c r="T62" s="43"/>
      <c r="U62" s="204"/>
      <c r="V62" s="206"/>
      <c r="W62" s="206"/>
      <c r="X62" s="206"/>
      <c r="Y62" s="206"/>
      <c r="Z62" s="206"/>
      <c r="AA62" s="206"/>
      <c r="AB62" s="572"/>
      <c r="AC62" s="43"/>
      <c r="AD62" s="537"/>
      <c r="AE62" s="112"/>
      <c r="AF62" s="112"/>
      <c r="AG62" s="112"/>
      <c r="AH62" s="112"/>
      <c r="AI62" s="54"/>
      <c r="AJ62" s="112"/>
      <c r="AK62" s="112"/>
      <c r="AL62" s="43"/>
      <c r="AM62" s="287"/>
      <c r="AN62" s="287"/>
      <c r="AO62" s="96"/>
      <c r="AP62" s="96"/>
      <c r="AQ62" s="287"/>
      <c r="AR62" s="287"/>
      <c r="AS62" s="96"/>
      <c r="AT62" s="96"/>
      <c r="AU62" s="43"/>
      <c r="AV62" s="505"/>
      <c r="AW62" s="506"/>
      <c r="AX62" s="43"/>
      <c r="AY62" s="15"/>
      <c r="AZ62" s="15"/>
      <c r="BA62" s="15"/>
      <c r="BB62" s="15"/>
      <c r="BC62" s="43"/>
      <c r="BD62" s="72">
        <f t="shared" ref="BD62:BH62" si="92">countif($D62:$BC62,BD$2)</f>
        <v>0</v>
      </c>
      <c r="BE62" s="74">
        <f t="shared" si="92"/>
        <v>0</v>
      </c>
      <c r="BF62" s="74">
        <f t="shared" si="92"/>
        <v>0</v>
      </c>
      <c r="BG62" s="74">
        <f t="shared" si="92"/>
        <v>0</v>
      </c>
      <c r="BH62" s="74">
        <f t="shared" si="92"/>
        <v>0</v>
      </c>
      <c r="BI62" s="112"/>
      <c r="BJ62" s="112"/>
      <c r="BK62" s="112"/>
      <c r="BL62" s="112"/>
      <c r="BM62" s="92"/>
      <c r="BN62" s="85"/>
      <c r="BO62" s="86"/>
      <c r="BP62" s="85"/>
      <c r="BQ62" s="86"/>
      <c r="BR62" s="15"/>
      <c r="BS62" s="15"/>
    </row>
    <row r="63">
      <c r="A63" s="96"/>
      <c r="B63" s="568" t="s">
        <v>375</v>
      </c>
      <c r="C63" s="458" t="s">
        <v>947</v>
      </c>
      <c r="D63" s="458" t="s">
        <v>948</v>
      </c>
      <c r="E63" s="458" t="s">
        <v>947</v>
      </c>
      <c r="F63" s="458" t="s">
        <v>948</v>
      </c>
      <c r="G63" s="457" t="s">
        <v>935</v>
      </c>
      <c r="H63" s="457" t="s">
        <v>936</v>
      </c>
      <c r="I63" s="457" t="s">
        <v>935</v>
      </c>
      <c r="J63" s="457" t="s">
        <v>936</v>
      </c>
      <c r="K63" s="43"/>
      <c r="L63" s="559"/>
      <c r="M63" s="560"/>
      <c r="N63" s="560"/>
      <c r="O63" s="560"/>
      <c r="P63" s="560"/>
      <c r="Q63" s="560"/>
      <c r="R63" s="560"/>
      <c r="S63" s="560"/>
      <c r="T63" s="43"/>
      <c r="U63" s="204"/>
      <c r="V63" s="206"/>
      <c r="W63" s="53" t="s">
        <v>191</v>
      </c>
      <c r="X63" s="53" t="s">
        <v>194</v>
      </c>
      <c r="Y63" s="206"/>
      <c r="Z63" s="206"/>
      <c r="AA63" s="206"/>
      <c r="AB63" s="572"/>
      <c r="AC63" s="43"/>
      <c r="AD63" s="537"/>
      <c r="AE63" s="582"/>
      <c r="AF63" s="582"/>
      <c r="AG63" s="54"/>
      <c r="AH63" s="160" t="s">
        <v>325</v>
      </c>
      <c r="AI63" s="160" t="s">
        <v>326</v>
      </c>
      <c r="AJ63" s="54"/>
      <c r="AK63" s="54"/>
      <c r="AL63" s="43"/>
      <c r="AM63" s="287"/>
      <c r="AN63" s="287"/>
      <c r="AO63" s="112"/>
      <c r="AP63" s="112"/>
      <c r="AQ63" s="287"/>
      <c r="AR63" s="287"/>
      <c r="AS63" s="112"/>
      <c r="AT63" s="112"/>
      <c r="AU63" s="43"/>
      <c r="AV63" s="505"/>
      <c r="AW63" s="506"/>
      <c r="AX63" s="43"/>
      <c r="AY63" s="15"/>
      <c r="AZ63" s="15"/>
      <c r="BA63" s="15"/>
      <c r="BB63" s="15"/>
      <c r="BC63" s="43"/>
      <c r="BD63" s="72">
        <f t="shared" ref="BD63:BH63" si="93">countif($D63:$BC63,BD$2)</f>
        <v>0</v>
      </c>
      <c r="BE63" s="74">
        <f t="shared" si="93"/>
        <v>0</v>
      </c>
      <c r="BF63" s="74">
        <f t="shared" si="93"/>
        <v>0</v>
      </c>
      <c r="BG63" s="74">
        <f t="shared" si="93"/>
        <v>0</v>
      </c>
      <c r="BH63" s="74">
        <f t="shared" si="93"/>
        <v>0</v>
      </c>
      <c r="BI63" s="81">
        <f>countif($D63:$BC64,"*" &amp; BI$2 &amp; "*")</f>
        <v>0</v>
      </c>
      <c r="BJ63" s="81">
        <f t="shared" ref="BJ63:BK63" si="94">countif($D63:$BC64,"*" &amp; BJ$2 &amp; "*")/2</f>
        <v>1</v>
      </c>
      <c r="BK63" s="81">
        <f t="shared" si="94"/>
        <v>0</v>
      </c>
      <c r="BL63" s="81">
        <f>countif($D63:$BC64,"*" &amp; BL$2 &amp; "*")</f>
        <v>0</v>
      </c>
      <c r="BM63" s="92"/>
      <c r="BN63" s="587" t="s">
        <v>959</v>
      </c>
      <c r="BO63" s="46"/>
      <c r="BP63" s="533" t="s">
        <v>960</v>
      </c>
      <c r="BQ63" s="46"/>
      <c r="BR63" s="15"/>
      <c r="BS63" s="15"/>
    </row>
    <row r="64">
      <c r="A64" s="96"/>
      <c r="B64" s="568" t="s">
        <v>392</v>
      </c>
      <c r="C64" s="112"/>
      <c r="D64" s="112"/>
      <c r="E64" s="112"/>
      <c r="F64" s="112"/>
      <c r="G64" s="112"/>
      <c r="H64" s="112"/>
      <c r="I64" s="112"/>
      <c r="J64" s="112"/>
      <c r="K64" s="43"/>
      <c r="L64" s="559"/>
      <c r="M64" s="560"/>
      <c r="N64" s="560"/>
      <c r="O64" s="560"/>
      <c r="P64" s="560"/>
      <c r="Q64" s="560"/>
      <c r="R64" s="560"/>
      <c r="S64" s="560"/>
      <c r="T64" s="43"/>
      <c r="U64" s="204"/>
      <c r="V64" s="206"/>
      <c r="W64" s="96"/>
      <c r="X64" s="96"/>
      <c r="Y64" s="206"/>
      <c r="Z64" s="206"/>
      <c r="AA64" s="206"/>
      <c r="AB64" s="572"/>
      <c r="AC64" s="43"/>
      <c r="AD64" s="537"/>
      <c r="AE64" s="582"/>
      <c r="AF64" s="582"/>
      <c r="AG64" s="54"/>
      <c r="AH64" s="96"/>
      <c r="AI64" s="96"/>
      <c r="AJ64" s="54"/>
      <c r="AK64" s="54"/>
      <c r="AL64" s="43"/>
      <c r="AM64" s="287"/>
      <c r="AN64" s="287"/>
      <c r="AO64" s="338" t="s">
        <v>531</v>
      </c>
      <c r="AP64" s="338" t="s">
        <v>530</v>
      </c>
      <c r="AQ64" s="287"/>
      <c r="AR64" s="287"/>
      <c r="AU64" s="43"/>
      <c r="AV64" s="505"/>
      <c r="AW64" s="506"/>
      <c r="AX64" s="43"/>
      <c r="AY64" s="15"/>
      <c r="AZ64" s="15"/>
      <c r="BA64" s="15"/>
      <c r="BB64" s="15"/>
      <c r="BC64" s="43"/>
      <c r="BD64" s="72">
        <f t="shared" ref="BD64:BH64" si="95">countif($D64:$BC64,BD$2)</f>
        <v>0</v>
      </c>
      <c r="BE64" s="74">
        <f t="shared" si="95"/>
        <v>0</v>
      </c>
      <c r="BF64" s="74">
        <f t="shared" si="95"/>
        <v>0</v>
      </c>
      <c r="BG64" s="74">
        <f t="shared" si="95"/>
        <v>0</v>
      </c>
      <c r="BH64" s="74">
        <f t="shared" si="95"/>
        <v>0</v>
      </c>
      <c r="BI64" s="112"/>
      <c r="BJ64" s="112"/>
      <c r="BK64" s="112"/>
      <c r="BL64" s="112"/>
      <c r="BM64" s="92"/>
      <c r="BN64" s="142"/>
      <c r="BO64" s="106"/>
      <c r="BP64" s="142"/>
      <c r="BQ64" s="106"/>
      <c r="BR64" s="15"/>
      <c r="BS64" s="15"/>
    </row>
    <row r="65">
      <c r="A65" s="96"/>
      <c r="B65" s="151" t="s">
        <v>398</v>
      </c>
      <c r="C65" s="593"/>
      <c r="D65" s="551"/>
      <c r="E65" s="551"/>
      <c r="F65" s="551"/>
      <c r="G65" s="458" t="s">
        <v>947</v>
      </c>
      <c r="H65" s="458" t="s">
        <v>948</v>
      </c>
      <c r="I65" s="458" t="s">
        <v>947</v>
      </c>
      <c r="J65" s="458" t="s">
        <v>948</v>
      </c>
      <c r="K65" s="43"/>
      <c r="L65" s="559"/>
      <c r="M65" s="560"/>
      <c r="N65" s="560"/>
      <c r="O65" s="560"/>
      <c r="P65" s="560"/>
      <c r="Q65" s="560"/>
      <c r="R65" s="560"/>
      <c r="S65" s="560"/>
      <c r="T65" s="43"/>
      <c r="U65" s="204"/>
      <c r="V65" s="206"/>
      <c r="W65" s="96"/>
      <c r="X65" s="96"/>
      <c r="Y65" s="206"/>
      <c r="Z65" s="206"/>
      <c r="AA65" s="206"/>
      <c r="AB65" s="572"/>
      <c r="AC65" s="43"/>
      <c r="AD65" s="537"/>
      <c r="AE65" s="582"/>
      <c r="AF65" s="582"/>
      <c r="AG65" s="54"/>
      <c r="AH65" s="96"/>
      <c r="AI65" s="96"/>
      <c r="AJ65" s="54"/>
      <c r="AK65" s="54"/>
      <c r="AL65" s="43"/>
      <c r="AM65" s="287"/>
      <c r="AN65" s="287"/>
      <c r="AO65" s="96"/>
      <c r="AP65" s="96"/>
      <c r="AQ65" s="287"/>
      <c r="AR65" s="287"/>
      <c r="AU65" s="43"/>
      <c r="AV65" s="505"/>
      <c r="AW65" s="506"/>
      <c r="AX65" s="43"/>
      <c r="AY65" s="15"/>
      <c r="AZ65" s="15"/>
      <c r="BA65" s="15"/>
      <c r="BB65" s="15"/>
      <c r="BC65" s="43"/>
      <c r="BD65" s="72">
        <f t="shared" ref="BD65:BH65" si="96">countif($D65:$BC65,BD$2)</f>
        <v>0</v>
      </c>
      <c r="BE65" s="74">
        <f t="shared" si="96"/>
        <v>0</v>
      </c>
      <c r="BF65" s="74">
        <f t="shared" si="96"/>
        <v>0</v>
      </c>
      <c r="BG65" s="74">
        <f t="shared" si="96"/>
        <v>0</v>
      </c>
      <c r="BH65" s="74">
        <f t="shared" si="96"/>
        <v>0</v>
      </c>
      <c r="BI65" s="81">
        <f>countif($D65:$BC66,"*" &amp; BI$2 &amp; "*")</f>
        <v>0</v>
      </c>
      <c r="BJ65" s="81">
        <f t="shared" ref="BJ65:BK65" si="97">countif($D65:$BC66,"*" &amp; BJ$2 &amp; "*")/2</f>
        <v>0</v>
      </c>
      <c r="BK65" s="81">
        <f t="shared" si="97"/>
        <v>0</v>
      </c>
      <c r="BL65" s="81">
        <f>countif($D65:$BC66,"*" &amp; BL$2 &amp; "*")</f>
        <v>0</v>
      </c>
      <c r="BM65" s="92"/>
      <c r="BN65" s="142"/>
      <c r="BO65" s="106"/>
      <c r="BP65" s="142"/>
      <c r="BQ65" s="106"/>
      <c r="BR65" s="15"/>
      <c r="BS65" s="15"/>
    </row>
    <row r="66">
      <c r="A66" s="112"/>
      <c r="B66" s="151" t="s">
        <v>408</v>
      </c>
      <c r="C66" s="595"/>
      <c r="D66" s="596"/>
      <c r="E66" s="596"/>
      <c r="F66" s="596"/>
      <c r="G66" s="112"/>
      <c r="H66" s="112"/>
      <c r="I66" s="112"/>
      <c r="J66" s="112"/>
      <c r="K66" s="598"/>
      <c r="L66" s="599"/>
      <c r="M66" s="600"/>
      <c r="N66" s="600"/>
      <c r="O66" s="600"/>
      <c r="P66" s="600"/>
      <c r="Q66" s="600"/>
      <c r="R66" s="600"/>
      <c r="S66" s="600"/>
      <c r="T66" s="598"/>
      <c r="U66" s="230"/>
      <c r="V66" s="231"/>
      <c r="W66" s="112"/>
      <c r="X66" s="112"/>
      <c r="Y66" s="231"/>
      <c r="Z66" s="231"/>
      <c r="AA66" s="231"/>
      <c r="AB66" s="601"/>
      <c r="AC66" s="598"/>
      <c r="AD66" s="604"/>
      <c r="AE66" s="605"/>
      <c r="AF66" s="605"/>
      <c r="AG66" s="229"/>
      <c r="AH66" s="112"/>
      <c r="AI66" s="112"/>
      <c r="AJ66" s="229"/>
      <c r="AK66" s="606"/>
      <c r="AL66" s="598"/>
      <c r="AM66" s="438"/>
      <c r="AN66" s="438"/>
      <c r="AO66" s="112"/>
      <c r="AP66" s="112"/>
      <c r="AQ66" s="438"/>
      <c r="AR66" s="438"/>
      <c r="AS66" s="87"/>
      <c r="AT66" s="87"/>
      <c r="AU66" s="598"/>
      <c r="AV66" s="517"/>
      <c r="AW66" s="518"/>
      <c r="AX66" s="598"/>
      <c r="AY66" s="234"/>
      <c r="AZ66" s="234"/>
      <c r="BA66" s="234"/>
      <c r="BB66" s="234"/>
      <c r="BC66" s="43"/>
      <c r="BD66" s="72">
        <f t="shared" ref="BD66:BH66" si="98">countif($D66:$BC66,BD$2)</f>
        <v>0</v>
      </c>
      <c r="BE66" s="74">
        <f t="shared" si="98"/>
        <v>0</v>
      </c>
      <c r="BF66" s="74">
        <f t="shared" si="98"/>
        <v>0</v>
      </c>
      <c r="BG66" s="74">
        <f t="shared" si="98"/>
        <v>0</v>
      </c>
      <c r="BH66" s="74">
        <f t="shared" si="98"/>
        <v>0</v>
      </c>
      <c r="BI66" s="112"/>
      <c r="BJ66" s="112"/>
      <c r="BK66" s="112"/>
      <c r="BL66" s="112"/>
      <c r="BM66" s="607"/>
      <c r="BN66" s="85"/>
      <c r="BO66" s="86"/>
      <c r="BP66" s="85"/>
      <c r="BQ66" s="86"/>
      <c r="BR66" s="234"/>
      <c r="BS66" s="234"/>
    </row>
  </sheetData>
  <mergeCells count="458">
    <mergeCell ref="AY9:BB10"/>
    <mergeCell ref="AY11:AZ12"/>
    <mergeCell ref="BA11:BB12"/>
    <mergeCell ref="AY16:BB17"/>
    <mergeCell ref="AY18:BB19"/>
    <mergeCell ref="AY20:AY21"/>
    <mergeCell ref="AZ20:AZ21"/>
    <mergeCell ref="AY35:AZ36"/>
    <mergeCell ref="AY42:BB43"/>
    <mergeCell ref="AY44:BB45"/>
    <mergeCell ref="BA55:BA58"/>
    <mergeCell ref="BB55:BB58"/>
    <mergeCell ref="BA20:BA21"/>
    <mergeCell ref="BB20:BB21"/>
    <mergeCell ref="BB29:BB30"/>
    <mergeCell ref="AY31:BB32"/>
    <mergeCell ref="AY33:BB34"/>
    <mergeCell ref="BA35:BA36"/>
    <mergeCell ref="BB35:BB36"/>
    <mergeCell ref="BK5:BK6"/>
    <mergeCell ref="BL5:BL6"/>
    <mergeCell ref="BI7:BI8"/>
    <mergeCell ref="BJ7:BJ8"/>
    <mergeCell ref="BK7:BK8"/>
    <mergeCell ref="BL7:BL8"/>
    <mergeCell ref="AY1:BB1"/>
    <mergeCell ref="BI3:BI4"/>
    <mergeCell ref="BJ3:BJ4"/>
    <mergeCell ref="BK3:BK4"/>
    <mergeCell ref="BL3:BL4"/>
    <mergeCell ref="BJ5:BJ6"/>
    <mergeCell ref="BL9:BL10"/>
    <mergeCell ref="BJ9:BJ10"/>
    <mergeCell ref="BK9:BK10"/>
    <mergeCell ref="BJ11:BJ12"/>
    <mergeCell ref="BK11:BK12"/>
    <mergeCell ref="BL11:BL12"/>
    <mergeCell ref="BK13:BK14"/>
    <mergeCell ref="BL13:BL14"/>
    <mergeCell ref="BJ20:BJ21"/>
    <mergeCell ref="BK20:BK21"/>
    <mergeCell ref="BL20:BL21"/>
    <mergeCell ref="BJ22:BJ23"/>
    <mergeCell ref="BK22:BK23"/>
    <mergeCell ref="BL22:BL23"/>
    <mergeCell ref="BJ13:BJ14"/>
    <mergeCell ref="BJ16:BJ17"/>
    <mergeCell ref="BK16:BK17"/>
    <mergeCell ref="BL16:BL17"/>
    <mergeCell ref="BJ18:BJ19"/>
    <mergeCell ref="BK18:BK19"/>
    <mergeCell ref="BL18:BL19"/>
    <mergeCell ref="AY23:AY25"/>
    <mergeCell ref="AZ23:AZ25"/>
    <mergeCell ref="BI31:BI32"/>
    <mergeCell ref="BI33:BI34"/>
    <mergeCell ref="BJ33:BJ34"/>
    <mergeCell ref="BK33:BK34"/>
    <mergeCell ref="BL33:BL34"/>
    <mergeCell ref="BI44:BI45"/>
    <mergeCell ref="BJ44:BJ45"/>
    <mergeCell ref="BK44:BK45"/>
    <mergeCell ref="BL44:BL45"/>
    <mergeCell ref="BJ46:BJ47"/>
    <mergeCell ref="BK46:BK47"/>
    <mergeCell ref="BL46:BL47"/>
    <mergeCell ref="BI46:BI47"/>
    <mergeCell ref="BI48:BI49"/>
    <mergeCell ref="BJ48:BJ49"/>
    <mergeCell ref="BK48:BK49"/>
    <mergeCell ref="BL48:BL49"/>
    <mergeCell ref="BI50:BI51"/>
    <mergeCell ref="BJ50:BJ51"/>
    <mergeCell ref="BI57:BI58"/>
    <mergeCell ref="BI61:BI62"/>
    <mergeCell ref="BI65:BI66"/>
    <mergeCell ref="BJ61:BJ62"/>
    <mergeCell ref="BK61:BK62"/>
    <mergeCell ref="BJ65:BJ66"/>
    <mergeCell ref="BK65:BK66"/>
    <mergeCell ref="BL65:BL66"/>
    <mergeCell ref="BN59:BO62"/>
    <mergeCell ref="BN63:BO66"/>
    <mergeCell ref="BP63:BQ66"/>
    <mergeCell ref="BN55:BO58"/>
    <mergeCell ref="BP55:BQ58"/>
    <mergeCell ref="BJ57:BJ58"/>
    <mergeCell ref="BK57:BK58"/>
    <mergeCell ref="BL57:BL58"/>
    <mergeCell ref="BP59:BQ62"/>
    <mergeCell ref="BL61:BL62"/>
    <mergeCell ref="BI52:BI53"/>
    <mergeCell ref="BJ52:BJ53"/>
    <mergeCell ref="BK52:BK53"/>
    <mergeCell ref="BL52:BL53"/>
    <mergeCell ref="BJ55:BJ56"/>
    <mergeCell ref="BK55:BK56"/>
    <mergeCell ref="BL55:BL56"/>
    <mergeCell ref="BI55:BI56"/>
    <mergeCell ref="BI59:BI60"/>
    <mergeCell ref="BJ59:BJ60"/>
    <mergeCell ref="BK59:BK60"/>
    <mergeCell ref="BL59:BL60"/>
    <mergeCell ref="BI63:BI64"/>
    <mergeCell ref="BJ63:BJ64"/>
    <mergeCell ref="BI22:BI23"/>
    <mergeCell ref="BI24:BI25"/>
    <mergeCell ref="BJ24:BJ25"/>
    <mergeCell ref="BK24:BK25"/>
    <mergeCell ref="BL24:BL25"/>
    <mergeCell ref="BK26:BK27"/>
    <mergeCell ref="BL26:BL27"/>
    <mergeCell ref="BJ26:BJ27"/>
    <mergeCell ref="BJ29:BJ30"/>
    <mergeCell ref="BK29:BK30"/>
    <mergeCell ref="BL29:BL30"/>
    <mergeCell ref="BJ31:BJ32"/>
    <mergeCell ref="BK31:BK32"/>
    <mergeCell ref="BL31:BL32"/>
    <mergeCell ref="BI35:BI36"/>
    <mergeCell ref="BJ35:BJ36"/>
    <mergeCell ref="BK35:BK36"/>
    <mergeCell ref="BL35:BL36"/>
    <mergeCell ref="BJ37:BJ38"/>
    <mergeCell ref="BK37:BK38"/>
    <mergeCell ref="BL37:BL38"/>
    <mergeCell ref="BK42:BK43"/>
    <mergeCell ref="BL42:BL43"/>
    <mergeCell ref="BI37:BI38"/>
    <mergeCell ref="BI39:BI40"/>
    <mergeCell ref="BJ39:BJ40"/>
    <mergeCell ref="BK39:BK40"/>
    <mergeCell ref="BL39:BL40"/>
    <mergeCell ref="BI42:BI43"/>
    <mergeCell ref="BJ42:BJ43"/>
    <mergeCell ref="BK50:BK51"/>
    <mergeCell ref="BL50:BL51"/>
    <mergeCell ref="BK63:BK64"/>
    <mergeCell ref="BL63:BL64"/>
    <mergeCell ref="L1:S1"/>
    <mergeCell ref="L3:M4"/>
    <mergeCell ref="N3:O4"/>
    <mergeCell ref="P3:Q4"/>
    <mergeCell ref="R3:S4"/>
    <mergeCell ref="V3:V4"/>
    <mergeCell ref="AB3:AB6"/>
    <mergeCell ref="L5:M6"/>
    <mergeCell ref="N5:O6"/>
    <mergeCell ref="P5:Q6"/>
    <mergeCell ref="R5:S6"/>
    <mergeCell ref="AY5:AY8"/>
    <mergeCell ref="AZ5:AZ8"/>
    <mergeCell ref="BA6:BA8"/>
    <mergeCell ref="BB6:BB8"/>
    <mergeCell ref="L7:M9"/>
    <mergeCell ref="N7:O9"/>
    <mergeCell ref="P7:Q8"/>
    <mergeCell ref="R7:S8"/>
    <mergeCell ref="L16:S17"/>
    <mergeCell ref="AJ16:AJ19"/>
    <mergeCell ref="AM16:AM18"/>
    <mergeCell ref="AN16:AN18"/>
    <mergeCell ref="AO16:AO18"/>
    <mergeCell ref="AP16:AP18"/>
    <mergeCell ref="L18:S19"/>
    <mergeCell ref="AK18:AK19"/>
    <mergeCell ref="AQ16:AQ18"/>
    <mergeCell ref="AR16:AR18"/>
    <mergeCell ref="AM19:AM21"/>
    <mergeCell ref="AN19:AN21"/>
    <mergeCell ref="AD20:AK21"/>
    <mergeCell ref="AO20:AO21"/>
    <mergeCell ref="AP20:AP21"/>
    <mergeCell ref="AQ22:AQ24"/>
    <mergeCell ref="AQ25:AQ27"/>
    <mergeCell ref="AR25:AR27"/>
    <mergeCell ref="AS25:AS27"/>
    <mergeCell ref="AT25:AT27"/>
    <mergeCell ref="AQ20:AQ21"/>
    <mergeCell ref="AR20:AR21"/>
    <mergeCell ref="AS20:AS21"/>
    <mergeCell ref="AT20:AT21"/>
    <mergeCell ref="AR22:AR24"/>
    <mergeCell ref="AS22:AS23"/>
    <mergeCell ref="AT22:AT23"/>
    <mergeCell ref="U16:AB17"/>
    <mergeCell ref="U18:AB19"/>
    <mergeCell ref="N20:N21"/>
    <mergeCell ref="O20:O21"/>
    <mergeCell ref="P20:Q22"/>
    <mergeCell ref="R20:S22"/>
    <mergeCell ref="U20:AB21"/>
    <mergeCell ref="C20:J21"/>
    <mergeCell ref="C29:J30"/>
    <mergeCell ref="L29:S30"/>
    <mergeCell ref="U29:V30"/>
    <mergeCell ref="X29:X30"/>
    <mergeCell ref="Y29:Y30"/>
    <mergeCell ref="AA29:AA30"/>
    <mergeCell ref="BI26:BI27"/>
    <mergeCell ref="BI29:BI30"/>
    <mergeCell ref="BI5:BI6"/>
    <mergeCell ref="BI9:BI10"/>
    <mergeCell ref="BI11:BI12"/>
    <mergeCell ref="BI13:BI14"/>
    <mergeCell ref="BI16:BI17"/>
    <mergeCell ref="BI18:BI19"/>
    <mergeCell ref="BI20:BI21"/>
    <mergeCell ref="AJ29:AJ30"/>
    <mergeCell ref="AK29:AK30"/>
    <mergeCell ref="AB29:AB30"/>
    <mergeCell ref="AD29:AD30"/>
    <mergeCell ref="AE29:AE30"/>
    <mergeCell ref="AF29:AF30"/>
    <mergeCell ref="AG29:AG30"/>
    <mergeCell ref="AH29:AH30"/>
    <mergeCell ref="AI29:AI30"/>
    <mergeCell ref="AV11:AV12"/>
    <mergeCell ref="AW11:AW12"/>
    <mergeCell ref="AV1:AW1"/>
    <mergeCell ref="AV13:AV14"/>
    <mergeCell ref="AW13:AW14"/>
    <mergeCell ref="AV16:AW17"/>
    <mergeCell ref="AV18:AW19"/>
    <mergeCell ref="AV20:AV23"/>
    <mergeCell ref="AW20:AW23"/>
    <mergeCell ref="AF59:AF62"/>
    <mergeCell ref="AG59:AG62"/>
    <mergeCell ref="AH59:AH62"/>
    <mergeCell ref="AJ59:AJ62"/>
    <mergeCell ref="AK59:AK62"/>
    <mergeCell ref="AM59:AM60"/>
    <mergeCell ref="AN59:AN60"/>
    <mergeCell ref="U58:U60"/>
    <mergeCell ref="V58:V60"/>
    <mergeCell ref="W58:W60"/>
    <mergeCell ref="X58:X60"/>
    <mergeCell ref="AA58:AA60"/>
    <mergeCell ref="AB58:AB60"/>
    <mergeCell ref="AE59:AE62"/>
    <mergeCell ref="R44:R45"/>
    <mergeCell ref="S44:S45"/>
    <mergeCell ref="R46:R49"/>
    <mergeCell ref="S46:S49"/>
    <mergeCell ref="P50:P53"/>
    <mergeCell ref="Q50:Q53"/>
    <mergeCell ref="L52:L53"/>
    <mergeCell ref="AD55:AE56"/>
    <mergeCell ref="AE57:AE58"/>
    <mergeCell ref="AF57:AF58"/>
    <mergeCell ref="AG57:AG58"/>
    <mergeCell ref="AH57:AI58"/>
    <mergeCell ref="AJ57:AK58"/>
    <mergeCell ref="AF55:AF56"/>
    <mergeCell ref="AG55:AG56"/>
    <mergeCell ref="AI55:AI56"/>
    <mergeCell ref="AJ55:AJ56"/>
    <mergeCell ref="AM55:AM57"/>
    <mergeCell ref="AN55:AN57"/>
    <mergeCell ref="AS55:AS57"/>
    <mergeCell ref="O52:O53"/>
    <mergeCell ref="L55:S56"/>
    <mergeCell ref="U55:U57"/>
    <mergeCell ref="V55:V57"/>
    <mergeCell ref="Y55:Y57"/>
    <mergeCell ref="Z55:Z57"/>
    <mergeCell ref="L57:S58"/>
    <mergeCell ref="AO61:AO63"/>
    <mergeCell ref="AP61:AP63"/>
    <mergeCell ref="AS61:AS63"/>
    <mergeCell ref="AT61:AT63"/>
    <mergeCell ref="AO64:AO66"/>
    <mergeCell ref="AP64:AP66"/>
    <mergeCell ref="W63:W66"/>
    <mergeCell ref="X63:X66"/>
    <mergeCell ref="AH63:AH66"/>
    <mergeCell ref="AI63:AI66"/>
    <mergeCell ref="AT55:AT57"/>
    <mergeCell ref="AV57:AW58"/>
    <mergeCell ref="AQ58:AQ60"/>
    <mergeCell ref="AR58:AR60"/>
    <mergeCell ref="AS58:AS60"/>
    <mergeCell ref="AT58:AT60"/>
    <mergeCell ref="AV59:AW60"/>
    <mergeCell ref="AX48:AX49"/>
    <mergeCell ref="AD3:AK4"/>
    <mergeCell ref="AD5:AK6"/>
    <mergeCell ref="U7:AB8"/>
    <mergeCell ref="AD7:AD10"/>
    <mergeCell ref="U9:AB10"/>
    <mergeCell ref="AE7:AE10"/>
    <mergeCell ref="AF7:AF10"/>
    <mergeCell ref="AG7:AG10"/>
    <mergeCell ref="AH7:AH10"/>
    <mergeCell ref="P9:Q10"/>
    <mergeCell ref="R9:S10"/>
    <mergeCell ref="AM9:AT10"/>
    <mergeCell ref="L10:M10"/>
    <mergeCell ref="N10:O10"/>
    <mergeCell ref="C11:J12"/>
    <mergeCell ref="AA11:AA13"/>
    <mergeCell ref="AH31:AH32"/>
    <mergeCell ref="AG33:AG36"/>
    <mergeCell ref="AH33:AH34"/>
    <mergeCell ref="AF31:AF32"/>
    <mergeCell ref="AI31:AI32"/>
    <mergeCell ref="AJ31:AJ32"/>
    <mergeCell ref="Z33:Z34"/>
    <mergeCell ref="AA33:AA36"/>
    <mergeCell ref="AD33:AD34"/>
    <mergeCell ref="Z35:Z36"/>
    <mergeCell ref="AO46:AO48"/>
    <mergeCell ref="AP46:AP48"/>
    <mergeCell ref="AQ46:AQ47"/>
    <mergeCell ref="AR46:AR47"/>
    <mergeCell ref="AV48:AW49"/>
    <mergeCell ref="AI33:AI36"/>
    <mergeCell ref="AD42:AK43"/>
    <mergeCell ref="AM42:AT43"/>
    <mergeCell ref="AV42:AW45"/>
    <mergeCell ref="AD44:AK45"/>
    <mergeCell ref="AM44:AT45"/>
    <mergeCell ref="AD46:AK47"/>
    <mergeCell ref="AV46:AW47"/>
    <mergeCell ref="AM7:AT8"/>
    <mergeCell ref="AM11:AT12"/>
    <mergeCell ref="U1:AB1"/>
    <mergeCell ref="AD1:AK1"/>
    <mergeCell ref="AM1:AT1"/>
    <mergeCell ref="A3:A14"/>
    <mergeCell ref="U5:V6"/>
    <mergeCell ref="AB11:AB13"/>
    <mergeCell ref="C13:J14"/>
    <mergeCell ref="N22:N23"/>
    <mergeCell ref="O22:O23"/>
    <mergeCell ref="AD22:AK23"/>
    <mergeCell ref="AM22:AM23"/>
    <mergeCell ref="AN22:AN23"/>
    <mergeCell ref="AO22:AO23"/>
    <mergeCell ref="AP22:AP23"/>
    <mergeCell ref="AD24:AK25"/>
    <mergeCell ref="AV29:AW30"/>
    <mergeCell ref="AV31:AW32"/>
    <mergeCell ref="AV33:AW34"/>
    <mergeCell ref="AV35:AW37"/>
    <mergeCell ref="C1:J1"/>
    <mergeCell ref="C9:J10"/>
    <mergeCell ref="C15:J15"/>
    <mergeCell ref="A16:A27"/>
    <mergeCell ref="C16:J17"/>
    <mergeCell ref="C18:J19"/>
    <mergeCell ref="A29:A40"/>
    <mergeCell ref="AK31:AK32"/>
    <mergeCell ref="AK33:AK36"/>
    <mergeCell ref="AM33:AT34"/>
    <mergeCell ref="AM35:AT36"/>
    <mergeCell ref="AM37:AT38"/>
    <mergeCell ref="U37:U38"/>
    <mergeCell ref="W37:W38"/>
    <mergeCell ref="X37:X38"/>
    <mergeCell ref="Y37:Y39"/>
    <mergeCell ref="Z37:Z39"/>
    <mergeCell ref="AA37:AA38"/>
    <mergeCell ref="L31:S32"/>
    <mergeCell ref="U31:U32"/>
    <mergeCell ref="Y31:Y32"/>
    <mergeCell ref="AA31:AA32"/>
    <mergeCell ref="AB31:AB32"/>
    <mergeCell ref="AD31:AD32"/>
    <mergeCell ref="AE31:AE32"/>
    <mergeCell ref="E44:E45"/>
    <mergeCell ref="F44:F45"/>
    <mergeCell ref="H42:H43"/>
    <mergeCell ref="I42:I43"/>
    <mergeCell ref="J42:J43"/>
    <mergeCell ref="L42:L45"/>
    <mergeCell ref="M42:M45"/>
    <mergeCell ref="U42:AB43"/>
    <mergeCell ref="H44:H45"/>
    <mergeCell ref="X33:X34"/>
    <mergeCell ref="Y33:Y34"/>
    <mergeCell ref="Y35:Y36"/>
    <mergeCell ref="C31:J32"/>
    <mergeCell ref="G33:H34"/>
    <mergeCell ref="L33:S34"/>
    <mergeCell ref="U33:U36"/>
    <mergeCell ref="V33:V34"/>
    <mergeCell ref="W33:W34"/>
    <mergeCell ref="V35:V36"/>
    <mergeCell ref="C44:C45"/>
    <mergeCell ref="D44:D45"/>
    <mergeCell ref="G44:G45"/>
    <mergeCell ref="G46:G47"/>
    <mergeCell ref="H46:H47"/>
    <mergeCell ref="I46:I47"/>
    <mergeCell ref="J46:J47"/>
    <mergeCell ref="L46:L47"/>
    <mergeCell ref="M46:M47"/>
    <mergeCell ref="U44:AB45"/>
    <mergeCell ref="U46:AB47"/>
    <mergeCell ref="C48:C49"/>
    <mergeCell ref="D48:D49"/>
    <mergeCell ref="I48:I49"/>
    <mergeCell ref="J48:J49"/>
    <mergeCell ref="P48:P49"/>
    <mergeCell ref="Q48:Q49"/>
    <mergeCell ref="M52:M53"/>
    <mergeCell ref="N52:N53"/>
    <mergeCell ref="C42:C43"/>
    <mergeCell ref="C55:C56"/>
    <mergeCell ref="C61:C62"/>
    <mergeCell ref="D61:D62"/>
    <mergeCell ref="E61:E62"/>
    <mergeCell ref="F61:F62"/>
    <mergeCell ref="G61:G62"/>
    <mergeCell ref="C63:C64"/>
    <mergeCell ref="D63:D64"/>
    <mergeCell ref="E63:E64"/>
    <mergeCell ref="F63:F64"/>
    <mergeCell ref="G63:G64"/>
    <mergeCell ref="E33:F34"/>
    <mergeCell ref="A42:A53"/>
    <mergeCell ref="D42:D43"/>
    <mergeCell ref="E42:E43"/>
    <mergeCell ref="F42:F43"/>
    <mergeCell ref="G42:G43"/>
    <mergeCell ref="A55:A66"/>
    <mergeCell ref="G65:G66"/>
    <mergeCell ref="C50:C51"/>
    <mergeCell ref="D50:D51"/>
    <mergeCell ref="I50:I51"/>
    <mergeCell ref="J50:J51"/>
    <mergeCell ref="D55:D56"/>
    <mergeCell ref="E55:E56"/>
    <mergeCell ref="F55:F56"/>
    <mergeCell ref="G55:G56"/>
    <mergeCell ref="H55:H56"/>
    <mergeCell ref="I55:I56"/>
    <mergeCell ref="J55:J56"/>
    <mergeCell ref="C57:C58"/>
    <mergeCell ref="D57:D58"/>
    <mergeCell ref="E57:E58"/>
    <mergeCell ref="F57:F58"/>
    <mergeCell ref="I57:I58"/>
    <mergeCell ref="J57:J58"/>
    <mergeCell ref="C59:C60"/>
    <mergeCell ref="D59:D60"/>
    <mergeCell ref="H63:H64"/>
    <mergeCell ref="H65:H66"/>
    <mergeCell ref="I65:I66"/>
    <mergeCell ref="J65:J66"/>
    <mergeCell ref="E59:E60"/>
    <mergeCell ref="F59:F60"/>
    <mergeCell ref="H61:H62"/>
    <mergeCell ref="I61:I62"/>
    <mergeCell ref="J61:J62"/>
    <mergeCell ref="I63:I64"/>
    <mergeCell ref="J63:J64"/>
  </mergeCells>
  <conditionalFormatting sqref="BD1:BE66 BF1 BG2:BH66 BF3:BF66">
    <cfRule type="cellIs" dxfId="0" priority="1" operator="greaterThan">
      <formula>1</formula>
    </cfRule>
  </conditionalFormatting>
  <conditionalFormatting sqref="BG1:BH66">
    <cfRule type="cellIs" dxfId="0" priority="2" operator="greaterThan">
      <formula>3</formula>
    </cfRule>
  </conditionalFormatting>
  <conditionalFormatting sqref="BJ1:BM66 BN1:BN39 BO1:BS66 BN41:BN66">
    <cfRule type="cellIs" dxfId="0" priority="3" operator="greaterThan">
      <formula>1</formula>
    </cfRule>
  </conditionalFormatting>
  <conditionalFormatting sqref="BI1:BI66">
    <cfRule type="cellIs" dxfId="0" priority="4" operator="greaterThan">
      <formula>2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34.0"/>
    <col customWidth="1" min="2" max="2" width="19.63"/>
    <col customWidth="1" min="3" max="3" width="19.75"/>
    <col customWidth="1" min="6" max="6" width="22.0"/>
  </cols>
  <sheetData>
    <row r="1">
      <c r="A1" s="615" t="s">
        <v>992</v>
      </c>
      <c r="B1" s="616"/>
      <c r="C1" s="616"/>
      <c r="D1" s="617"/>
      <c r="E1" s="617"/>
      <c r="F1" s="618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619" t="s">
        <v>998</v>
      </c>
      <c r="B2" s="619" t="s">
        <v>999</v>
      </c>
      <c r="C2" s="619" t="s">
        <v>169</v>
      </c>
      <c r="D2" s="617"/>
      <c r="E2" s="620"/>
      <c r="F2" s="620"/>
      <c r="G2" s="620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621" t="s">
        <v>1000</v>
      </c>
      <c r="B3" s="622" t="s">
        <v>1001</v>
      </c>
      <c r="C3" s="622" t="s">
        <v>1003</v>
      </c>
      <c r="D3" s="617"/>
      <c r="E3" s="620"/>
      <c r="F3" s="620"/>
      <c r="G3" s="620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26.25" customHeight="1">
      <c r="A4" s="621" t="s">
        <v>1006</v>
      </c>
      <c r="B4" s="623" t="s">
        <v>1001</v>
      </c>
      <c r="C4" s="622" t="s">
        <v>1007</v>
      </c>
      <c r="D4" s="617"/>
      <c r="E4" s="620"/>
      <c r="F4" s="620"/>
      <c r="G4" s="620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624" t="s">
        <v>1009</v>
      </c>
      <c r="B5" s="622" t="s">
        <v>1011</v>
      </c>
      <c r="C5" s="622" t="s">
        <v>1012</v>
      </c>
      <c r="D5" s="617"/>
      <c r="E5" s="620"/>
      <c r="F5" s="620"/>
      <c r="G5" s="620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96"/>
      <c r="B6" s="625" t="s">
        <v>1014</v>
      </c>
      <c r="C6" s="625" t="s">
        <v>1016</v>
      </c>
      <c r="D6" s="617"/>
      <c r="E6" s="620"/>
      <c r="F6" s="620"/>
      <c r="G6" s="620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96"/>
      <c r="B7" s="627" t="s">
        <v>1018</v>
      </c>
      <c r="C7" s="625" t="s">
        <v>1012</v>
      </c>
      <c r="D7" s="617"/>
      <c r="E7" s="620"/>
      <c r="F7" s="620"/>
      <c r="G7" s="620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96"/>
      <c r="B8" s="627" t="s">
        <v>42</v>
      </c>
      <c r="C8" s="625" t="s">
        <v>1021</v>
      </c>
      <c r="D8" s="620"/>
      <c r="E8" s="620"/>
      <c r="F8" s="620"/>
      <c r="G8" s="620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96"/>
      <c r="B9" s="627" t="s">
        <v>1023</v>
      </c>
      <c r="C9" s="627" t="s">
        <v>1024</v>
      </c>
      <c r="D9" s="620"/>
      <c r="E9" s="620"/>
      <c r="F9" s="620"/>
      <c r="G9" s="620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96"/>
      <c r="B10" s="627" t="s">
        <v>1026</v>
      </c>
      <c r="C10" s="627" t="s">
        <v>1027</v>
      </c>
      <c r="D10" s="620"/>
      <c r="E10" s="620"/>
      <c r="F10" s="620"/>
      <c r="G10" s="620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96"/>
      <c r="B11" s="627" t="s">
        <v>1029</v>
      </c>
      <c r="C11" s="627" t="s">
        <v>1031</v>
      </c>
      <c r="D11" s="620"/>
      <c r="E11" s="620"/>
      <c r="F11" s="620"/>
      <c r="G11" s="620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96"/>
      <c r="B12" s="627" t="s">
        <v>1033</v>
      </c>
      <c r="C12" s="627" t="s">
        <v>1034</v>
      </c>
      <c r="D12" s="620"/>
      <c r="E12" s="620"/>
      <c r="F12" s="620"/>
      <c r="G12" s="620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96"/>
      <c r="B13" s="627" t="s">
        <v>1036</v>
      </c>
      <c r="C13" s="627" t="s">
        <v>1024</v>
      </c>
      <c r="D13" s="620"/>
      <c r="E13" s="620"/>
      <c r="F13" s="620"/>
      <c r="G13" s="620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630"/>
      <c r="B14" s="631" t="s">
        <v>1038</v>
      </c>
      <c r="C14" s="631" t="s">
        <v>1031</v>
      </c>
      <c r="D14" s="620"/>
      <c r="E14" s="620"/>
      <c r="F14" s="620"/>
      <c r="G14" s="620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617"/>
      <c r="B15" s="617"/>
      <c r="C15" s="617"/>
      <c r="D15" s="617"/>
      <c r="E15" s="617"/>
      <c r="F15" s="618"/>
    </row>
    <row r="16">
      <c r="A16" s="617"/>
      <c r="B16" s="617"/>
      <c r="C16" s="617"/>
      <c r="D16" s="617"/>
      <c r="E16" s="617"/>
      <c r="F16" s="618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632" t="s">
        <v>1042</v>
      </c>
      <c r="B17" s="633"/>
      <c r="C17" s="633"/>
      <c r="D17" s="633"/>
      <c r="E17" s="617"/>
      <c r="F17" s="618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619" t="s">
        <v>998</v>
      </c>
      <c r="B18" s="634" t="s">
        <v>999</v>
      </c>
      <c r="C18" s="634" t="s">
        <v>1044</v>
      </c>
      <c r="D18" s="634" t="s">
        <v>169</v>
      </c>
      <c r="E18" s="617"/>
      <c r="F18" s="618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8.0" customHeight="1">
      <c r="A19" s="636" t="s">
        <v>1046</v>
      </c>
      <c r="B19" s="637" t="s">
        <v>1001</v>
      </c>
      <c r="C19" s="638" t="s">
        <v>1047</v>
      </c>
      <c r="D19" s="638" t="s">
        <v>413</v>
      </c>
      <c r="E19" s="639" t="s">
        <v>1048</v>
      </c>
      <c r="F19" s="640" t="s">
        <v>1049</v>
      </c>
      <c r="G19" s="641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630"/>
      <c r="B20" s="642" t="s">
        <v>1001</v>
      </c>
      <c r="C20" s="642" t="s">
        <v>1050</v>
      </c>
      <c r="D20" s="642" t="s">
        <v>130</v>
      </c>
      <c r="E20" s="639" t="s">
        <v>1048</v>
      </c>
      <c r="F20" s="643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644" t="s">
        <v>1052</v>
      </c>
      <c r="B21" s="637" t="s">
        <v>1001</v>
      </c>
      <c r="C21" s="637" t="s">
        <v>1053</v>
      </c>
      <c r="D21" s="637" t="s">
        <v>155</v>
      </c>
      <c r="E21" s="639" t="s">
        <v>1054</v>
      </c>
      <c r="F21" s="618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96"/>
      <c r="B22" s="637" t="s">
        <v>1001</v>
      </c>
      <c r="C22" s="637" t="s">
        <v>1055</v>
      </c>
      <c r="D22" s="637" t="s">
        <v>155</v>
      </c>
      <c r="E22" s="639" t="s">
        <v>1054</v>
      </c>
      <c r="F22" s="618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96"/>
      <c r="B23" s="637" t="s">
        <v>1001</v>
      </c>
      <c r="C23" s="637" t="s">
        <v>1057</v>
      </c>
      <c r="D23" s="637" t="s">
        <v>155</v>
      </c>
      <c r="E23" s="639" t="s">
        <v>1054</v>
      </c>
      <c r="F23" s="618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96"/>
      <c r="B24" s="637" t="s">
        <v>1001</v>
      </c>
      <c r="C24" s="637" t="s">
        <v>1058</v>
      </c>
      <c r="D24" s="645" t="s">
        <v>140</v>
      </c>
      <c r="E24" s="639" t="s">
        <v>1054</v>
      </c>
      <c r="F24" s="618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96"/>
      <c r="B25" s="637" t="s">
        <v>1001</v>
      </c>
      <c r="C25" s="646" t="s">
        <v>1060</v>
      </c>
      <c r="D25" s="645" t="s">
        <v>140</v>
      </c>
      <c r="E25" s="639" t="s">
        <v>1054</v>
      </c>
      <c r="F25" s="618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96"/>
      <c r="B26" s="637" t="s">
        <v>1001</v>
      </c>
      <c r="C26" s="638" t="s">
        <v>1058</v>
      </c>
      <c r="D26" s="638" t="s">
        <v>129</v>
      </c>
      <c r="E26" s="639" t="s">
        <v>1061</v>
      </c>
      <c r="F26" s="618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96"/>
      <c r="B27" s="637" t="s">
        <v>1001</v>
      </c>
      <c r="C27" s="638" t="s">
        <v>1063</v>
      </c>
      <c r="D27" s="646" t="s">
        <v>130</v>
      </c>
      <c r="E27" s="639" t="s">
        <v>1061</v>
      </c>
      <c r="F27" s="618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96"/>
      <c r="B28" s="637" t="s">
        <v>1001</v>
      </c>
      <c r="C28" s="638" t="s">
        <v>1064</v>
      </c>
      <c r="D28" s="646" t="s">
        <v>130</v>
      </c>
      <c r="E28" s="639" t="s">
        <v>1061</v>
      </c>
      <c r="F28" s="618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630"/>
      <c r="B29" s="637" t="s">
        <v>1001</v>
      </c>
      <c r="C29" s="638" t="s">
        <v>1065</v>
      </c>
      <c r="D29" s="646" t="s">
        <v>130</v>
      </c>
      <c r="E29" s="639" t="s">
        <v>1061</v>
      </c>
      <c r="F29" s="618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8.0" customHeight="1">
      <c r="A30" s="650" t="s">
        <v>1066</v>
      </c>
      <c r="B30" s="651" t="s">
        <v>1001</v>
      </c>
      <c r="C30" s="652" t="s">
        <v>1058</v>
      </c>
      <c r="D30" s="654" t="s">
        <v>245</v>
      </c>
      <c r="E30" s="641" t="s">
        <v>1069</v>
      </c>
      <c r="F30" s="643" t="s">
        <v>1070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36.0" hidden="1" customHeight="1">
      <c r="A31" s="656"/>
      <c r="B31" s="657"/>
      <c r="C31" s="658"/>
      <c r="D31" s="659"/>
      <c r="E31" s="660"/>
      <c r="F31" s="618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36.0" hidden="1" customHeight="1">
      <c r="A32" s="661" t="s">
        <v>1075</v>
      </c>
      <c r="B32" s="662" t="s">
        <v>1077</v>
      </c>
      <c r="C32" s="663" t="s">
        <v>1079</v>
      </c>
      <c r="D32" s="663" t="s">
        <v>129</v>
      </c>
      <c r="E32" s="660"/>
      <c r="F32" s="618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35.25" hidden="1" customHeight="1">
      <c r="A33" s="96"/>
      <c r="B33" s="112"/>
      <c r="C33" s="664" t="s">
        <v>1053</v>
      </c>
      <c r="D33" s="664" t="s">
        <v>141</v>
      </c>
      <c r="E33" s="660"/>
      <c r="F33" s="618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29.25" hidden="1" customHeight="1">
      <c r="A34" s="96"/>
      <c r="B34" s="666" t="s">
        <v>1083</v>
      </c>
      <c r="C34" s="664" t="s">
        <v>1064</v>
      </c>
      <c r="D34" s="664" t="s">
        <v>129</v>
      </c>
      <c r="E34" s="660"/>
      <c r="F34" s="618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33.0" hidden="1" customHeight="1">
      <c r="A35" s="112"/>
      <c r="B35" s="112"/>
      <c r="C35" s="664" t="s">
        <v>1085</v>
      </c>
      <c r="D35" s="664" t="s">
        <v>129</v>
      </c>
      <c r="E35" s="660"/>
      <c r="F35" s="618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29.25" hidden="1" customHeight="1">
      <c r="A36" s="668" t="s">
        <v>1087</v>
      </c>
      <c r="B36" s="669" t="s">
        <v>1088</v>
      </c>
      <c r="C36" s="664" t="s">
        <v>1050</v>
      </c>
      <c r="D36" s="664" t="s">
        <v>246</v>
      </c>
      <c r="E36" s="660"/>
      <c r="F36" s="618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idden="1">
      <c r="A37" s="96"/>
      <c r="B37" s="671" t="s">
        <v>1091</v>
      </c>
      <c r="C37" s="664" t="s">
        <v>1092</v>
      </c>
      <c r="D37" s="664" t="s">
        <v>248</v>
      </c>
      <c r="E37" s="660"/>
      <c r="F37" s="618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idden="1">
      <c r="A38" s="96"/>
      <c r="B38" s="96"/>
      <c r="C38" s="664" t="s">
        <v>1095</v>
      </c>
      <c r="D38" s="664" t="s">
        <v>130</v>
      </c>
      <c r="E38" s="660"/>
      <c r="F38" s="618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idden="1">
      <c r="A39" s="96"/>
      <c r="B39" s="96"/>
      <c r="C39" s="664" t="s">
        <v>1063</v>
      </c>
      <c r="D39" s="664" t="s">
        <v>130</v>
      </c>
      <c r="E39" s="660"/>
      <c r="F39" s="618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idden="1">
      <c r="A40" s="96"/>
      <c r="B40" s="96"/>
      <c r="C40" s="664" t="s">
        <v>1065</v>
      </c>
      <c r="D40" s="664" t="s">
        <v>130</v>
      </c>
      <c r="E40" s="660"/>
      <c r="F40" s="618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idden="1">
      <c r="A41" s="96"/>
      <c r="B41" s="671" t="s">
        <v>1098</v>
      </c>
      <c r="C41" s="664" t="s">
        <v>1099</v>
      </c>
      <c r="D41" s="664" t="s">
        <v>129</v>
      </c>
      <c r="E41" s="660"/>
      <c r="F41" s="618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idden="1">
      <c r="A42" s="96"/>
      <c r="B42" s="96"/>
      <c r="C42" s="664" t="s">
        <v>1085</v>
      </c>
      <c r="D42" s="664" t="s">
        <v>150</v>
      </c>
      <c r="E42" s="660"/>
      <c r="F42" s="618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idden="1">
      <c r="A43" s="96"/>
      <c r="B43" s="96"/>
      <c r="C43" s="664" t="s">
        <v>1079</v>
      </c>
      <c r="D43" s="664" t="s">
        <v>285</v>
      </c>
      <c r="E43" s="660"/>
      <c r="F43" s="618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idden="1">
      <c r="A44" s="96"/>
      <c r="B44" s="96"/>
      <c r="C44" s="664" t="s">
        <v>1100</v>
      </c>
      <c r="D44" s="664" t="s">
        <v>150</v>
      </c>
      <c r="E44" s="660"/>
      <c r="F44" s="618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idden="1">
      <c r="A45" s="96"/>
      <c r="B45" s="96"/>
      <c r="C45" s="664" t="s">
        <v>1053</v>
      </c>
      <c r="D45" s="664" t="s">
        <v>413</v>
      </c>
      <c r="E45" s="660"/>
      <c r="F45" s="618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idden="1">
      <c r="A46" s="96"/>
      <c r="B46" s="96"/>
      <c r="C46" s="664" t="s">
        <v>1055</v>
      </c>
      <c r="D46" s="664" t="s">
        <v>284</v>
      </c>
      <c r="E46" s="660"/>
      <c r="F46" s="618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idden="1">
      <c r="A47" s="96"/>
      <c r="B47" s="96"/>
      <c r="C47" s="664" t="s">
        <v>1057</v>
      </c>
      <c r="D47" s="664" t="s">
        <v>285</v>
      </c>
      <c r="E47" s="660"/>
      <c r="F47" s="618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idden="1">
      <c r="A48" s="112"/>
      <c r="B48" s="112"/>
      <c r="C48" s="664" t="s">
        <v>1058</v>
      </c>
      <c r="D48" s="664" t="s">
        <v>285</v>
      </c>
      <c r="E48" s="660"/>
      <c r="F48" s="618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676"/>
      <c r="B49" s="676"/>
      <c r="C49" s="676"/>
      <c r="D49" s="676"/>
      <c r="E49" s="660"/>
      <c r="F49" s="618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615" t="s">
        <v>1102</v>
      </c>
      <c r="B50" s="677"/>
      <c r="C50" s="677"/>
      <c r="D50" s="677"/>
      <c r="E50" s="617"/>
      <c r="F50" s="618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678" t="s">
        <v>998</v>
      </c>
      <c r="B51" s="678" t="s">
        <v>999</v>
      </c>
      <c r="C51" s="678" t="s">
        <v>1044</v>
      </c>
      <c r="D51" s="678" t="s">
        <v>169</v>
      </c>
      <c r="E51" s="617"/>
      <c r="F51" s="618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idden="1">
      <c r="A52" s="679" t="s">
        <v>1103</v>
      </c>
      <c r="B52" s="679" t="s">
        <v>1104</v>
      </c>
      <c r="C52" s="679" t="s">
        <v>1044</v>
      </c>
      <c r="D52" s="617"/>
      <c r="E52" s="617"/>
      <c r="F52" s="618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idden="1">
      <c r="A53" s="680" t="s">
        <v>1105</v>
      </c>
      <c r="B53" s="681" t="s">
        <v>1106</v>
      </c>
      <c r="C53" s="682" t="s">
        <v>1108</v>
      </c>
      <c r="D53" s="620"/>
      <c r="E53" s="617"/>
      <c r="F53" s="618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idden="1">
      <c r="A54" s="96"/>
      <c r="B54" s="681" t="s">
        <v>1109</v>
      </c>
      <c r="C54" s="682" t="s">
        <v>1110</v>
      </c>
      <c r="D54" s="620"/>
      <c r="E54" s="617"/>
      <c r="F54" s="618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idden="1">
      <c r="A55" s="96"/>
      <c r="B55" s="681" t="s">
        <v>1112</v>
      </c>
      <c r="C55" s="682" t="s">
        <v>1113</v>
      </c>
      <c r="D55" s="620"/>
      <c r="E55" s="617"/>
      <c r="F55" s="618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idden="1">
      <c r="A56" s="96"/>
      <c r="B56" s="681" t="s">
        <v>1114</v>
      </c>
      <c r="C56" s="682" t="s">
        <v>1115</v>
      </c>
      <c r="D56" s="620"/>
      <c r="E56" s="617"/>
      <c r="F56" s="618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idden="1">
      <c r="A57" s="96"/>
      <c r="B57" s="681" t="s">
        <v>1116</v>
      </c>
      <c r="C57" s="682" t="s">
        <v>1117</v>
      </c>
      <c r="D57" s="620"/>
      <c r="E57" s="617"/>
      <c r="F57" s="618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idden="1">
      <c r="A58" s="96"/>
      <c r="B58" s="681" t="s">
        <v>1119</v>
      </c>
      <c r="C58" s="682" t="s">
        <v>1120</v>
      </c>
      <c r="D58" s="620"/>
      <c r="E58" s="617"/>
      <c r="F58" s="618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idden="1">
      <c r="A59" s="96"/>
      <c r="B59" s="681" t="s">
        <v>1123</v>
      </c>
      <c r="C59" s="682" t="s">
        <v>1124</v>
      </c>
      <c r="D59" s="620"/>
      <c r="E59" s="617"/>
      <c r="F59" s="618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idden="1">
      <c r="A60" s="96"/>
      <c r="B60" s="681" t="s">
        <v>1125</v>
      </c>
      <c r="C60" s="682" t="s">
        <v>1126</v>
      </c>
      <c r="D60" s="620"/>
      <c r="E60" s="617"/>
      <c r="F60" s="618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idden="1">
      <c r="A61" s="96"/>
      <c r="B61" s="681" t="s">
        <v>1127</v>
      </c>
      <c r="C61" s="682" t="s">
        <v>1128</v>
      </c>
      <c r="D61" s="620"/>
      <c r="E61" s="617"/>
      <c r="F61" s="618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idden="1">
      <c r="A62" s="96"/>
      <c r="B62" s="681" t="s">
        <v>1129</v>
      </c>
      <c r="C62" s="682" t="s">
        <v>1130</v>
      </c>
      <c r="D62" s="620"/>
      <c r="E62" s="617"/>
      <c r="F62" s="618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idden="1">
      <c r="A63" s="96"/>
      <c r="B63" s="681" t="s">
        <v>1131</v>
      </c>
      <c r="C63" s="682" t="s">
        <v>1132</v>
      </c>
      <c r="D63" s="620"/>
      <c r="E63" s="617"/>
      <c r="F63" s="618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idden="1">
      <c r="A64" s="112"/>
      <c r="B64" s="692" t="s">
        <v>1133</v>
      </c>
      <c r="C64" s="682" t="s">
        <v>1134</v>
      </c>
      <c r="D64" s="620"/>
      <c r="E64" s="617"/>
      <c r="F64" s="618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idden="1">
      <c r="A65" s="693"/>
      <c r="B65" s="61"/>
      <c r="C65" s="46"/>
      <c r="D65" s="620"/>
      <c r="E65" s="617"/>
      <c r="F65" s="618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idden="1">
      <c r="A66" s="680" t="s">
        <v>1137</v>
      </c>
      <c r="B66" s="681" t="s">
        <v>1138</v>
      </c>
      <c r="C66" s="681" t="s">
        <v>1140</v>
      </c>
      <c r="D66" s="620"/>
      <c r="E66" s="617"/>
      <c r="F66" s="618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idden="1">
      <c r="A67" s="96"/>
      <c r="B67" s="681" t="s">
        <v>1141</v>
      </c>
      <c r="C67" s="681" t="s">
        <v>1142</v>
      </c>
      <c r="D67" s="620"/>
      <c r="E67" s="617"/>
      <c r="F67" s="618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idden="1">
      <c r="A68" s="96"/>
      <c r="B68" s="681" t="s">
        <v>1145</v>
      </c>
      <c r="C68" s="681" t="s">
        <v>1146</v>
      </c>
      <c r="D68" s="620"/>
      <c r="E68" s="617"/>
      <c r="F68" s="618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idden="1">
      <c r="A69" s="96"/>
      <c r="B69" s="681" t="s">
        <v>1148</v>
      </c>
      <c r="C69" s="681" t="s">
        <v>1140</v>
      </c>
      <c r="D69" s="620"/>
      <c r="E69" s="617"/>
      <c r="F69" s="618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idden="1">
      <c r="A70" s="96"/>
      <c r="B70" s="681" t="s">
        <v>1150</v>
      </c>
      <c r="C70" s="681" t="s">
        <v>1152</v>
      </c>
      <c r="D70" s="620"/>
      <c r="E70" s="617"/>
      <c r="F70" s="618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idden="1">
      <c r="A71" s="96"/>
      <c r="B71" s="681" t="s">
        <v>1154</v>
      </c>
      <c r="C71" s="681" t="s">
        <v>1155</v>
      </c>
      <c r="D71" s="620"/>
      <c r="E71" s="617"/>
      <c r="F71" s="618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idden="1">
      <c r="A72" s="96"/>
      <c r="B72" s="681" t="s">
        <v>1129</v>
      </c>
      <c r="C72" s="681" t="s">
        <v>1157</v>
      </c>
      <c r="D72" s="620"/>
      <c r="E72" s="617"/>
      <c r="F72" s="618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idden="1">
      <c r="A73" s="96"/>
      <c r="B73" s="681" t="s">
        <v>1158</v>
      </c>
      <c r="C73" s="681" t="s">
        <v>1120</v>
      </c>
      <c r="D73" s="620"/>
      <c r="E73" s="617"/>
      <c r="F73" s="618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idden="1">
      <c r="A74" s="96"/>
      <c r="B74" s="681" t="s">
        <v>1161</v>
      </c>
      <c r="C74" s="681" t="s">
        <v>1162</v>
      </c>
      <c r="D74" s="620"/>
      <c r="E74" s="617"/>
      <c r="F74" s="618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idden="1">
      <c r="A75" s="96"/>
      <c r="B75" s="681" t="s">
        <v>1163</v>
      </c>
      <c r="C75" s="681" t="s">
        <v>1126</v>
      </c>
      <c r="D75" s="620"/>
      <c r="E75" s="617"/>
      <c r="F75" s="618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idden="1">
      <c r="A76" s="96"/>
      <c r="B76" s="681" t="s">
        <v>1166</v>
      </c>
      <c r="C76" s="681" t="s">
        <v>1167</v>
      </c>
      <c r="D76" s="620"/>
      <c r="E76" s="617"/>
      <c r="F76" s="618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idden="1">
      <c r="A77" s="96"/>
      <c r="B77" s="681" t="s">
        <v>1168</v>
      </c>
      <c r="C77" s="681" t="s">
        <v>1124</v>
      </c>
      <c r="D77" s="620"/>
      <c r="E77" s="617"/>
      <c r="F77" s="618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idden="1">
      <c r="A78" s="96"/>
      <c r="B78" s="681" t="s">
        <v>1170</v>
      </c>
      <c r="C78" s="681" t="s">
        <v>1117</v>
      </c>
      <c r="D78" s="620"/>
      <c r="E78" s="617"/>
      <c r="F78" s="618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idden="1">
      <c r="A79" s="96"/>
      <c r="B79" s="681" t="s">
        <v>1171</v>
      </c>
      <c r="C79" s="681" t="s">
        <v>1108</v>
      </c>
      <c r="D79" s="620"/>
      <c r="E79" s="617"/>
      <c r="F79" s="618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idden="1">
      <c r="A80" s="96"/>
      <c r="B80" s="681" t="s">
        <v>1173</v>
      </c>
      <c r="C80" s="681" t="s">
        <v>1108</v>
      </c>
      <c r="D80" s="617"/>
      <c r="E80" s="617"/>
      <c r="F80" s="618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idden="1">
      <c r="A81" s="96"/>
      <c r="B81" s="681" t="s">
        <v>1175</v>
      </c>
      <c r="C81" s="681" t="s">
        <v>1152</v>
      </c>
      <c r="D81" s="617"/>
      <c r="E81" s="617"/>
      <c r="F81" s="618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idden="1">
      <c r="A82" s="96"/>
      <c r="B82" s="681" t="s">
        <v>1177</v>
      </c>
      <c r="C82" s="681" t="s">
        <v>1178</v>
      </c>
      <c r="D82" s="617"/>
      <c r="E82" s="617"/>
      <c r="F82" s="618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idden="1">
      <c r="A83" s="96"/>
      <c r="B83" s="681" t="s">
        <v>1179</v>
      </c>
      <c r="C83" s="681" t="s">
        <v>1180</v>
      </c>
      <c r="D83" s="617"/>
      <c r="E83" s="617"/>
      <c r="F83" s="618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idden="1">
      <c r="A84" s="96"/>
      <c r="B84" s="681" t="s">
        <v>1181</v>
      </c>
      <c r="C84" s="681" t="s">
        <v>1182</v>
      </c>
      <c r="D84" s="617"/>
      <c r="E84" s="617"/>
      <c r="F84" s="618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idden="1">
      <c r="A85" s="96"/>
      <c r="B85" s="681" t="s">
        <v>1183</v>
      </c>
      <c r="C85" s="681" t="s">
        <v>1180</v>
      </c>
      <c r="D85" s="617"/>
      <c r="E85" s="617"/>
      <c r="F85" s="618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idden="1">
      <c r="A86" s="96"/>
      <c r="B86" s="681" t="s">
        <v>1133</v>
      </c>
      <c r="C86" s="681" t="s">
        <v>1126</v>
      </c>
      <c r="D86" s="617"/>
      <c r="E86" s="617"/>
      <c r="F86" s="618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idden="1">
      <c r="A87" s="96"/>
      <c r="B87" s="681" t="s">
        <v>1184</v>
      </c>
      <c r="C87" s="681" t="s">
        <v>1120</v>
      </c>
      <c r="D87" s="617"/>
      <c r="E87" s="617"/>
      <c r="F87" s="618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idden="1">
      <c r="A88" s="96"/>
      <c r="B88" s="681" t="s">
        <v>1185</v>
      </c>
      <c r="C88" s="681" t="s">
        <v>1124</v>
      </c>
      <c r="D88" s="617"/>
      <c r="E88" s="617"/>
      <c r="F88" s="618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idden="1">
      <c r="A89" s="96"/>
      <c r="B89" s="681" t="s">
        <v>1186</v>
      </c>
      <c r="C89" s="681" t="s">
        <v>1117</v>
      </c>
      <c r="D89" s="617"/>
      <c r="E89" s="617"/>
      <c r="F89" s="618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idden="1">
      <c r="A90" s="680" t="s">
        <v>1187</v>
      </c>
      <c r="B90" s="681" t="s">
        <v>1188</v>
      </c>
      <c r="C90" s="681" t="s">
        <v>1189</v>
      </c>
      <c r="D90" s="617"/>
      <c r="E90" s="617"/>
      <c r="F90" s="618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idden="1">
      <c r="A91" s="96"/>
      <c r="B91" s="681" t="s">
        <v>1190</v>
      </c>
      <c r="C91" s="681" t="s">
        <v>1182</v>
      </c>
      <c r="D91" s="617"/>
      <c r="E91" s="617"/>
      <c r="F91" s="618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idden="1">
      <c r="A92" s="96"/>
      <c r="B92" s="681" t="s">
        <v>1191</v>
      </c>
      <c r="C92" s="681" t="s">
        <v>1134</v>
      </c>
      <c r="D92" s="617"/>
      <c r="E92" s="617"/>
      <c r="F92" s="618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idden="1">
      <c r="A93" s="96"/>
      <c r="B93" s="681" t="s">
        <v>1192</v>
      </c>
      <c r="C93" s="681" t="s">
        <v>1193</v>
      </c>
      <c r="D93" s="617"/>
      <c r="E93" s="617"/>
      <c r="F93" s="618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idden="1">
      <c r="A94" s="96"/>
      <c r="B94" s="681" t="s">
        <v>1194</v>
      </c>
      <c r="C94" s="681" t="s">
        <v>1195</v>
      </c>
      <c r="D94" s="617"/>
      <c r="E94" s="617"/>
      <c r="F94" s="618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idden="1">
      <c r="A95" s="96"/>
      <c r="B95" s="681" t="s">
        <v>1196</v>
      </c>
      <c r="C95" s="681" t="s">
        <v>1197</v>
      </c>
      <c r="D95" s="617"/>
      <c r="E95" s="617"/>
      <c r="F95" s="618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idden="1">
      <c r="A96" s="96"/>
      <c r="B96" s="681" t="s">
        <v>1198</v>
      </c>
      <c r="C96" s="681" t="s">
        <v>1199</v>
      </c>
      <c r="D96" s="617"/>
      <c r="E96" s="617"/>
      <c r="F96" s="618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idden="1">
      <c r="A97" s="697" t="s">
        <v>1200</v>
      </c>
      <c r="B97" s="698" t="s">
        <v>1138</v>
      </c>
      <c r="C97" s="699" t="s">
        <v>1099</v>
      </c>
      <c r="D97" s="699" t="s">
        <v>151</v>
      </c>
      <c r="E97" s="617"/>
      <c r="F97" s="618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idden="1">
      <c r="A98" s="96"/>
      <c r="B98" s="698" t="s">
        <v>1141</v>
      </c>
      <c r="C98" s="699" t="s">
        <v>1204</v>
      </c>
      <c r="D98" s="699" t="s">
        <v>155</v>
      </c>
      <c r="E98" s="617"/>
      <c r="F98" s="618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idden="1">
      <c r="A99" s="96"/>
      <c r="B99" s="698" t="s">
        <v>1145</v>
      </c>
      <c r="C99" s="699" t="s">
        <v>1047</v>
      </c>
      <c r="D99" s="699" t="s">
        <v>156</v>
      </c>
      <c r="E99" s="617"/>
      <c r="F99" s="618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idden="1">
      <c r="A100" s="96"/>
      <c r="B100" s="698" t="s">
        <v>1148</v>
      </c>
      <c r="C100" s="699" t="s">
        <v>1050</v>
      </c>
      <c r="D100" s="699" t="s">
        <v>151</v>
      </c>
      <c r="E100" s="617"/>
      <c r="F100" s="618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idden="1">
      <c r="A101" s="96"/>
      <c r="B101" s="698" t="s">
        <v>1150</v>
      </c>
      <c r="C101" s="699" t="s">
        <v>1085</v>
      </c>
      <c r="D101" s="699" t="s">
        <v>151</v>
      </c>
      <c r="E101" s="617"/>
      <c r="F101" s="618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idden="1">
      <c r="A102" s="96"/>
      <c r="B102" s="698" t="s">
        <v>1154</v>
      </c>
      <c r="C102" s="699" t="s">
        <v>1210</v>
      </c>
      <c r="D102" s="699" t="s">
        <v>155</v>
      </c>
      <c r="E102" s="617"/>
      <c r="F102" s="618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idden="1">
      <c r="A103" s="96"/>
      <c r="B103" s="698" t="s">
        <v>1129</v>
      </c>
      <c r="C103" s="699" t="s">
        <v>1211</v>
      </c>
      <c r="D103" s="699" t="s">
        <v>156</v>
      </c>
      <c r="E103" s="617"/>
      <c r="F103" s="618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idden="1">
      <c r="A104" s="96"/>
      <c r="B104" s="698" t="s">
        <v>1158</v>
      </c>
      <c r="C104" s="699" t="s">
        <v>1212</v>
      </c>
      <c r="D104" s="699" t="s">
        <v>156</v>
      </c>
      <c r="E104" s="617"/>
      <c r="F104" s="618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idden="1">
      <c r="A105" s="96"/>
      <c r="B105" s="698" t="s">
        <v>1161</v>
      </c>
      <c r="C105" s="699" t="s">
        <v>1213</v>
      </c>
      <c r="D105" s="699" t="s">
        <v>151</v>
      </c>
      <c r="E105" s="617"/>
      <c r="F105" s="618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idden="1">
      <c r="A106" s="96"/>
      <c r="B106" s="698" t="s">
        <v>1163</v>
      </c>
      <c r="C106" s="699" t="s">
        <v>1214</v>
      </c>
      <c r="D106" s="699" t="s">
        <v>151</v>
      </c>
      <c r="E106" s="617"/>
      <c r="F106" s="618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idden="1">
      <c r="A107" s="96"/>
      <c r="B107" s="698" t="s">
        <v>1166</v>
      </c>
      <c r="C107" s="699" t="s">
        <v>1215</v>
      </c>
      <c r="D107" s="699" t="s">
        <v>151</v>
      </c>
      <c r="E107" s="617"/>
      <c r="F107" s="618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idden="1">
      <c r="A108" s="96"/>
      <c r="B108" s="698" t="s">
        <v>1168</v>
      </c>
      <c r="C108" s="699" t="s">
        <v>1047</v>
      </c>
      <c r="D108" s="699" t="s">
        <v>285</v>
      </c>
      <c r="E108" s="617"/>
      <c r="F108" s="618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idden="1">
      <c r="A109" s="96"/>
      <c r="B109" s="698" t="s">
        <v>1170</v>
      </c>
      <c r="C109" s="699" t="s">
        <v>1064</v>
      </c>
      <c r="D109" s="699" t="s">
        <v>156</v>
      </c>
      <c r="E109" s="617"/>
      <c r="F109" s="618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idden="1">
      <c r="A110" s="96"/>
      <c r="B110" s="698" t="s">
        <v>1171</v>
      </c>
      <c r="C110" s="699" t="s">
        <v>1216</v>
      </c>
      <c r="D110" s="699" t="s">
        <v>285</v>
      </c>
      <c r="E110" s="617"/>
      <c r="F110" s="618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idden="1">
      <c r="A111" s="96"/>
      <c r="B111" s="698" t="s">
        <v>1173</v>
      </c>
      <c r="C111" s="699" t="s">
        <v>1050</v>
      </c>
      <c r="D111" s="699" t="s">
        <v>130</v>
      </c>
      <c r="E111" s="617"/>
      <c r="F111" s="618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idden="1">
      <c r="A112" s="96"/>
      <c r="B112" s="698" t="s">
        <v>1175</v>
      </c>
      <c r="C112" s="699" t="s">
        <v>1079</v>
      </c>
      <c r="D112" s="699" t="s">
        <v>156</v>
      </c>
      <c r="E112" s="617"/>
      <c r="F112" s="618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idden="1">
      <c r="A113" s="96"/>
      <c r="B113" s="698" t="s">
        <v>1177</v>
      </c>
      <c r="C113" s="699" t="s">
        <v>1219</v>
      </c>
      <c r="D113" s="699" t="s">
        <v>129</v>
      </c>
      <c r="E113" s="617"/>
      <c r="F113" s="618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idden="1">
      <c r="A114" s="96"/>
      <c r="B114" s="698" t="s">
        <v>1179</v>
      </c>
      <c r="C114" s="699" t="s">
        <v>1058</v>
      </c>
      <c r="D114" s="699" t="s">
        <v>150</v>
      </c>
      <c r="E114" s="617"/>
      <c r="F114" s="618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idden="1">
      <c r="A115" s="96"/>
      <c r="B115" s="698" t="s">
        <v>1181</v>
      </c>
      <c r="C115" s="699" t="s">
        <v>1216</v>
      </c>
      <c r="D115" s="699" t="s">
        <v>156</v>
      </c>
      <c r="E115" s="617"/>
      <c r="F115" s="618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idden="1">
      <c r="A116" s="96"/>
      <c r="B116" s="698" t="s">
        <v>1183</v>
      </c>
      <c r="C116" s="699" t="s">
        <v>1060</v>
      </c>
      <c r="D116" s="699" t="s">
        <v>150</v>
      </c>
      <c r="E116" s="617"/>
      <c r="F116" s="618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idden="1">
      <c r="A117" s="96"/>
      <c r="B117" s="698" t="s">
        <v>1133</v>
      </c>
      <c r="C117" s="699" t="s">
        <v>1214</v>
      </c>
      <c r="D117" s="699" t="s">
        <v>413</v>
      </c>
      <c r="E117" s="617"/>
      <c r="F117" s="618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idden="1">
      <c r="A118" s="96"/>
      <c r="B118" s="698" t="s">
        <v>1184</v>
      </c>
      <c r="C118" s="699" t="s">
        <v>1219</v>
      </c>
      <c r="D118" s="699" t="s">
        <v>248</v>
      </c>
      <c r="E118" s="617"/>
      <c r="F118" s="618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idden="1">
      <c r="A119" s="96"/>
      <c r="B119" s="698" t="s">
        <v>1185</v>
      </c>
      <c r="C119" s="699" t="s">
        <v>1220</v>
      </c>
      <c r="D119" s="699" t="s">
        <v>413</v>
      </c>
      <c r="E119" s="617"/>
      <c r="F119" s="618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idden="1">
      <c r="A120" s="96"/>
      <c r="B120" s="698" t="s">
        <v>1186</v>
      </c>
      <c r="C120" s="699" t="s">
        <v>1053</v>
      </c>
      <c r="D120" s="699" t="s">
        <v>150</v>
      </c>
      <c r="E120" s="617"/>
      <c r="F120" s="618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idden="1">
      <c r="A121" s="96"/>
      <c r="B121" s="698" t="s">
        <v>1221</v>
      </c>
      <c r="C121" s="699" t="s">
        <v>1211</v>
      </c>
      <c r="D121" s="699" t="s">
        <v>151</v>
      </c>
      <c r="E121" s="617"/>
      <c r="F121" s="618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idden="1">
      <c r="A122" s="96"/>
      <c r="B122" s="698" t="s">
        <v>1222</v>
      </c>
      <c r="C122" s="699" t="s">
        <v>1219</v>
      </c>
      <c r="D122" s="699" t="s">
        <v>150</v>
      </c>
      <c r="E122" s="617"/>
      <c r="F122" s="618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idden="1">
      <c r="A123" s="112"/>
      <c r="B123" s="718" t="s">
        <v>1223</v>
      </c>
      <c r="C123" s="719" t="s">
        <v>1224</v>
      </c>
      <c r="D123" s="719" t="s">
        <v>150</v>
      </c>
      <c r="E123" s="617"/>
      <c r="F123" s="618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721" t="s">
        <v>1225</v>
      </c>
      <c r="B124" s="621" t="s">
        <v>1001</v>
      </c>
      <c r="C124" s="722"/>
      <c r="D124" s="621" t="s">
        <v>1226</v>
      </c>
      <c r="E124" s="643" t="s">
        <v>1227</v>
      </c>
      <c r="F124" s="618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660"/>
      <c r="B125" s="660"/>
      <c r="C125" s="660"/>
      <c r="D125" s="660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660"/>
      <c r="B126" s="660"/>
      <c r="C126" s="660"/>
      <c r="D126" s="660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660"/>
      <c r="B127" s="660"/>
      <c r="C127" s="660"/>
      <c r="D127" s="660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660"/>
      <c r="B128" s="660"/>
      <c r="C128" s="660"/>
      <c r="D128" s="660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660"/>
      <c r="B129" s="660"/>
      <c r="C129" s="660"/>
      <c r="D129" s="660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660"/>
      <c r="B130" s="660"/>
      <c r="C130" s="660"/>
      <c r="D130" s="660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660"/>
      <c r="B131" s="660"/>
      <c r="C131" s="660"/>
      <c r="D131" s="660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660"/>
      <c r="B132" s="660"/>
      <c r="C132" s="660"/>
      <c r="D132" s="660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660"/>
      <c r="B133" s="660"/>
      <c r="C133" s="660"/>
      <c r="D133" s="660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660"/>
      <c r="B134" s="660"/>
      <c r="C134" s="660"/>
      <c r="D134" s="660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660"/>
      <c r="B135" s="660"/>
      <c r="C135" s="660"/>
      <c r="D135" s="660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660"/>
      <c r="B136" s="660"/>
      <c r="C136" s="660"/>
      <c r="D136" s="660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660"/>
      <c r="B137" s="660"/>
      <c r="C137" s="660"/>
      <c r="D137" s="660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660"/>
      <c r="B138" s="660"/>
      <c r="C138" s="660"/>
      <c r="D138" s="660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660"/>
      <c r="B139" s="660"/>
      <c r="C139" s="660"/>
      <c r="D139" s="660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660"/>
      <c r="B140" s="660"/>
      <c r="C140" s="660"/>
      <c r="D140" s="660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660"/>
      <c r="B141" s="660"/>
      <c r="C141" s="660"/>
      <c r="D141" s="660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660"/>
      <c r="B142" s="660"/>
      <c r="C142" s="660"/>
      <c r="D142" s="660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660"/>
      <c r="B143" s="660"/>
      <c r="C143" s="660"/>
      <c r="D143" s="660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660"/>
      <c r="B144" s="660"/>
      <c r="C144" s="660"/>
      <c r="D144" s="660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660"/>
      <c r="B145" s="660"/>
      <c r="C145" s="660"/>
      <c r="D145" s="660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660"/>
      <c r="B146" s="660"/>
      <c r="C146" s="660"/>
      <c r="D146" s="660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660"/>
      <c r="B147" s="660"/>
      <c r="C147" s="660"/>
      <c r="D147" s="660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660"/>
      <c r="B148" s="660"/>
      <c r="C148" s="660"/>
      <c r="D148" s="660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660"/>
      <c r="B149" s="660"/>
      <c r="C149" s="660"/>
      <c r="D149" s="660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660"/>
      <c r="B150" s="660"/>
      <c r="C150" s="660"/>
      <c r="D150" s="660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660"/>
      <c r="B151" s="660"/>
      <c r="C151" s="660"/>
      <c r="D151" s="660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660"/>
      <c r="B152" s="660"/>
      <c r="C152" s="660"/>
      <c r="D152" s="660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660"/>
      <c r="B153" s="660"/>
      <c r="C153" s="660"/>
      <c r="D153" s="660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660"/>
      <c r="B154" s="660"/>
      <c r="C154" s="660"/>
      <c r="D154" s="660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660"/>
      <c r="B155" s="660"/>
      <c r="C155" s="660"/>
      <c r="D155" s="660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660"/>
      <c r="B156" s="660"/>
      <c r="C156" s="660"/>
      <c r="D156" s="660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660"/>
      <c r="B157" s="660"/>
      <c r="C157" s="660"/>
      <c r="D157" s="660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660"/>
      <c r="B158" s="660"/>
      <c r="C158" s="660"/>
      <c r="D158" s="660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660"/>
      <c r="B159" s="660"/>
      <c r="C159" s="660"/>
      <c r="D159" s="660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660"/>
      <c r="B160" s="660"/>
      <c r="C160" s="660"/>
      <c r="D160" s="660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660"/>
      <c r="B161" s="660"/>
      <c r="C161" s="660"/>
      <c r="D161" s="660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660"/>
      <c r="B162" s="660"/>
      <c r="C162" s="660"/>
      <c r="D162" s="660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660"/>
      <c r="B163" s="660"/>
      <c r="C163" s="660"/>
      <c r="D163" s="660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660"/>
      <c r="B164" s="660"/>
      <c r="C164" s="660"/>
      <c r="D164" s="660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660"/>
      <c r="B165" s="660"/>
      <c r="C165" s="660"/>
      <c r="D165" s="660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660"/>
      <c r="B166" s="660"/>
      <c r="C166" s="660"/>
      <c r="D166" s="660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660"/>
      <c r="B167" s="660"/>
      <c r="C167" s="660"/>
      <c r="D167" s="660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660"/>
      <c r="B168" s="660"/>
      <c r="C168" s="660"/>
      <c r="D168" s="660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660"/>
      <c r="B169" s="660"/>
      <c r="C169" s="660"/>
      <c r="D169" s="660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660"/>
      <c r="B170" s="660"/>
      <c r="C170" s="660"/>
      <c r="D170" s="660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660"/>
      <c r="B171" s="660"/>
      <c r="C171" s="660"/>
      <c r="D171" s="660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660"/>
      <c r="B172" s="660"/>
      <c r="C172" s="660"/>
      <c r="D172" s="660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660"/>
      <c r="B173" s="660"/>
      <c r="C173" s="660"/>
      <c r="D173" s="660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660"/>
      <c r="B174" s="660"/>
      <c r="C174" s="660"/>
      <c r="D174" s="660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660"/>
      <c r="B175" s="660"/>
      <c r="C175" s="660"/>
      <c r="D175" s="660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660"/>
      <c r="B176" s="660"/>
      <c r="C176" s="660"/>
      <c r="D176" s="660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660"/>
      <c r="B177" s="660"/>
      <c r="C177" s="660"/>
      <c r="D177" s="660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660"/>
      <c r="B178" s="660"/>
      <c r="C178" s="660"/>
      <c r="D178" s="660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660"/>
      <c r="B179" s="660"/>
      <c r="C179" s="660"/>
      <c r="D179" s="660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660"/>
      <c r="B180" s="660"/>
      <c r="C180" s="660"/>
      <c r="D180" s="660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660"/>
      <c r="B181" s="660"/>
      <c r="C181" s="660"/>
      <c r="D181" s="660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660"/>
      <c r="B182" s="660"/>
      <c r="C182" s="660"/>
      <c r="D182" s="660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660"/>
      <c r="B183" s="660"/>
      <c r="C183" s="660"/>
      <c r="D183" s="660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660"/>
      <c r="B184" s="660"/>
      <c r="C184" s="660"/>
      <c r="D184" s="660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660"/>
      <c r="B185" s="660"/>
      <c r="C185" s="660"/>
      <c r="D185" s="660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660"/>
      <c r="B186" s="660"/>
      <c r="C186" s="660"/>
      <c r="D186" s="660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660"/>
      <c r="B187" s="660"/>
      <c r="C187" s="660"/>
      <c r="D187" s="660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660"/>
      <c r="B188" s="660"/>
      <c r="C188" s="660"/>
      <c r="D188" s="660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660"/>
      <c r="B189" s="660"/>
      <c r="C189" s="660"/>
      <c r="D189" s="660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660"/>
      <c r="B190" s="660"/>
      <c r="C190" s="660"/>
      <c r="D190" s="660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660"/>
      <c r="B191" s="660"/>
      <c r="C191" s="660"/>
      <c r="D191" s="660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660"/>
      <c r="B192" s="660"/>
      <c r="C192" s="660"/>
      <c r="D192" s="660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660"/>
      <c r="B193" s="660"/>
      <c r="C193" s="660"/>
      <c r="D193" s="660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660"/>
      <c r="B194" s="660"/>
      <c r="C194" s="660"/>
      <c r="D194" s="660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660"/>
      <c r="B195" s="660"/>
      <c r="C195" s="660"/>
      <c r="D195" s="660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660"/>
      <c r="B196" s="660"/>
      <c r="C196" s="660"/>
      <c r="D196" s="660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660"/>
      <c r="B197" s="660"/>
      <c r="C197" s="660"/>
      <c r="D197" s="660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660"/>
      <c r="B198" s="660"/>
      <c r="C198" s="660"/>
      <c r="D198" s="660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660"/>
      <c r="B199" s="660"/>
      <c r="C199" s="660"/>
      <c r="D199" s="660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660"/>
      <c r="B200" s="660"/>
      <c r="C200" s="660"/>
      <c r="D200" s="660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660"/>
      <c r="B201" s="660"/>
      <c r="C201" s="660"/>
      <c r="D201" s="660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660"/>
      <c r="B202" s="660"/>
      <c r="C202" s="660"/>
      <c r="D202" s="660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660"/>
      <c r="B203" s="660"/>
      <c r="C203" s="660"/>
      <c r="D203" s="660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660"/>
      <c r="B204" s="660"/>
      <c r="C204" s="660"/>
      <c r="D204" s="660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660"/>
      <c r="B205" s="660"/>
      <c r="C205" s="660"/>
      <c r="D205" s="660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660"/>
      <c r="B206" s="660"/>
      <c r="C206" s="660"/>
      <c r="D206" s="660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660"/>
      <c r="B207" s="660"/>
      <c r="C207" s="660"/>
      <c r="D207" s="660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660"/>
      <c r="B208" s="660"/>
      <c r="C208" s="660"/>
      <c r="D208" s="660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660"/>
      <c r="B209" s="660"/>
      <c r="C209" s="660"/>
      <c r="D209" s="660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660"/>
      <c r="B210" s="660"/>
      <c r="C210" s="660"/>
      <c r="D210" s="660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660"/>
      <c r="B211" s="660"/>
      <c r="C211" s="660"/>
      <c r="D211" s="660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660"/>
      <c r="B212" s="660"/>
      <c r="C212" s="660"/>
      <c r="D212" s="660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660"/>
      <c r="B213" s="660"/>
      <c r="C213" s="660"/>
      <c r="D213" s="660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660"/>
      <c r="B214" s="660"/>
      <c r="C214" s="660"/>
      <c r="D214" s="660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660"/>
      <c r="B215" s="660"/>
      <c r="C215" s="660"/>
      <c r="D215" s="660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660"/>
      <c r="B216" s="660"/>
      <c r="C216" s="660"/>
      <c r="D216" s="660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660"/>
      <c r="B217" s="660"/>
      <c r="C217" s="660"/>
      <c r="D217" s="660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660"/>
      <c r="B218" s="660"/>
      <c r="C218" s="660"/>
      <c r="D218" s="660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660"/>
      <c r="B219" s="660"/>
      <c r="C219" s="660"/>
      <c r="D219" s="660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660"/>
      <c r="B220" s="660"/>
      <c r="C220" s="660"/>
      <c r="D220" s="660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660"/>
      <c r="B221" s="660"/>
      <c r="C221" s="660"/>
      <c r="D221" s="660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660"/>
      <c r="B222" s="660"/>
      <c r="C222" s="660"/>
      <c r="D222" s="660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660"/>
      <c r="B223" s="660"/>
      <c r="C223" s="660"/>
      <c r="D223" s="660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660"/>
      <c r="B224" s="660"/>
      <c r="C224" s="660"/>
      <c r="D224" s="660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660"/>
      <c r="B225" s="660"/>
      <c r="C225" s="660"/>
      <c r="D225" s="660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660"/>
      <c r="B226" s="660"/>
      <c r="C226" s="660"/>
      <c r="D226" s="660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660"/>
      <c r="B227" s="660"/>
      <c r="C227" s="660"/>
      <c r="D227" s="660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660"/>
      <c r="B228" s="660"/>
      <c r="C228" s="660"/>
      <c r="D228" s="660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660"/>
      <c r="B229" s="660"/>
      <c r="C229" s="660"/>
      <c r="D229" s="660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660"/>
      <c r="B230" s="660"/>
      <c r="C230" s="660"/>
      <c r="D230" s="660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660"/>
      <c r="B231" s="660"/>
      <c r="C231" s="660"/>
      <c r="D231" s="660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660"/>
      <c r="B232" s="660"/>
      <c r="C232" s="660"/>
      <c r="D232" s="660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660"/>
      <c r="B233" s="660"/>
      <c r="C233" s="660"/>
      <c r="D233" s="660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660"/>
      <c r="B234" s="660"/>
      <c r="C234" s="660"/>
      <c r="D234" s="660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660"/>
      <c r="B235" s="660"/>
      <c r="C235" s="660"/>
      <c r="D235" s="660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660"/>
      <c r="B236" s="660"/>
      <c r="C236" s="660"/>
      <c r="D236" s="660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660"/>
      <c r="B237" s="660"/>
      <c r="C237" s="660"/>
      <c r="D237" s="660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660"/>
      <c r="B238" s="660"/>
      <c r="C238" s="660"/>
      <c r="D238" s="660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660"/>
      <c r="B239" s="660"/>
      <c r="C239" s="660"/>
      <c r="D239" s="660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660"/>
      <c r="B240" s="660"/>
      <c r="C240" s="660"/>
      <c r="D240" s="660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660"/>
      <c r="B241" s="660"/>
      <c r="C241" s="660"/>
      <c r="D241" s="660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660"/>
      <c r="B242" s="660"/>
      <c r="C242" s="660"/>
      <c r="D242" s="660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660"/>
      <c r="B243" s="660"/>
      <c r="C243" s="660"/>
      <c r="D243" s="660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660"/>
      <c r="B244" s="660"/>
      <c r="C244" s="660"/>
      <c r="D244" s="660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660"/>
      <c r="B245" s="660"/>
      <c r="C245" s="660"/>
      <c r="D245" s="660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660"/>
      <c r="B246" s="660"/>
      <c r="C246" s="660"/>
      <c r="D246" s="660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660"/>
      <c r="B247" s="660"/>
      <c r="C247" s="660"/>
      <c r="D247" s="660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660"/>
      <c r="B248" s="660"/>
      <c r="C248" s="660"/>
      <c r="D248" s="660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660"/>
      <c r="B249" s="660"/>
      <c r="C249" s="660"/>
      <c r="D249" s="660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660"/>
      <c r="B250" s="660"/>
      <c r="C250" s="660"/>
      <c r="D250" s="660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660"/>
      <c r="B251" s="660"/>
      <c r="C251" s="660"/>
      <c r="D251" s="660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660"/>
      <c r="B252" s="660"/>
      <c r="C252" s="660"/>
      <c r="D252" s="660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660"/>
      <c r="B253" s="660"/>
      <c r="C253" s="660"/>
      <c r="D253" s="660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660"/>
      <c r="B254" s="660"/>
      <c r="C254" s="660"/>
      <c r="D254" s="660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660"/>
      <c r="B255" s="660"/>
      <c r="C255" s="660"/>
      <c r="D255" s="660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660"/>
      <c r="B256" s="660"/>
      <c r="C256" s="660"/>
      <c r="D256" s="660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660"/>
      <c r="B257" s="660"/>
      <c r="C257" s="660"/>
      <c r="D257" s="660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660"/>
      <c r="B258" s="660"/>
      <c r="C258" s="660"/>
      <c r="D258" s="660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660"/>
      <c r="B259" s="660"/>
      <c r="C259" s="660"/>
      <c r="D259" s="660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660"/>
      <c r="B260" s="660"/>
      <c r="C260" s="660"/>
      <c r="D260" s="660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660"/>
      <c r="B261" s="660"/>
      <c r="C261" s="660"/>
      <c r="D261" s="660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660"/>
      <c r="B262" s="660"/>
      <c r="C262" s="660"/>
      <c r="D262" s="660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660"/>
      <c r="B263" s="660"/>
      <c r="C263" s="660"/>
      <c r="D263" s="660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660"/>
      <c r="B264" s="660"/>
      <c r="C264" s="660"/>
      <c r="D264" s="660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660"/>
      <c r="B265" s="660"/>
      <c r="C265" s="660"/>
      <c r="D265" s="660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660"/>
      <c r="B266" s="660"/>
      <c r="C266" s="660"/>
      <c r="D266" s="660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660"/>
      <c r="B267" s="660"/>
      <c r="C267" s="660"/>
      <c r="D267" s="660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660"/>
      <c r="B268" s="660"/>
      <c r="C268" s="660"/>
      <c r="D268" s="660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660"/>
      <c r="B269" s="660"/>
      <c r="C269" s="660"/>
      <c r="D269" s="660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660"/>
      <c r="B270" s="660"/>
      <c r="C270" s="660"/>
      <c r="D270" s="660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660"/>
      <c r="B271" s="660"/>
      <c r="C271" s="660"/>
      <c r="D271" s="660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660"/>
      <c r="B272" s="660"/>
      <c r="C272" s="660"/>
      <c r="D272" s="660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660"/>
      <c r="B273" s="660"/>
      <c r="C273" s="660"/>
      <c r="D273" s="660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660"/>
      <c r="B274" s="660"/>
      <c r="C274" s="660"/>
      <c r="D274" s="660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660"/>
      <c r="B275" s="660"/>
      <c r="C275" s="660"/>
      <c r="D275" s="660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660"/>
      <c r="B276" s="660"/>
      <c r="C276" s="660"/>
      <c r="D276" s="660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660"/>
      <c r="B277" s="660"/>
      <c r="C277" s="660"/>
      <c r="D277" s="660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660"/>
      <c r="B278" s="660"/>
      <c r="C278" s="660"/>
      <c r="D278" s="660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660"/>
      <c r="B279" s="660"/>
      <c r="C279" s="660"/>
      <c r="D279" s="660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660"/>
      <c r="B280" s="660"/>
      <c r="C280" s="660"/>
      <c r="D280" s="660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660"/>
      <c r="B281" s="660"/>
      <c r="C281" s="660"/>
      <c r="D281" s="660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660"/>
      <c r="B282" s="660"/>
      <c r="C282" s="660"/>
      <c r="D282" s="660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660"/>
      <c r="B283" s="660"/>
      <c r="C283" s="660"/>
      <c r="D283" s="660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660"/>
      <c r="B284" s="660"/>
      <c r="C284" s="660"/>
      <c r="D284" s="660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660"/>
      <c r="B285" s="660"/>
      <c r="C285" s="660"/>
      <c r="D285" s="660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660"/>
      <c r="B286" s="660"/>
      <c r="C286" s="660"/>
      <c r="D286" s="660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660"/>
      <c r="B287" s="660"/>
      <c r="C287" s="660"/>
      <c r="D287" s="660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660"/>
      <c r="B288" s="660"/>
      <c r="C288" s="660"/>
      <c r="D288" s="660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660"/>
      <c r="B289" s="660"/>
      <c r="C289" s="660"/>
      <c r="D289" s="660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660"/>
      <c r="B290" s="660"/>
      <c r="C290" s="660"/>
      <c r="D290" s="660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660"/>
      <c r="B291" s="660"/>
      <c r="C291" s="660"/>
      <c r="D291" s="660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660"/>
      <c r="B292" s="660"/>
      <c r="C292" s="660"/>
      <c r="D292" s="660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660"/>
      <c r="B293" s="660"/>
      <c r="C293" s="660"/>
      <c r="D293" s="660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660"/>
      <c r="B294" s="660"/>
      <c r="C294" s="660"/>
      <c r="D294" s="660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660"/>
      <c r="B295" s="660"/>
      <c r="C295" s="660"/>
      <c r="D295" s="660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660"/>
      <c r="B296" s="660"/>
      <c r="C296" s="660"/>
      <c r="D296" s="660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660"/>
      <c r="B297" s="660"/>
      <c r="C297" s="660"/>
      <c r="D297" s="660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660"/>
      <c r="B298" s="660"/>
      <c r="C298" s="660"/>
      <c r="D298" s="660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660"/>
      <c r="B299" s="660"/>
      <c r="C299" s="660"/>
      <c r="D299" s="660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660"/>
      <c r="B300" s="660"/>
      <c r="C300" s="660"/>
      <c r="D300" s="660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660"/>
      <c r="B301" s="660"/>
      <c r="C301" s="660"/>
      <c r="D301" s="660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660"/>
      <c r="B302" s="660"/>
      <c r="C302" s="660"/>
      <c r="D302" s="660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660"/>
      <c r="B303" s="660"/>
      <c r="C303" s="660"/>
      <c r="D303" s="660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660"/>
      <c r="B304" s="660"/>
      <c r="C304" s="660"/>
      <c r="D304" s="660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660"/>
      <c r="B305" s="660"/>
      <c r="C305" s="660"/>
      <c r="D305" s="660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660"/>
      <c r="B306" s="660"/>
      <c r="C306" s="660"/>
      <c r="D306" s="660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660"/>
      <c r="B307" s="660"/>
      <c r="C307" s="660"/>
      <c r="D307" s="660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660"/>
      <c r="B308" s="660"/>
      <c r="C308" s="660"/>
      <c r="D308" s="660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660"/>
      <c r="B309" s="660"/>
      <c r="C309" s="660"/>
      <c r="D309" s="660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660"/>
      <c r="B310" s="660"/>
      <c r="C310" s="660"/>
      <c r="D310" s="660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660"/>
      <c r="B311" s="660"/>
      <c r="C311" s="660"/>
      <c r="D311" s="660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660"/>
      <c r="B312" s="660"/>
      <c r="C312" s="660"/>
      <c r="D312" s="660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660"/>
      <c r="B313" s="660"/>
      <c r="C313" s="660"/>
      <c r="D313" s="660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660"/>
      <c r="B314" s="660"/>
      <c r="C314" s="660"/>
      <c r="D314" s="660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660"/>
      <c r="B315" s="660"/>
      <c r="C315" s="660"/>
      <c r="D315" s="660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660"/>
      <c r="B316" s="660"/>
      <c r="C316" s="660"/>
      <c r="D316" s="660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660"/>
      <c r="B317" s="660"/>
      <c r="C317" s="660"/>
      <c r="D317" s="660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660"/>
      <c r="B318" s="660"/>
      <c r="C318" s="660"/>
      <c r="D318" s="660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660"/>
      <c r="B319" s="660"/>
      <c r="C319" s="660"/>
      <c r="D319" s="660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660"/>
      <c r="B320" s="660"/>
      <c r="C320" s="660"/>
      <c r="D320" s="660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660"/>
      <c r="B321" s="660"/>
      <c r="C321" s="660"/>
      <c r="D321" s="660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660"/>
      <c r="B322" s="660"/>
      <c r="C322" s="660"/>
      <c r="D322" s="660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660"/>
      <c r="B323" s="660"/>
      <c r="C323" s="660"/>
      <c r="D323" s="660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660"/>
      <c r="B324" s="660"/>
      <c r="C324" s="660"/>
      <c r="D324" s="660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660"/>
      <c r="B325" s="660"/>
      <c r="C325" s="660"/>
      <c r="D325" s="660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660"/>
      <c r="B326" s="660"/>
      <c r="C326" s="660"/>
      <c r="D326" s="660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660"/>
      <c r="B327" s="660"/>
      <c r="C327" s="660"/>
      <c r="D327" s="660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660"/>
      <c r="B328" s="660"/>
      <c r="C328" s="660"/>
      <c r="D328" s="660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660"/>
      <c r="B329" s="660"/>
      <c r="C329" s="660"/>
      <c r="D329" s="660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660"/>
      <c r="B330" s="660"/>
      <c r="C330" s="660"/>
      <c r="D330" s="660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660"/>
      <c r="B331" s="660"/>
      <c r="C331" s="660"/>
      <c r="D331" s="660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660"/>
      <c r="B332" s="660"/>
      <c r="C332" s="660"/>
      <c r="D332" s="660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660"/>
      <c r="B333" s="660"/>
      <c r="C333" s="660"/>
      <c r="D333" s="660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660"/>
      <c r="B334" s="660"/>
      <c r="C334" s="660"/>
      <c r="D334" s="660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660"/>
      <c r="B335" s="660"/>
      <c r="C335" s="660"/>
      <c r="D335" s="660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660"/>
      <c r="B336" s="660"/>
      <c r="C336" s="660"/>
      <c r="D336" s="660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660"/>
      <c r="B337" s="660"/>
      <c r="C337" s="660"/>
      <c r="D337" s="660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660"/>
      <c r="B338" s="660"/>
      <c r="C338" s="660"/>
      <c r="D338" s="660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660"/>
      <c r="B339" s="660"/>
      <c r="C339" s="660"/>
      <c r="D339" s="660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660"/>
      <c r="B340" s="660"/>
      <c r="C340" s="660"/>
      <c r="D340" s="660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660"/>
      <c r="B341" s="660"/>
      <c r="C341" s="660"/>
      <c r="D341" s="660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660"/>
      <c r="B342" s="660"/>
      <c r="C342" s="660"/>
      <c r="D342" s="660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660"/>
      <c r="B343" s="660"/>
      <c r="C343" s="660"/>
      <c r="D343" s="660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660"/>
      <c r="B344" s="660"/>
      <c r="C344" s="660"/>
      <c r="D344" s="660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660"/>
      <c r="B345" s="660"/>
      <c r="C345" s="660"/>
      <c r="D345" s="660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660"/>
      <c r="B346" s="660"/>
      <c r="C346" s="660"/>
      <c r="D346" s="660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660"/>
      <c r="B347" s="660"/>
      <c r="C347" s="660"/>
      <c r="D347" s="660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660"/>
      <c r="B348" s="660"/>
      <c r="C348" s="660"/>
      <c r="D348" s="660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660"/>
      <c r="B349" s="660"/>
      <c r="C349" s="660"/>
      <c r="D349" s="660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660"/>
      <c r="B350" s="660"/>
      <c r="C350" s="660"/>
      <c r="D350" s="660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660"/>
      <c r="B351" s="660"/>
      <c r="C351" s="660"/>
      <c r="D351" s="660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660"/>
      <c r="B352" s="660"/>
      <c r="C352" s="660"/>
      <c r="D352" s="660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660"/>
      <c r="B353" s="660"/>
      <c r="C353" s="660"/>
      <c r="D353" s="660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660"/>
      <c r="B354" s="660"/>
      <c r="C354" s="660"/>
      <c r="D354" s="660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660"/>
      <c r="B355" s="660"/>
      <c r="C355" s="660"/>
      <c r="D355" s="660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660"/>
      <c r="B356" s="660"/>
      <c r="C356" s="660"/>
      <c r="D356" s="660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660"/>
      <c r="B357" s="660"/>
      <c r="C357" s="660"/>
      <c r="D357" s="660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660"/>
      <c r="B358" s="660"/>
      <c r="C358" s="660"/>
      <c r="D358" s="660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660"/>
      <c r="B359" s="660"/>
      <c r="C359" s="660"/>
      <c r="D359" s="660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660"/>
      <c r="B360" s="660"/>
      <c r="C360" s="660"/>
      <c r="D360" s="660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660"/>
      <c r="B361" s="660"/>
      <c r="C361" s="660"/>
      <c r="D361" s="660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660"/>
      <c r="B362" s="660"/>
      <c r="C362" s="660"/>
      <c r="D362" s="660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660"/>
      <c r="B363" s="660"/>
      <c r="C363" s="660"/>
      <c r="D363" s="660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660"/>
      <c r="B364" s="660"/>
      <c r="C364" s="660"/>
      <c r="D364" s="660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660"/>
      <c r="B365" s="660"/>
      <c r="C365" s="660"/>
      <c r="D365" s="660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660"/>
      <c r="B366" s="660"/>
      <c r="C366" s="660"/>
      <c r="D366" s="660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660"/>
      <c r="B367" s="660"/>
      <c r="C367" s="660"/>
      <c r="D367" s="660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660"/>
      <c r="B368" s="660"/>
      <c r="C368" s="660"/>
      <c r="D368" s="660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660"/>
      <c r="B369" s="660"/>
      <c r="C369" s="660"/>
      <c r="D369" s="660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660"/>
      <c r="B370" s="660"/>
      <c r="C370" s="660"/>
      <c r="D370" s="660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660"/>
      <c r="B371" s="660"/>
      <c r="C371" s="660"/>
      <c r="D371" s="660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660"/>
      <c r="B372" s="660"/>
      <c r="C372" s="660"/>
      <c r="D372" s="660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660"/>
      <c r="B373" s="660"/>
      <c r="C373" s="660"/>
      <c r="D373" s="660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660"/>
      <c r="B374" s="660"/>
      <c r="C374" s="660"/>
      <c r="D374" s="660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660"/>
      <c r="B375" s="660"/>
      <c r="C375" s="660"/>
      <c r="D375" s="660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660"/>
      <c r="B376" s="660"/>
      <c r="C376" s="660"/>
      <c r="D376" s="660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660"/>
      <c r="B377" s="660"/>
      <c r="C377" s="660"/>
      <c r="D377" s="660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660"/>
      <c r="B378" s="660"/>
      <c r="C378" s="660"/>
      <c r="D378" s="660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660"/>
      <c r="B379" s="660"/>
      <c r="C379" s="660"/>
      <c r="D379" s="660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660"/>
      <c r="B380" s="660"/>
      <c r="C380" s="660"/>
      <c r="D380" s="660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660"/>
      <c r="B381" s="660"/>
      <c r="C381" s="660"/>
      <c r="D381" s="660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660"/>
      <c r="B382" s="660"/>
      <c r="C382" s="660"/>
      <c r="D382" s="660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660"/>
      <c r="B383" s="660"/>
      <c r="C383" s="660"/>
      <c r="D383" s="660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660"/>
      <c r="B384" s="660"/>
      <c r="C384" s="660"/>
      <c r="D384" s="660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660"/>
      <c r="B385" s="660"/>
      <c r="C385" s="660"/>
      <c r="D385" s="660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660"/>
      <c r="B386" s="660"/>
      <c r="C386" s="660"/>
      <c r="D386" s="660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660"/>
      <c r="B387" s="660"/>
      <c r="C387" s="660"/>
      <c r="D387" s="660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660"/>
      <c r="B388" s="660"/>
      <c r="C388" s="660"/>
      <c r="D388" s="660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660"/>
      <c r="B389" s="660"/>
      <c r="C389" s="660"/>
      <c r="D389" s="660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660"/>
      <c r="B390" s="660"/>
      <c r="C390" s="660"/>
      <c r="D390" s="660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660"/>
      <c r="B391" s="660"/>
      <c r="C391" s="660"/>
      <c r="D391" s="660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660"/>
      <c r="B392" s="660"/>
      <c r="C392" s="660"/>
      <c r="D392" s="660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660"/>
      <c r="B393" s="660"/>
      <c r="C393" s="660"/>
      <c r="D393" s="660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660"/>
      <c r="B394" s="660"/>
      <c r="C394" s="660"/>
      <c r="D394" s="660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660"/>
      <c r="B395" s="660"/>
      <c r="C395" s="660"/>
      <c r="D395" s="660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660"/>
      <c r="B396" s="660"/>
      <c r="C396" s="660"/>
      <c r="D396" s="660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660"/>
      <c r="B397" s="660"/>
      <c r="C397" s="660"/>
      <c r="D397" s="660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660"/>
      <c r="B398" s="660"/>
      <c r="C398" s="660"/>
      <c r="D398" s="660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660"/>
      <c r="B399" s="660"/>
      <c r="C399" s="660"/>
      <c r="D399" s="660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660"/>
      <c r="B400" s="660"/>
      <c r="C400" s="660"/>
      <c r="D400" s="660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660"/>
      <c r="B401" s="660"/>
      <c r="C401" s="660"/>
      <c r="D401" s="660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660"/>
      <c r="B402" s="660"/>
      <c r="C402" s="660"/>
      <c r="D402" s="660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660"/>
      <c r="B403" s="660"/>
      <c r="C403" s="660"/>
      <c r="D403" s="660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660"/>
      <c r="B404" s="660"/>
      <c r="C404" s="660"/>
      <c r="D404" s="660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660"/>
      <c r="B405" s="660"/>
      <c r="C405" s="660"/>
      <c r="D405" s="660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660"/>
      <c r="B406" s="660"/>
      <c r="C406" s="660"/>
      <c r="D406" s="660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660"/>
      <c r="B407" s="660"/>
      <c r="C407" s="660"/>
      <c r="D407" s="660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660"/>
      <c r="B408" s="660"/>
      <c r="C408" s="660"/>
      <c r="D408" s="660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660"/>
      <c r="B409" s="660"/>
      <c r="C409" s="660"/>
      <c r="D409" s="660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660"/>
      <c r="B410" s="660"/>
      <c r="C410" s="660"/>
      <c r="D410" s="660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660"/>
      <c r="B411" s="660"/>
      <c r="C411" s="660"/>
      <c r="D411" s="660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660"/>
      <c r="B412" s="660"/>
      <c r="C412" s="660"/>
      <c r="D412" s="660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660"/>
      <c r="B413" s="660"/>
      <c r="C413" s="660"/>
      <c r="D413" s="660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660"/>
      <c r="B414" s="660"/>
      <c r="C414" s="660"/>
      <c r="D414" s="660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660"/>
      <c r="B415" s="660"/>
      <c r="C415" s="660"/>
      <c r="D415" s="660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660"/>
      <c r="B416" s="660"/>
      <c r="C416" s="660"/>
      <c r="D416" s="660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660"/>
      <c r="B417" s="660"/>
      <c r="C417" s="660"/>
      <c r="D417" s="660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660"/>
      <c r="B418" s="660"/>
      <c r="C418" s="660"/>
      <c r="D418" s="660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660"/>
      <c r="B419" s="660"/>
      <c r="C419" s="660"/>
      <c r="D419" s="660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660"/>
      <c r="B420" s="660"/>
      <c r="C420" s="660"/>
      <c r="D420" s="660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660"/>
      <c r="B421" s="660"/>
      <c r="C421" s="660"/>
      <c r="D421" s="660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660"/>
      <c r="B422" s="660"/>
      <c r="C422" s="660"/>
      <c r="D422" s="660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660"/>
      <c r="B423" s="660"/>
      <c r="C423" s="660"/>
      <c r="D423" s="660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660"/>
      <c r="B424" s="660"/>
      <c r="C424" s="660"/>
      <c r="D424" s="660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660"/>
      <c r="B425" s="660"/>
      <c r="C425" s="660"/>
      <c r="D425" s="660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660"/>
      <c r="B426" s="660"/>
      <c r="C426" s="660"/>
      <c r="D426" s="660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660"/>
      <c r="B427" s="660"/>
      <c r="C427" s="660"/>
      <c r="D427" s="660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660"/>
      <c r="B428" s="660"/>
      <c r="C428" s="660"/>
      <c r="D428" s="660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660"/>
      <c r="B429" s="660"/>
      <c r="C429" s="660"/>
      <c r="D429" s="660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660"/>
      <c r="B430" s="660"/>
      <c r="C430" s="660"/>
      <c r="D430" s="660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660"/>
      <c r="B431" s="660"/>
      <c r="C431" s="660"/>
      <c r="D431" s="660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660"/>
      <c r="B432" s="660"/>
      <c r="C432" s="660"/>
      <c r="D432" s="660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660"/>
      <c r="B433" s="660"/>
      <c r="C433" s="660"/>
      <c r="D433" s="660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660"/>
      <c r="B434" s="660"/>
      <c r="C434" s="660"/>
      <c r="D434" s="660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660"/>
      <c r="B435" s="660"/>
      <c r="C435" s="660"/>
      <c r="D435" s="660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660"/>
      <c r="B436" s="660"/>
      <c r="C436" s="660"/>
      <c r="D436" s="660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660"/>
      <c r="B437" s="660"/>
      <c r="C437" s="660"/>
      <c r="D437" s="660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660"/>
      <c r="B438" s="660"/>
      <c r="C438" s="660"/>
      <c r="D438" s="660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660"/>
      <c r="B439" s="660"/>
      <c r="C439" s="660"/>
      <c r="D439" s="660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660"/>
      <c r="B440" s="660"/>
      <c r="C440" s="660"/>
      <c r="D440" s="660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660"/>
      <c r="B441" s="660"/>
      <c r="C441" s="660"/>
      <c r="D441" s="660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660"/>
      <c r="B442" s="660"/>
      <c r="C442" s="660"/>
      <c r="D442" s="660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660"/>
      <c r="B443" s="660"/>
      <c r="C443" s="660"/>
      <c r="D443" s="660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660"/>
      <c r="B444" s="660"/>
      <c r="C444" s="660"/>
      <c r="D444" s="660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660"/>
      <c r="B445" s="660"/>
      <c r="C445" s="660"/>
      <c r="D445" s="660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660"/>
      <c r="B446" s="660"/>
      <c r="C446" s="660"/>
      <c r="D446" s="660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660"/>
      <c r="B447" s="660"/>
      <c r="C447" s="660"/>
      <c r="D447" s="660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660"/>
      <c r="B448" s="660"/>
      <c r="C448" s="660"/>
      <c r="D448" s="660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660"/>
      <c r="B449" s="660"/>
      <c r="C449" s="660"/>
      <c r="D449" s="660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660"/>
      <c r="B450" s="660"/>
      <c r="C450" s="660"/>
      <c r="D450" s="660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660"/>
      <c r="B451" s="660"/>
      <c r="C451" s="660"/>
      <c r="D451" s="660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660"/>
      <c r="B452" s="660"/>
      <c r="C452" s="660"/>
      <c r="D452" s="660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660"/>
      <c r="B453" s="660"/>
      <c r="C453" s="660"/>
      <c r="D453" s="660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660"/>
      <c r="B454" s="660"/>
      <c r="C454" s="660"/>
      <c r="D454" s="660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660"/>
      <c r="B455" s="660"/>
      <c r="C455" s="660"/>
      <c r="D455" s="660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660"/>
      <c r="B456" s="660"/>
      <c r="C456" s="660"/>
      <c r="D456" s="660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660"/>
      <c r="B457" s="660"/>
      <c r="C457" s="660"/>
      <c r="D457" s="660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660"/>
      <c r="B458" s="660"/>
      <c r="C458" s="660"/>
      <c r="D458" s="660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660"/>
      <c r="B459" s="660"/>
      <c r="C459" s="660"/>
      <c r="D459" s="660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660"/>
      <c r="B460" s="660"/>
      <c r="C460" s="660"/>
      <c r="D460" s="660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660"/>
      <c r="B461" s="660"/>
      <c r="C461" s="660"/>
      <c r="D461" s="660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660"/>
      <c r="B462" s="660"/>
      <c r="C462" s="660"/>
      <c r="D462" s="660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660"/>
      <c r="B463" s="660"/>
      <c r="C463" s="660"/>
      <c r="D463" s="660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660"/>
      <c r="B464" s="660"/>
      <c r="C464" s="660"/>
      <c r="D464" s="660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660"/>
      <c r="B465" s="660"/>
      <c r="C465" s="660"/>
      <c r="D465" s="660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660"/>
      <c r="B466" s="660"/>
      <c r="C466" s="660"/>
      <c r="D466" s="660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660"/>
      <c r="B467" s="660"/>
      <c r="C467" s="660"/>
      <c r="D467" s="660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660"/>
      <c r="B468" s="660"/>
      <c r="C468" s="660"/>
      <c r="D468" s="660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660"/>
      <c r="B469" s="660"/>
      <c r="C469" s="660"/>
      <c r="D469" s="660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660"/>
      <c r="B470" s="660"/>
      <c r="C470" s="660"/>
      <c r="D470" s="660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660"/>
      <c r="B471" s="660"/>
      <c r="C471" s="660"/>
      <c r="D471" s="660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660"/>
      <c r="B472" s="660"/>
      <c r="C472" s="660"/>
      <c r="D472" s="660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660"/>
      <c r="B473" s="660"/>
      <c r="C473" s="660"/>
      <c r="D473" s="660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660"/>
      <c r="B474" s="660"/>
      <c r="C474" s="660"/>
      <c r="D474" s="660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660"/>
      <c r="B475" s="660"/>
      <c r="C475" s="660"/>
      <c r="D475" s="660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660"/>
      <c r="B476" s="660"/>
      <c r="C476" s="660"/>
      <c r="D476" s="660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660"/>
      <c r="B477" s="660"/>
      <c r="C477" s="660"/>
      <c r="D477" s="660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660"/>
      <c r="B478" s="660"/>
      <c r="C478" s="660"/>
      <c r="D478" s="660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660"/>
      <c r="B479" s="660"/>
      <c r="C479" s="660"/>
      <c r="D479" s="660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660"/>
      <c r="B480" s="660"/>
      <c r="C480" s="660"/>
      <c r="D480" s="660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660"/>
      <c r="B481" s="660"/>
      <c r="C481" s="660"/>
      <c r="D481" s="660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660"/>
      <c r="B482" s="660"/>
      <c r="C482" s="660"/>
      <c r="D482" s="660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660"/>
      <c r="B483" s="660"/>
      <c r="C483" s="660"/>
      <c r="D483" s="660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660"/>
      <c r="B484" s="660"/>
      <c r="C484" s="660"/>
      <c r="D484" s="660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660"/>
      <c r="B485" s="660"/>
      <c r="C485" s="660"/>
      <c r="D485" s="660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660"/>
      <c r="B486" s="660"/>
      <c r="C486" s="660"/>
      <c r="D486" s="660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660"/>
      <c r="B487" s="660"/>
      <c r="C487" s="660"/>
      <c r="D487" s="660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660"/>
      <c r="B488" s="660"/>
      <c r="C488" s="660"/>
      <c r="D488" s="660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660"/>
      <c r="B489" s="660"/>
      <c r="C489" s="660"/>
      <c r="D489" s="660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660"/>
      <c r="B490" s="660"/>
      <c r="C490" s="660"/>
      <c r="D490" s="660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660"/>
      <c r="B491" s="660"/>
      <c r="C491" s="660"/>
      <c r="D491" s="660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660"/>
      <c r="B492" s="660"/>
      <c r="C492" s="660"/>
      <c r="D492" s="660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660"/>
      <c r="B493" s="660"/>
      <c r="C493" s="660"/>
      <c r="D493" s="660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660"/>
      <c r="B494" s="660"/>
      <c r="C494" s="660"/>
      <c r="D494" s="660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660"/>
      <c r="B495" s="660"/>
      <c r="C495" s="660"/>
      <c r="D495" s="660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660"/>
      <c r="B496" s="660"/>
      <c r="C496" s="660"/>
      <c r="D496" s="660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660"/>
      <c r="B497" s="660"/>
      <c r="C497" s="660"/>
      <c r="D497" s="660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660"/>
      <c r="B498" s="660"/>
      <c r="C498" s="660"/>
      <c r="D498" s="660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660"/>
      <c r="B499" s="660"/>
      <c r="C499" s="660"/>
      <c r="D499" s="660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660"/>
      <c r="B500" s="660"/>
      <c r="C500" s="660"/>
      <c r="D500" s="660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660"/>
      <c r="B501" s="660"/>
      <c r="C501" s="660"/>
      <c r="D501" s="660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660"/>
      <c r="B502" s="660"/>
      <c r="C502" s="660"/>
      <c r="D502" s="660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660"/>
      <c r="B503" s="660"/>
      <c r="C503" s="660"/>
      <c r="D503" s="660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660"/>
      <c r="B504" s="660"/>
      <c r="C504" s="660"/>
      <c r="D504" s="660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660"/>
      <c r="B505" s="660"/>
      <c r="C505" s="660"/>
      <c r="D505" s="660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660"/>
      <c r="B506" s="660"/>
      <c r="C506" s="660"/>
      <c r="D506" s="660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660"/>
      <c r="B507" s="660"/>
      <c r="C507" s="660"/>
      <c r="D507" s="660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660"/>
      <c r="B508" s="660"/>
      <c r="C508" s="660"/>
      <c r="D508" s="660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660"/>
      <c r="B509" s="660"/>
      <c r="C509" s="660"/>
      <c r="D509" s="660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660"/>
      <c r="B510" s="660"/>
      <c r="C510" s="660"/>
      <c r="D510" s="660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660"/>
      <c r="B511" s="660"/>
      <c r="C511" s="660"/>
      <c r="D511" s="660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660"/>
      <c r="B512" s="660"/>
      <c r="C512" s="660"/>
      <c r="D512" s="660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660"/>
      <c r="B513" s="660"/>
      <c r="C513" s="660"/>
      <c r="D513" s="660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660"/>
      <c r="B514" s="660"/>
      <c r="C514" s="660"/>
      <c r="D514" s="660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660"/>
      <c r="B515" s="660"/>
      <c r="C515" s="660"/>
      <c r="D515" s="660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660"/>
      <c r="B516" s="660"/>
      <c r="C516" s="660"/>
      <c r="D516" s="660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660"/>
      <c r="B517" s="660"/>
      <c r="C517" s="660"/>
      <c r="D517" s="660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660"/>
      <c r="B518" s="660"/>
      <c r="C518" s="660"/>
      <c r="D518" s="660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660"/>
      <c r="B519" s="660"/>
      <c r="C519" s="660"/>
      <c r="D519" s="660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660"/>
      <c r="B520" s="660"/>
      <c r="C520" s="660"/>
      <c r="D520" s="660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660"/>
      <c r="B521" s="660"/>
      <c r="C521" s="660"/>
      <c r="D521" s="660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660"/>
      <c r="B522" s="660"/>
      <c r="C522" s="660"/>
      <c r="D522" s="660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660"/>
      <c r="B523" s="660"/>
      <c r="C523" s="660"/>
      <c r="D523" s="660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660"/>
      <c r="B524" s="660"/>
      <c r="C524" s="660"/>
      <c r="D524" s="660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660"/>
      <c r="B525" s="660"/>
      <c r="C525" s="660"/>
      <c r="D525" s="660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660"/>
      <c r="B526" s="660"/>
      <c r="C526" s="660"/>
      <c r="D526" s="660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660"/>
      <c r="B527" s="660"/>
      <c r="C527" s="660"/>
      <c r="D527" s="660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660"/>
      <c r="B528" s="660"/>
      <c r="C528" s="660"/>
      <c r="D528" s="660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660"/>
      <c r="B529" s="660"/>
      <c r="C529" s="660"/>
      <c r="D529" s="660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660"/>
      <c r="B530" s="660"/>
      <c r="C530" s="660"/>
      <c r="D530" s="660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660"/>
      <c r="B531" s="660"/>
      <c r="C531" s="660"/>
      <c r="D531" s="660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660"/>
      <c r="B532" s="660"/>
      <c r="C532" s="660"/>
      <c r="D532" s="660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660"/>
      <c r="B533" s="660"/>
      <c r="C533" s="660"/>
      <c r="D533" s="660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660"/>
      <c r="B534" s="660"/>
      <c r="C534" s="660"/>
      <c r="D534" s="660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660"/>
      <c r="B535" s="660"/>
      <c r="C535" s="660"/>
      <c r="D535" s="660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660"/>
      <c r="B536" s="660"/>
      <c r="C536" s="660"/>
      <c r="D536" s="660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660"/>
      <c r="B537" s="660"/>
      <c r="C537" s="660"/>
      <c r="D537" s="660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660"/>
      <c r="B538" s="660"/>
      <c r="C538" s="660"/>
      <c r="D538" s="660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660"/>
      <c r="B539" s="660"/>
      <c r="C539" s="660"/>
      <c r="D539" s="660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660"/>
      <c r="B540" s="660"/>
      <c r="C540" s="660"/>
      <c r="D540" s="660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660"/>
      <c r="B541" s="660"/>
      <c r="C541" s="660"/>
      <c r="D541" s="660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660"/>
      <c r="B542" s="660"/>
      <c r="C542" s="660"/>
      <c r="D542" s="660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660"/>
      <c r="B543" s="660"/>
      <c r="C543" s="660"/>
      <c r="D543" s="660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660"/>
      <c r="B544" s="660"/>
      <c r="C544" s="660"/>
      <c r="D544" s="660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660"/>
      <c r="B545" s="660"/>
      <c r="C545" s="660"/>
      <c r="D545" s="660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660"/>
      <c r="B546" s="660"/>
      <c r="C546" s="660"/>
      <c r="D546" s="660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660"/>
      <c r="B547" s="660"/>
      <c r="C547" s="660"/>
      <c r="D547" s="660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660"/>
      <c r="B548" s="660"/>
      <c r="C548" s="660"/>
      <c r="D548" s="660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660"/>
      <c r="B549" s="660"/>
      <c r="C549" s="660"/>
      <c r="D549" s="660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660"/>
      <c r="B550" s="660"/>
      <c r="C550" s="660"/>
      <c r="D550" s="660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660"/>
      <c r="B551" s="660"/>
      <c r="C551" s="660"/>
      <c r="D551" s="660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660"/>
      <c r="B552" s="660"/>
      <c r="C552" s="660"/>
      <c r="D552" s="660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660"/>
      <c r="B553" s="660"/>
      <c r="C553" s="660"/>
      <c r="D553" s="660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660"/>
      <c r="B554" s="660"/>
      <c r="C554" s="660"/>
      <c r="D554" s="660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660"/>
      <c r="B555" s="660"/>
      <c r="C555" s="660"/>
      <c r="D555" s="660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660"/>
      <c r="B556" s="660"/>
      <c r="C556" s="660"/>
      <c r="D556" s="660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660"/>
      <c r="B557" s="660"/>
      <c r="C557" s="660"/>
      <c r="D557" s="660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660"/>
      <c r="B558" s="660"/>
      <c r="C558" s="660"/>
      <c r="D558" s="660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660"/>
      <c r="B559" s="660"/>
      <c r="C559" s="660"/>
      <c r="D559" s="660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660"/>
      <c r="B560" s="660"/>
      <c r="C560" s="660"/>
      <c r="D560" s="660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660"/>
      <c r="B561" s="660"/>
      <c r="C561" s="660"/>
      <c r="D561" s="660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660"/>
      <c r="B562" s="660"/>
      <c r="C562" s="660"/>
      <c r="D562" s="660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660"/>
      <c r="B563" s="660"/>
      <c r="C563" s="660"/>
      <c r="D563" s="660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660"/>
      <c r="B564" s="660"/>
      <c r="C564" s="660"/>
      <c r="D564" s="660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660"/>
      <c r="B565" s="660"/>
      <c r="C565" s="660"/>
      <c r="D565" s="660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660"/>
      <c r="B566" s="660"/>
      <c r="C566" s="660"/>
      <c r="D566" s="660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660"/>
      <c r="B567" s="660"/>
      <c r="C567" s="660"/>
      <c r="D567" s="660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660"/>
      <c r="B568" s="660"/>
      <c r="C568" s="660"/>
      <c r="D568" s="660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660"/>
      <c r="B569" s="660"/>
      <c r="C569" s="660"/>
      <c r="D569" s="660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660"/>
      <c r="B570" s="660"/>
      <c r="C570" s="660"/>
      <c r="D570" s="660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660"/>
      <c r="B571" s="660"/>
      <c r="C571" s="660"/>
      <c r="D571" s="660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660"/>
      <c r="B572" s="660"/>
      <c r="C572" s="660"/>
      <c r="D572" s="660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660"/>
      <c r="B573" s="660"/>
      <c r="C573" s="660"/>
      <c r="D573" s="660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660"/>
      <c r="B574" s="660"/>
      <c r="C574" s="660"/>
      <c r="D574" s="660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660"/>
      <c r="B575" s="660"/>
      <c r="C575" s="660"/>
      <c r="D575" s="660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660"/>
      <c r="B576" s="660"/>
      <c r="C576" s="660"/>
      <c r="D576" s="660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660"/>
      <c r="B577" s="660"/>
      <c r="C577" s="660"/>
      <c r="D577" s="660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660"/>
      <c r="B578" s="660"/>
      <c r="C578" s="660"/>
      <c r="D578" s="660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660"/>
      <c r="B579" s="660"/>
      <c r="C579" s="660"/>
      <c r="D579" s="660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660"/>
      <c r="B580" s="660"/>
      <c r="C580" s="660"/>
      <c r="D580" s="660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660"/>
      <c r="B581" s="660"/>
      <c r="C581" s="660"/>
      <c r="D581" s="660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660"/>
      <c r="B582" s="660"/>
      <c r="C582" s="660"/>
      <c r="D582" s="660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660"/>
      <c r="B583" s="660"/>
      <c r="C583" s="660"/>
      <c r="D583" s="660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660"/>
      <c r="B584" s="660"/>
      <c r="C584" s="660"/>
      <c r="D584" s="660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660"/>
      <c r="B585" s="660"/>
      <c r="C585" s="660"/>
      <c r="D585" s="660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660"/>
      <c r="B586" s="660"/>
      <c r="C586" s="660"/>
      <c r="D586" s="660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660"/>
      <c r="B587" s="660"/>
      <c r="C587" s="660"/>
      <c r="D587" s="660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660"/>
      <c r="B588" s="660"/>
      <c r="C588" s="660"/>
      <c r="D588" s="660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660"/>
      <c r="B589" s="660"/>
      <c r="C589" s="660"/>
      <c r="D589" s="660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660"/>
      <c r="B590" s="660"/>
      <c r="C590" s="660"/>
      <c r="D590" s="660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660"/>
      <c r="B591" s="660"/>
      <c r="C591" s="660"/>
      <c r="D591" s="660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660"/>
      <c r="B592" s="660"/>
      <c r="C592" s="660"/>
      <c r="D592" s="660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660"/>
      <c r="B593" s="660"/>
      <c r="C593" s="660"/>
      <c r="D593" s="660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660"/>
      <c r="B594" s="660"/>
      <c r="C594" s="660"/>
      <c r="D594" s="660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660"/>
      <c r="B595" s="660"/>
      <c r="C595" s="660"/>
      <c r="D595" s="660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660"/>
      <c r="B596" s="660"/>
      <c r="C596" s="660"/>
      <c r="D596" s="660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660"/>
      <c r="B597" s="660"/>
      <c r="C597" s="660"/>
      <c r="D597" s="660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660"/>
      <c r="B598" s="660"/>
      <c r="C598" s="660"/>
      <c r="D598" s="660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660"/>
      <c r="B599" s="660"/>
      <c r="C599" s="660"/>
      <c r="D599" s="660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660"/>
      <c r="B600" s="660"/>
      <c r="C600" s="660"/>
      <c r="D600" s="660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660"/>
      <c r="B601" s="660"/>
      <c r="C601" s="660"/>
      <c r="D601" s="660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660"/>
      <c r="B602" s="660"/>
      <c r="C602" s="660"/>
      <c r="D602" s="660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660"/>
      <c r="B603" s="660"/>
      <c r="C603" s="660"/>
      <c r="D603" s="660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660"/>
      <c r="B604" s="660"/>
      <c r="C604" s="660"/>
      <c r="D604" s="660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660"/>
      <c r="B605" s="660"/>
      <c r="C605" s="660"/>
      <c r="D605" s="660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660"/>
      <c r="B606" s="660"/>
      <c r="C606" s="660"/>
      <c r="D606" s="660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660"/>
      <c r="B607" s="660"/>
      <c r="C607" s="660"/>
      <c r="D607" s="660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660"/>
      <c r="B608" s="660"/>
      <c r="C608" s="660"/>
      <c r="D608" s="660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660"/>
      <c r="B609" s="660"/>
      <c r="C609" s="660"/>
      <c r="D609" s="660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660"/>
      <c r="B610" s="660"/>
      <c r="C610" s="660"/>
      <c r="D610" s="660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660"/>
      <c r="B611" s="660"/>
      <c r="C611" s="660"/>
      <c r="D611" s="660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660"/>
      <c r="B612" s="660"/>
      <c r="C612" s="660"/>
      <c r="D612" s="660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660"/>
      <c r="B613" s="660"/>
      <c r="C613" s="660"/>
      <c r="D613" s="660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660"/>
      <c r="B614" s="660"/>
      <c r="C614" s="660"/>
      <c r="D614" s="660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660"/>
      <c r="B615" s="660"/>
      <c r="C615" s="660"/>
      <c r="D615" s="660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660"/>
      <c r="B616" s="660"/>
      <c r="C616" s="660"/>
      <c r="D616" s="660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660"/>
      <c r="B617" s="660"/>
      <c r="C617" s="660"/>
      <c r="D617" s="660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660"/>
      <c r="B618" s="660"/>
      <c r="C618" s="660"/>
      <c r="D618" s="660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660"/>
      <c r="B619" s="660"/>
      <c r="C619" s="660"/>
      <c r="D619" s="660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660"/>
      <c r="B620" s="660"/>
      <c r="C620" s="660"/>
      <c r="D620" s="660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660"/>
      <c r="B621" s="660"/>
      <c r="C621" s="660"/>
      <c r="D621" s="660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660"/>
      <c r="B622" s="660"/>
      <c r="C622" s="660"/>
      <c r="D622" s="660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660"/>
      <c r="B623" s="660"/>
      <c r="C623" s="660"/>
      <c r="D623" s="660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660"/>
      <c r="B624" s="660"/>
      <c r="C624" s="660"/>
      <c r="D624" s="660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660"/>
      <c r="B625" s="660"/>
      <c r="C625" s="660"/>
      <c r="D625" s="660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660"/>
      <c r="B626" s="660"/>
      <c r="C626" s="660"/>
      <c r="D626" s="660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660"/>
      <c r="B627" s="660"/>
      <c r="C627" s="660"/>
      <c r="D627" s="660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660"/>
      <c r="B628" s="660"/>
      <c r="C628" s="660"/>
      <c r="D628" s="660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660"/>
      <c r="B629" s="660"/>
      <c r="C629" s="660"/>
      <c r="D629" s="660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660"/>
      <c r="B630" s="660"/>
      <c r="C630" s="660"/>
      <c r="D630" s="660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660"/>
      <c r="B631" s="660"/>
      <c r="C631" s="660"/>
      <c r="D631" s="660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660"/>
      <c r="B632" s="660"/>
      <c r="C632" s="660"/>
      <c r="D632" s="660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660"/>
      <c r="B633" s="660"/>
      <c r="C633" s="660"/>
      <c r="D633" s="660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660"/>
      <c r="B634" s="660"/>
      <c r="C634" s="660"/>
      <c r="D634" s="660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660"/>
      <c r="B635" s="660"/>
      <c r="C635" s="660"/>
      <c r="D635" s="660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660"/>
      <c r="B636" s="660"/>
      <c r="C636" s="660"/>
      <c r="D636" s="660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660"/>
      <c r="B637" s="660"/>
      <c r="C637" s="660"/>
      <c r="D637" s="660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660"/>
      <c r="B638" s="660"/>
      <c r="C638" s="660"/>
      <c r="D638" s="660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660"/>
      <c r="B639" s="660"/>
      <c r="C639" s="660"/>
      <c r="D639" s="660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660"/>
      <c r="B640" s="660"/>
      <c r="C640" s="660"/>
      <c r="D640" s="660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660"/>
      <c r="B641" s="660"/>
      <c r="C641" s="660"/>
      <c r="D641" s="660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660"/>
      <c r="B642" s="660"/>
      <c r="C642" s="660"/>
      <c r="D642" s="660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660"/>
      <c r="B643" s="660"/>
      <c r="C643" s="660"/>
      <c r="D643" s="660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660"/>
      <c r="B644" s="660"/>
      <c r="C644" s="660"/>
      <c r="D644" s="660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660"/>
      <c r="B645" s="660"/>
      <c r="C645" s="660"/>
      <c r="D645" s="660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660"/>
      <c r="B646" s="660"/>
      <c r="C646" s="660"/>
      <c r="D646" s="660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660"/>
      <c r="B647" s="660"/>
      <c r="C647" s="660"/>
      <c r="D647" s="660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660"/>
      <c r="B648" s="660"/>
      <c r="C648" s="660"/>
      <c r="D648" s="660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660"/>
      <c r="B649" s="660"/>
      <c r="C649" s="660"/>
      <c r="D649" s="660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660"/>
      <c r="B650" s="660"/>
      <c r="C650" s="660"/>
      <c r="D650" s="660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660"/>
      <c r="B651" s="660"/>
      <c r="C651" s="660"/>
      <c r="D651" s="660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660"/>
      <c r="B652" s="660"/>
      <c r="C652" s="660"/>
      <c r="D652" s="660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660"/>
      <c r="B653" s="660"/>
      <c r="C653" s="660"/>
      <c r="D653" s="660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660"/>
      <c r="B654" s="660"/>
      <c r="C654" s="660"/>
      <c r="D654" s="660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660"/>
      <c r="B655" s="660"/>
      <c r="C655" s="660"/>
      <c r="D655" s="660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660"/>
      <c r="B656" s="660"/>
      <c r="C656" s="660"/>
      <c r="D656" s="660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660"/>
      <c r="B657" s="660"/>
      <c r="C657" s="660"/>
      <c r="D657" s="660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660"/>
      <c r="B658" s="660"/>
      <c r="C658" s="660"/>
      <c r="D658" s="660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660"/>
      <c r="B659" s="660"/>
      <c r="C659" s="660"/>
      <c r="D659" s="660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660"/>
      <c r="B660" s="660"/>
      <c r="C660" s="660"/>
      <c r="D660" s="660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660"/>
      <c r="B661" s="660"/>
      <c r="C661" s="660"/>
      <c r="D661" s="660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660"/>
      <c r="B662" s="660"/>
      <c r="C662" s="660"/>
      <c r="D662" s="660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660"/>
      <c r="B663" s="660"/>
      <c r="C663" s="660"/>
      <c r="D663" s="660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660"/>
      <c r="B664" s="660"/>
      <c r="C664" s="660"/>
      <c r="D664" s="660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660"/>
      <c r="B665" s="660"/>
      <c r="C665" s="660"/>
      <c r="D665" s="660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660"/>
      <c r="B666" s="660"/>
      <c r="C666" s="660"/>
      <c r="D666" s="660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660"/>
      <c r="B667" s="660"/>
      <c r="C667" s="660"/>
      <c r="D667" s="660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660"/>
      <c r="B668" s="660"/>
      <c r="C668" s="660"/>
      <c r="D668" s="660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660"/>
      <c r="B669" s="660"/>
      <c r="C669" s="660"/>
      <c r="D669" s="660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660"/>
      <c r="B670" s="660"/>
      <c r="C670" s="660"/>
      <c r="D670" s="660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660"/>
      <c r="B671" s="660"/>
      <c r="C671" s="660"/>
      <c r="D671" s="660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660"/>
      <c r="B672" s="660"/>
      <c r="C672" s="660"/>
      <c r="D672" s="660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660"/>
      <c r="B673" s="660"/>
      <c r="C673" s="660"/>
      <c r="D673" s="660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660"/>
      <c r="B674" s="660"/>
      <c r="C674" s="660"/>
      <c r="D674" s="660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660"/>
      <c r="B675" s="660"/>
      <c r="C675" s="660"/>
      <c r="D675" s="660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660"/>
      <c r="B676" s="660"/>
      <c r="C676" s="660"/>
      <c r="D676" s="660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660"/>
      <c r="B677" s="660"/>
      <c r="C677" s="660"/>
      <c r="D677" s="660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660"/>
      <c r="B678" s="660"/>
      <c r="C678" s="660"/>
      <c r="D678" s="660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660"/>
      <c r="B679" s="660"/>
      <c r="C679" s="660"/>
      <c r="D679" s="660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660"/>
      <c r="B680" s="660"/>
      <c r="C680" s="660"/>
      <c r="D680" s="660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660"/>
      <c r="B681" s="660"/>
      <c r="C681" s="660"/>
      <c r="D681" s="660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660"/>
      <c r="B682" s="660"/>
      <c r="C682" s="660"/>
      <c r="D682" s="660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660"/>
      <c r="B683" s="660"/>
      <c r="C683" s="660"/>
      <c r="D683" s="660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660"/>
      <c r="B684" s="660"/>
      <c r="C684" s="660"/>
      <c r="D684" s="660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660"/>
      <c r="B685" s="660"/>
      <c r="C685" s="660"/>
      <c r="D685" s="660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660"/>
      <c r="B686" s="660"/>
      <c r="C686" s="660"/>
      <c r="D686" s="660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660"/>
      <c r="B687" s="660"/>
      <c r="C687" s="660"/>
      <c r="D687" s="660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660"/>
      <c r="B688" s="660"/>
      <c r="C688" s="660"/>
      <c r="D688" s="660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660"/>
      <c r="B689" s="660"/>
      <c r="C689" s="660"/>
      <c r="D689" s="660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660"/>
      <c r="B690" s="660"/>
      <c r="C690" s="660"/>
      <c r="D690" s="660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660"/>
      <c r="B691" s="660"/>
      <c r="C691" s="660"/>
      <c r="D691" s="660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660"/>
      <c r="B692" s="660"/>
      <c r="C692" s="660"/>
      <c r="D692" s="660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660"/>
      <c r="B693" s="660"/>
      <c r="C693" s="660"/>
      <c r="D693" s="660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660"/>
      <c r="B694" s="660"/>
      <c r="C694" s="660"/>
      <c r="D694" s="660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660"/>
      <c r="B695" s="660"/>
      <c r="C695" s="660"/>
      <c r="D695" s="660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660"/>
      <c r="B696" s="660"/>
      <c r="C696" s="660"/>
      <c r="D696" s="660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660"/>
      <c r="B697" s="660"/>
      <c r="C697" s="660"/>
      <c r="D697" s="660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660"/>
      <c r="B698" s="660"/>
      <c r="C698" s="660"/>
      <c r="D698" s="660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660"/>
      <c r="B699" s="660"/>
      <c r="C699" s="660"/>
      <c r="D699" s="660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660"/>
      <c r="B700" s="660"/>
      <c r="C700" s="660"/>
      <c r="D700" s="660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660"/>
      <c r="B701" s="660"/>
      <c r="C701" s="660"/>
      <c r="D701" s="660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660"/>
      <c r="B702" s="660"/>
      <c r="C702" s="660"/>
      <c r="D702" s="660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660"/>
      <c r="B703" s="660"/>
      <c r="C703" s="660"/>
      <c r="D703" s="660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660"/>
      <c r="B704" s="660"/>
      <c r="C704" s="660"/>
      <c r="D704" s="660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660"/>
      <c r="B705" s="660"/>
      <c r="C705" s="660"/>
      <c r="D705" s="660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660"/>
      <c r="B706" s="660"/>
      <c r="C706" s="660"/>
      <c r="D706" s="660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660"/>
      <c r="B707" s="660"/>
      <c r="C707" s="660"/>
      <c r="D707" s="660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660"/>
      <c r="B708" s="660"/>
      <c r="C708" s="660"/>
      <c r="D708" s="660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660"/>
      <c r="B709" s="660"/>
      <c r="C709" s="660"/>
      <c r="D709" s="660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660"/>
      <c r="B710" s="660"/>
      <c r="C710" s="660"/>
      <c r="D710" s="660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660"/>
      <c r="B711" s="660"/>
      <c r="C711" s="660"/>
      <c r="D711" s="660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660"/>
      <c r="B712" s="660"/>
      <c r="C712" s="660"/>
      <c r="D712" s="660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660"/>
      <c r="B713" s="660"/>
      <c r="C713" s="660"/>
      <c r="D713" s="660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660"/>
      <c r="B714" s="660"/>
      <c r="C714" s="660"/>
      <c r="D714" s="660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660"/>
      <c r="B715" s="660"/>
      <c r="C715" s="660"/>
      <c r="D715" s="660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660"/>
      <c r="B716" s="660"/>
      <c r="C716" s="660"/>
      <c r="D716" s="660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660"/>
      <c r="B717" s="660"/>
      <c r="C717" s="660"/>
      <c r="D717" s="660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660"/>
      <c r="B718" s="660"/>
      <c r="C718" s="660"/>
      <c r="D718" s="660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660"/>
      <c r="B719" s="660"/>
      <c r="C719" s="660"/>
      <c r="D719" s="660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660"/>
      <c r="B720" s="660"/>
      <c r="C720" s="660"/>
      <c r="D720" s="660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660"/>
      <c r="B721" s="660"/>
      <c r="C721" s="660"/>
      <c r="D721" s="660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660"/>
      <c r="B722" s="660"/>
      <c r="C722" s="660"/>
      <c r="D722" s="660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660"/>
      <c r="B723" s="660"/>
      <c r="C723" s="660"/>
      <c r="D723" s="660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660"/>
      <c r="B724" s="660"/>
      <c r="C724" s="660"/>
      <c r="D724" s="660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660"/>
      <c r="B725" s="660"/>
      <c r="C725" s="660"/>
      <c r="D725" s="660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660"/>
      <c r="B726" s="660"/>
      <c r="C726" s="660"/>
      <c r="D726" s="660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660"/>
      <c r="B727" s="660"/>
      <c r="C727" s="660"/>
      <c r="D727" s="660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660"/>
      <c r="B728" s="660"/>
      <c r="C728" s="660"/>
      <c r="D728" s="660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660"/>
      <c r="B729" s="660"/>
      <c r="C729" s="660"/>
      <c r="D729" s="660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660"/>
      <c r="B730" s="660"/>
      <c r="C730" s="660"/>
      <c r="D730" s="660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660"/>
      <c r="B731" s="660"/>
      <c r="C731" s="660"/>
      <c r="D731" s="660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660"/>
      <c r="B732" s="660"/>
      <c r="C732" s="660"/>
      <c r="D732" s="660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660"/>
      <c r="B733" s="660"/>
      <c r="C733" s="660"/>
      <c r="D733" s="660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660"/>
      <c r="B734" s="660"/>
      <c r="C734" s="660"/>
      <c r="D734" s="660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660"/>
      <c r="B735" s="660"/>
      <c r="C735" s="660"/>
      <c r="D735" s="660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660"/>
      <c r="B736" s="660"/>
      <c r="C736" s="660"/>
      <c r="D736" s="660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660"/>
      <c r="B737" s="660"/>
      <c r="C737" s="660"/>
      <c r="D737" s="660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660"/>
      <c r="B738" s="660"/>
      <c r="C738" s="660"/>
      <c r="D738" s="660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660"/>
      <c r="B739" s="660"/>
      <c r="C739" s="660"/>
      <c r="D739" s="660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660"/>
      <c r="B740" s="660"/>
      <c r="C740" s="660"/>
      <c r="D740" s="660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660"/>
      <c r="B741" s="660"/>
      <c r="C741" s="660"/>
      <c r="D741" s="660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660"/>
      <c r="B742" s="660"/>
      <c r="C742" s="660"/>
      <c r="D742" s="660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660"/>
      <c r="B743" s="660"/>
      <c r="C743" s="660"/>
      <c r="D743" s="660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660"/>
      <c r="B744" s="660"/>
      <c r="C744" s="660"/>
      <c r="D744" s="660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660"/>
      <c r="B745" s="660"/>
      <c r="C745" s="660"/>
      <c r="D745" s="660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660"/>
      <c r="B746" s="660"/>
      <c r="C746" s="660"/>
      <c r="D746" s="660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660"/>
      <c r="B747" s="660"/>
      <c r="C747" s="660"/>
      <c r="D747" s="660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660"/>
      <c r="B748" s="660"/>
      <c r="C748" s="660"/>
      <c r="D748" s="660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660"/>
      <c r="B749" s="660"/>
      <c r="C749" s="660"/>
      <c r="D749" s="660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660"/>
      <c r="B750" s="660"/>
      <c r="C750" s="660"/>
      <c r="D750" s="660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660"/>
      <c r="B751" s="660"/>
      <c r="C751" s="660"/>
      <c r="D751" s="660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660"/>
      <c r="B752" s="660"/>
      <c r="C752" s="660"/>
      <c r="D752" s="660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660"/>
      <c r="B753" s="660"/>
      <c r="C753" s="660"/>
      <c r="D753" s="660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660"/>
      <c r="B754" s="660"/>
      <c r="C754" s="660"/>
      <c r="D754" s="660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660"/>
      <c r="B755" s="660"/>
      <c r="C755" s="660"/>
      <c r="D755" s="660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660"/>
      <c r="B756" s="660"/>
      <c r="C756" s="660"/>
      <c r="D756" s="660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660"/>
      <c r="B757" s="660"/>
      <c r="C757" s="660"/>
      <c r="D757" s="660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660"/>
      <c r="B758" s="660"/>
      <c r="C758" s="660"/>
      <c r="D758" s="660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660"/>
      <c r="B759" s="660"/>
      <c r="C759" s="660"/>
      <c r="D759" s="660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660"/>
      <c r="B760" s="660"/>
      <c r="C760" s="660"/>
      <c r="D760" s="660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660"/>
      <c r="B761" s="660"/>
      <c r="C761" s="660"/>
      <c r="D761" s="660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660"/>
      <c r="B762" s="660"/>
      <c r="C762" s="660"/>
      <c r="D762" s="660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660"/>
      <c r="B763" s="660"/>
      <c r="C763" s="660"/>
      <c r="D763" s="660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660"/>
      <c r="B764" s="660"/>
      <c r="C764" s="660"/>
      <c r="D764" s="660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660"/>
      <c r="B765" s="660"/>
      <c r="C765" s="660"/>
      <c r="D765" s="660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660"/>
      <c r="B766" s="660"/>
      <c r="C766" s="660"/>
      <c r="D766" s="660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660"/>
      <c r="B767" s="660"/>
      <c r="C767" s="660"/>
      <c r="D767" s="660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660"/>
      <c r="B768" s="660"/>
      <c r="C768" s="660"/>
      <c r="D768" s="660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660"/>
      <c r="B769" s="660"/>
      <c r="C769" s="660"/>
      <c r="D769" s="660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660"/>
      <c r="B770" s="660"/>
      <c r="C770" s="660"/>
      <c r="D770" s="660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660"/>
      <c r="B771" s="660"/>
      <c r="C771" s="660"/>
      <c r="D771" s="660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660"/>
      <c r="B772" s="660"/>
      <c r="C772" s="660"/>
      <c r="D772" s="660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660"/>
      <c r="B773" s="660"/>
      <c r="C773" s="660"/>
      <c r="D773" s="660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660"/>
      <c r="B774" s="660"/>
      <c r="C774" s="660"/>
      <c r="D774" s="660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660"/>
      <c r="B775" s="660"/>
      <c r="C775" s="660"/>
      <c r="D775" s="660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660"/>
      <c r="B776" s="660"/>
      <c r="C776" s="660"/>
      <c r="D776" s="660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660"/>
      <c r="B777" s="660"/>
      <c r="C777" s="660"/>
      <c r="D777" s="660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660"/>
      <c r="B778" s="660"/>
      <c r="C778" s="660"/>
      <c r="D778" s="660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660"/>
      <c r="B779" s="660"/>
      <c r="C779" s="660"/>
      <c r="D779" s="660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660"/>
      <c r="B780" s="660"/>
      <c r="C780" s="660"/>
      <c r="D780" s="660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660"/>
      <c r="B781" s="660"/>
      <c r="C781" s="660"/>
      <c r="D781" s="660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660"/>
      <c r="B782" s="660"/>
      <c r="C782" s="660"/>
      <c r="D782" s="660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660"/>
      <c r="B783" s="660"/>
      <c r="C783" s="660"/>
      <c r="D783" s="660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660"/>
      <c r="B784" s="660"/>
      <c r="C784" s="660"/>
      <c r="D784" s="660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660"/>
      <c r="B785" s="660"/>
      <c r="C785" s="660"/>
      <c r="D785" s="660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660"/>
      <c r="B786" s="660"/>
      <c r="C786" s="660"/>
      <c r="D786" s="660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660"/>
      <c r="B787" s="660"/>
      <c r="C787" s="660"/>
      <c r="D787" s="660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660"/>
      <c r="B788" s="660"/>
      <c r="C788" s="660"/>
      <c r="D788" s="660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660"/>
      <c r="B789" s="660"/>
      <c r="C789" s="660"/>
      <c r="D789" s="660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660"/>
      <c r="B790" s="660"/>
      <c r="C790" s="660"/>
      <c r="D790" s="660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660"/>
      <c r="B791" s="660"/>
      <c r="C791" s="660"/>
      <c r="D791" s="660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660"/>
      <c r="B792" s="660"/>
      <c r="C792" s="660"/>
      <c r="D792" s="660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660"/>
      <c r="B793" s="660"/>
      <c r="C793" s="660"/>
      <c r="D793" s="660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660"/>
      <c r="B794" s="660"/>
      <c r="C794" s="660"/>
      <c r="D794" s="660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660"/>
      <c r="B795" s="660"/>
      <c r="C795" s="660"/>
      <c r="D795" s="660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660"/>
      <c r="B796" s="660"/>
      <c r="C796" s="660"/>
      <c r="D796" s="660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660"/>
      <c r="B797" s="660"/>
      <c r="C797" s="660"/>
      <c r="D797" s="660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660"/>
      <c r="B798" s="660"/>
      <c r="C798" s="660"/>
      <c r="D798" s="660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660"/>
      <c r="B799" s="660"/>
      <c r="C799" s="660"/>
      <c r="D799" s="660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660"/>
      <c r="B800" s="660"/>
      <c r="C800" s="660"/>
      <c r="D800" s="660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660"/>
      <c r="B801" s="660"/>
      <c r="C801" s="660"/>
      <c r="D801" s="660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660"/>
      <c r="B802" s="660"/>
      <c r="C802" s="660"/>
      <c r="D802" s="660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660"/>
      <c r="B803" s="660"/>
      <c r="C803" s="660"/>
      <c r="D803" s="660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660"/>
      <c r="B804" s="660"/>
      <c r="C804" s="660"/>
      <c r="D804" s="660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660"/>
      <c r="B805" s="660"/>
      <c r="C805" s="660"/>
      <c r="D805" s="660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660"/>
      <c r="B806" s="660"/>
      <c r="C806" s="660"/>
      <c r="D806" s="660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660"/>
      <c r="B807" s="660"/>
      <c r="C807" s="660"/>
      <c r="D807" s="660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660"/>
      <c r="B808" s="660"/>
      <c r="C808" s="660"/>
      <c r="D808" s="660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660"/>
      <c r="B809" s="660"/>
      <c r="C809" s="660"/>
      <c r="D809" s="660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660"/>
      <c r="B810" s="660"/>
      <c r="C810" s="660"/>
      <c r="D810" s="660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660"/>
      <c r="B811" s="660"/>
      <c r="C811" s="660"/>
      <c r="D811" s="660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660"/>
      <c r="B812" s="660"/>
      <c r="C812" s="660"/>
      <c r="D812" s="660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660"/>
      <c r="B813" s="660"/>
      <c r="C813" s="660"/>
      <c r="D813" s="660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660"/>
      <c r="B814" s="660"/>
      <c r="C814" s="660"/>
      <c r="D814" s="660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660"/>
      <c r="B815" s="660"/>
      <c r="C815" s="660"/>
      <c r="D815" s="660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660"/>
      <c r="B816" s="660"/>
      <c r="C816" s="660"/>
      <c r="D816" s="660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660"/>
      <c r="B817" s="660"/>
      <c r="C817" s="660"/>
      <c r="D817" s="660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660"/>
      <c r="B818" s="660"/>
      <c r="C818" s="660"/>
      <c r="D818" s="660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660"/>
      <c r="B819" s="660"/>
      <c r="C819" s="660"/>
      <c r="D819" s="660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660"/>
      <c r="B820" s="660"/>
      <c r="C820" s="660"/>
      <c r="D820" s="660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660"/>
      <c r="B821" s="660"/>
      <c r="C821" s="660"/>
      <c r="D821" s="660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660"/>
      <c r="B822" s="660"/>
      <c r="C822" s="660"/>
      <c r="D822" s="660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660"/>
      <c r="B823" s="660"/>
      <c r="C823" s="660"/>
      <c r="D823" s="660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660"/>
      <c r="B824" s="660"/>
      <c r="C824" s="660"/>
      <c r="D824" s="660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660"/>
      <c r="B825" s="660"/>
      <c r="C825" s="660"/>
      <c r="D825" s="660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660"/>
      <c r="B826" s="660"/>
      <c r="C826" s="660"/>
      <c r="D826" s="660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660"/>
      <c r="B827" s="660"/>
      <c r="C827" s="660"/>
      <c r="D827" s="660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660"/>
      <c r="B828" s="660"/>
      <c r="C828" s="660"/>
      <c r="D828" s="660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660"/>
      <c r="B829" s="660"/>
      <c r="C829" s="660"/>
      <c r="D829" s="660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660"/>
      <c r="B830" s="660"/>
      <c r="C830" s="660"/>
      <c r="D830" s="660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660"/>
      <c r="B831" s="660"/>
      <c r="C831" s="660"/>
      <c r="D831" s="660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660"/>
      <c r="B832" s="660"/>
      <c r="C832" s="660"/>
      <c r="D832" s="660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660"/>
      <c r="B833" s="660"/>
      <c r="C833" s="660"/>
      <c r="D833" s="660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660"/>
      <c r="B834" s="660"/>
      <c r="C834" s="660"/>
      <c r="D834" s="660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660"/>
      <c r="B835" s="660"/>
      <c r="C835" s="660"/>
      <c r="D835" s="660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660"/>
      <c r="B836" s="660"/>
      <c r="C836" s="660"/>
      <c r="D836" s="660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660"/>
      <c r="B837" s="660"/>
      <c r="C837" s="660"/>
      <c r="D837" s="660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660"/>
      <c r="B838" s="660"/>
      <c r="C838" s="660"/>
      <c r="D838" s="660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660"/>
      <c r="B839" s="660"/>
      <c r="C839" s="660"/>
      <c r="D839" s="660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660"/>
      <c r="B840" s="660"/>
      <c r="C840" s="660"/>
      <c r="D840" s="660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660"/>
      <c r="B841" s="660"/>
      <c r="C841" s="660"/>
      <c r="D841" s="660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660"/>
      <c r="B842" s="660"/>
      <c r="C842" s="660"/>
      <c r="D842" s="660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660"/>
      <c r="B843" s="660"/>
      <c r="C843" s="660"/>
      <c r="D843" s="660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660"/>
      <c r="B844" s="660"/>
      <c r="C844" s="660"/>
      <c r="D844" s="660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660"/>
      <c r="B845" s="660"/>
      <c r="C845" s="660"/>
      <c r="D845" s="660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660"/>
      <c r="B846" s="660"/>
      <c r="C846" s="660"/>
      <c r="D846" s="660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660"/>
      <c r="B847" s="660"/>
      <c r="C847" s="660"/>
      <c r="D847" s="660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660"/>
      <c r="B848" s="660"/>
      <c r="C848" s="660"/>
      <c r="D848" s="660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660"/>
      <c r="B849" s="660"/>
      <c r="C849" s="660"/>
      <c r="D849" s="660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660"/>
      <c r="B850" s="660"/>
      <c r="C850" s="660"/>
      <c r="D850" s="660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660"/>
      <c r="B851" s="660"/>
      <c r="C851" s="660"/>
      <c r="D851" s="660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660"/>
      <c r="B852" s="660"/>
      <c r="C852" s="660"/>
      <c r="D852" s="660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660"/>
      <c r="B853" s="660"/>
      <c r="C853" s="660"/>
      <c r="D853" s="660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660"/>
      <c r="B854" s="660"/>
      <c r="C854" s="660"/>
      <c r="D854" s="660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660"/>
      <c r="B855" s="660"/>
      <c r="C855" s="660"/>
      <c r="D855" s="660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660"/>
      <c r="B856" s="660"/>
      <c r="C856" s="660"/>
      <c r="D856" s="660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660"/>
      <c r="B857" s="660"/>
      <c r="C857" s="660"/>
      <c r="D857" s="660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660"/>
      <c r="B858" s="660"/>
      <c r="C858" s="660"/>
      <c r="D858" s="660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660"/>
      <c r="B859" s="660"/>
      <c r="C859" s="660"/>
      <c r="D859" s="660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660"/>
      <c r="B860" s="660"/>
      <c r="C860" s="660"/>
      <c r="D860" s="660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660"/>
      <c r="B861" s="660"/>
      <c r="C861" s="660"/>
      <c r="D861" s="660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660"/>
      <c r="B862" s="660"/>
      <c r="C862" s="660"/>
      <c r="D862" s="660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660"/>
      <c r="B863" s="660"/>
      <c r="C863" s="660"/>
      <c r="D863" s="660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660"/>
      <c r="B864" s="660"/>
      <c r="C864" s="660"/>
      <c r="D864" s="660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660"/>
      <c r="B865" s="660"/>
      <c r="C865" s="660"/>
      <c r="D865" s="660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660"/>
      <c r="B866" s="660"/>
      <c r="C866" s="660"/>
      <c r="D866" s="660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660"/>
      <c r="B867" s="660"/>
      <c r="C867" s="660"/>
      <c r="D867" s="660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660"/>
      <c r="B868" s="660"/>
      <c r="C868" s="660"/>
      <c r="D868" s="660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660"/>
      <c r="B869" s="660"/>
      <c r="C869" s="660"/>
      <c r="D869" s="660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660"/>
      <c r="B870" s="660"/>
      <c r="C870" s="660"/>
      <c r="D870" s="660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660"/>
      <c r="B871" s="660"/>
      <c r="C871" s="660"/>
      <c r="D871" s="660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660"/>
      <c r="B872" s="660"/>
      <c r="C872" s="660"/>
      <c r="D872" s="660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660"/>
      <c r="B873" s="660"/>
      <c r="C873" s="660"/>
      <c r="D873" s="660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660"/>
      <c r="B874" s="660"/>
      <c r="C874" s="660"/>
      <c r="D874" s="660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660"/>
      <c r="B875" s="660"/>
      <c r="C875" s="660"/>
      <c r="D875" s="660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660"/>
      <c r="B876" s="660"/>
      <c r="C876" s="660"/>
      <c r="D876" s="660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660"/>
      <c r="B877" s="660"/>
      <c r="C877" s="660"/>
      <c r="D877" s="660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660"/>
      <c r="B878" s="660"/>
      <c r="C878" s="660"/>
      <c r="D878" s="660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660"/>
      <c r="B879" s="660"/>
      <c r="C879" s="660"/>
      <c r="D879" s="660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660"/>
      <c r="B880" s="660"/>
      <c r="C880" s="660"/>
      <c r="D880" s="660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660"/>
      <c r="B881" s="660"/>
      <c r="C881" s="660"/>
      <c r="D881" s="660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660"/>
      <c r="B882" s="660"/>
      <c r="C882" s="660"/>
      <c r="D882" s="660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660"/>
      <c r="B883" s="660"/>
      <c r="C883" s="660"/>
      <c r="D883" s="660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660"/>
      <c r="B884" s="660"/>
      <c r="C884" s="660"/>
      <c r="D884" s="660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660"/>
      <c r="B885" s="660"/>
      <c r="C885" s="660"/>
      <c r="D885" s="660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660"/>
      <c r="B886" s="660"/>
      <c r="C886" s="660"/>
      <c r="D886" s="660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660"/>
      <c r="B887" s="660"/>
      <c r="C887" s="660"/>
      <c r="D887" s="660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660"/>
      <c r="B888" s="660"/>
      <c r="C888" s="660"/>
      <c r="D888" s="660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660"/>
      <c r="B889" s="660"/>
      <c r="C889" s="660"/>
      <c r="D889" s="660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660"/>
      <c r="B890" s="660"/>
      <c r="C890" s="660"/>
      <c r="D890" s="660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660"/>
      <c r="B891" s="660"/>
      <c r="C891" s="660"/>
      <c r="D891" s="660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660"/>
      <c r="B892" s="660"/>
      <c r="C892" s="660"/>
      <c r="D892" s="660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660"/>
      <c r="B893" s="660"/>
      <c r="C893" s="660"/>
      <c r="D893" s="660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660"/>
      <c r="B894" s="660"/>
      <c r="C894" s="660"/>
      <c r="D894" s="660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660"/>
      <c r="B895" s="660"/>
      <c r="C895" s="660"/>
      <c r="D895" s="660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660"/>
      <c r="B896" s="660"/>
      <c r="C896" s="660"/>
      <c r="D896" s="660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660"/>
      <c r="B897" s="660"/>
      <c r="C897" s="660"/>
      <c r="D897" s="660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660"/>
      <c r="B898" s="660"/>
      <c r="C898" s="660"/>
      <c r="D898" s="660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660"/>
      <c r="B899" s="660"/>
      <c r="C899" s="660"/>
      <c r="D899" s="660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660"/>
      <c r="B900" s="660"/>
      <c r="C900" s="660"/>
      <c r="D900" s="660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660"/>
      <c r="B901" s="660"/>
      <c r="C901" s="660"/>
      <c r="D901" s="660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660"/>
      <c r="B902" s="660"/>
      <c r="C902" s="660"/>
      <c r="D902" s="660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660"/>
      <c r="B903" s="660"/>
      <c r="C903" s="660"/>
      <c r="D903" s="660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660"/>
      <c r="B904" s="660"/>
      <c r="C904" s="660"/>
      <c r="D904" s="660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660"/>
      <c r="B905" s="660"/>
      <c r="C905" s="660"/>
      <c r="D905" s="660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660"/>
      <c r="B906" s="660"/>
      <c r="C906" s="660"/>
      <c r="D906" s="660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660"/>
      <c r="B907" s="660"/>
      <c r="C907" s="660"/>
      <c r="D907" s="660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660"/>
      <c r="B908" s="660"/>
      <c r="C908" s="660"/>
      <c r="D908" s="660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660"/>
      <c r="B909" s="660"/>
      <c r="C909" s="660"/>
      <c r="D909" s="660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660"/>
      <c r="B910" s="660"/>
      <c r="C910" s="660"/>
      <c r="D910" s="660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660"/>
      <c r="B911" s="660"/>
      <c r="C911" s="660"/>
      <c r="D911" s="660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660"/>
      <c r="B912" s="660"/>
      <c r="C912" s="660"/>
      <c r="D912" s="660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660"/>
      <c r="B913" s="660"/>
      <c r="C913" s="660"/>
      <c r="D913" s="660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660"/>
      <c r="B914" s="660"/>
      <c r="C914" s="660"/>
      <c r="D914" s="660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660"/>
      <c r="B915" s="660"/>
      <c r="C915" s="660"/>
      <c r="D915" s="660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660"/>
      <c r="B916" s="660"/>
      <c r="C916" s="660"/>
      <c r="D916" s="660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660"/>
      <c r="B917" s="660"/>
      <c r="C917" s="660"/>
      <c r="D917" s="660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660"/>
      <c r="B918" s="660"/>
      <c r="C918" s="660"/>
      <c r="D918" s="660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660"/>
      <c r="B919" s="660"/>
      <c r="C919" s="660"/>
      <c r="D919" s="660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660"/>
      <c r="B920" s="660"/>
      <c r="C920" s="660"/>
      <c r="D920" s="660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660"/>
      <c r="B921" s="660"/>
      <c r="C921" s="660"/>
      <c r="D921" s="660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660"/>
      <c r="B922" s="660"/>
      <c r="C922" s="660"/>
      <c r="D922" s="660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660"/>
      <c r="B923" s="660"/>
      <c r="C923" s="660"/>
      <c r="D923" s="660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660"/>
      <c r="B924" s="660"/>
      <c r="C924" s="660"/>
      <c r="D924" s="660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660"/>
      <c r="B925" s="660"/>
      <c r="C925" s="660"/>
      <c r="D925" s="660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660"/>
      <c r="B926" s="660"/>
      <c r="C926" s="660"/>
      <c r="D926" s="660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660"/>
      <c r="B927" s="660"/>
      <c r="C927" s="660"/>
      <c r="D927" s="660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660"/>
      <c r="B928" s="660"/>
      <c r="C928" s="660"/>
      <c r="D928" s="660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660"/>
      <c r="B929" s="660"/>
      <c r="C929" s="660"/>
      <c r="D929" s="660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660"/>
      <c r="B930" s="660"/>
      <c r="C930" s="660"/>
      <c r="D930" s="660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660"/>
      <c r="B931" s="660"/>
      <c r="C931" s="660"/>
      <c r="D931" s="660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660"/>
      <c r="B932" s="660"/>
      <c r="C932" s="660"/>
      <c r="D932" s="660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660"/>
      <c r="B933" s="660"/>
      <c r="C933" s="660"/>
      <c r="D933" s="660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660"/>
      <c r="B934" s="660"/>
      <c r="C934" s="660"/>
      <c r="D934" s="660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660"/>
      <c r="B935" s="660"/>
      <c r="C935" s="660"/>
      <c r="D935" s="660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660"/>
      <c r="B936" s="660"/>
      <c r="C936" s="660"/>
      <c r="D936" s="660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660"/>
      <c r="B937" s="660"/>
      <c r="C937" s="660"/>
      <c r="D937" s="660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660"/>
      <c r="B938" s="660"/>
      <c r="C938" s="660"/>
      <c r="D938" s="660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660"/>
      <c r="B939" s="660"/>
      <c r="C939" s="660"/>
      <c r="D939" s="660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660"/>
      <c r="B940" s="660"/>
      <c r="C940" s="660"/>
      <c r="D940" s="660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660"/>
      <c r="B941" s="660"/>
      <c r="C941" s="660"/>
      <c r="D941" s="660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660"/>
      <c r="B942" s="660"/>
      <c r="C942" s="660"/>
      <c r="D942" s="660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660"/>
      <c r="B943" s="660"/>
      <c r="C943" s="660"/>
      <c r="D943" s="660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660"/>
      <c r="B944" s="660"/>
      <c r="C944" s="660"/>
      <c r="D944" s="660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660"/>
      <c r="B945" s="660"/>
      <c r="C945" s="660"/>
      <c r="D945" s="660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660"/>
      <c r="B946" s="660"/>
      <c r="C946" s="660"/>
      <c r="D946" s="660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660"/>
      <c r="B947" s="660"/>
      <c r="C947" s="660"/>
      <c r="D947" s="660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660"/>
      <c r="B948" s="660"/>
      <c r="C948" s="660"/>
      <c r="D948" s="660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660"/>
      <c r="B949" s="660"/>
      <c r="C949" s="660"/>
      <c r="D949" s="660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660"/>
      <c r="B950" s="660"/>
      <c r="C950" s="660"/>
      <c r="D950" s="660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660"/>
      <c r="B951" s="660"/>
      <c r="C951" s="660"/>
      <c r="D951" s="660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660"/>
      <c r="B952" s="660"/>
      <c r="C952" s="660"/>
      <c r="D952" s="660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660"/>
      <c r="B953" s="660"/>
      <c r="C953" s="660"/>
      <c r="D953" s="660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660"/>
      <c r="B954" s="660"/>
      <c r="C954" s="660"/>
      <c r="D954" s="660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660"/>
      <c r="B955" s="660"/>
      <c r="C955" s="660"/>
      <c r="D955" s="660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660"/>
      <c r="B956" s="660"/>
      <c r="C956" s="660"/>
      <c r="D956" s="660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660"/>
      <c r="B957" s="660"/>
      <c r="C957" s="660"/>
      <c r="D957" s="660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660"/>
      <c r="B958" s="660"/>
      <c r="C958" s="660"/>
      <c r="D958" s="660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660"/>
      <c r="B959" s="660"/>
      <c r="C959" s="660"/>
      <c r="D959" s="660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660"/>
      <c r="B960" s="660"/>
      <c r="C960" s="660"/>
      <c r="D960" s="660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660"/>
      <c r="B961" s="660"/>
      <c r="C961" s="660"/>
      <c r="D961" s="660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660"/>
      <c r="B962" s="660"/>
      <c r="C962" s="660"/>
      <c r="D962" s="660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660"/>
      <c r="B963" s="660"/>
      <c r="C963" s="660"/>
      <c r="D963" s="660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660"/>
      <c r="B964" s="660"/>
      <c r="C964" s="660"/>
      <c r="D964" s="660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660"/>
      <c r="B965" s="660"/>
      <c r="C965" s="660"/>
      <c r="D965" s="660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660"/>
      <c r="B966" s="660"/>
      <c r="C966" s="660"/>
      <c r="D966" s="660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660"/>
      <c r="B967" s="660"/>
      <c r="C967" s="660"/>
      <c r="D967" s="660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660"/>
      <c r="B968" s="660"/>
      <c r="C968" s="660"/>
      <c r="D968" s="660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660"/>
      <c r="B969" s="660"/>
      <c r="C969" s="660"/>
      <c r="D969" s="660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660"/>
      <c r="B970" s="660"/>
      <c r="C970" s="660"/>
      <c r="D970" s="660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660"/>
      <c r="B971" s="660"/>
      <c r="C971" s="660"/>
      <c r="D971" s="660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660"/>
      <c r="B972" s="660"/>
      <c r="C972" s="660"/>
      <c r="D972" s="660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660"/>
      <c r="B973" s="660"/>
      <c r="C973" s="660"/>
      <c r="D973" s="660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660"/>
      <c r="B974" s="660"/>
      <c r="C974" s="660"/>
      <c r="D974" s="660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660"/>
      <c r="B975" s="660"/>
      <c r="C975" s="660"/>
      <c r="D975" s="660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660"/>
      <c r="B976" s="660"/>
      <c r="C976" s="660"/>
      <c r="D976" s="660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660"/>
      <c r="B977" s="660"/>
      <c r="C977" s="660"/>
      <c r="D977" s="660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660"/>
      <c r="B978" s="660"/>
      <c r="C978" s="660"/>
      <c r="D978" s="660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660"/>
      <c r="B979" s="660"/>
      <c r="C979" s="660"/>
      <c r="D979" s="660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660"/>
      <c r="B980" s="660"/>
      <c r="C980" s="660"/>
      <c r="D980" s="660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660"/>
      <c r="B981" s="660"/>
      <c r="C981" s="660"/>
      <c r="D981" s="660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660"/>
      <c r="B982" s="660"/>
      <c r="C982" s="660"/>
      <c r="D982" s="660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660"/>
      <c r="B983" s="660"/>
      <c r="C983" s="660"/>
      <c r="D983" s="660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660"/>
      <c r="B984" s="660"/>
      <c r="C984" s="660"/>
      <c r="D984" s="660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660"/>
      <c r="B985" s="660"/>
      <c r="C985" s="660"/>
      <c r="D985" s="660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660"/>
      <c r="B986" s="660"/>
      <c r="C986" s="660"/>
      <c r="D986" s="660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660"/>
      <c r="B987" s="660"/>
      <c r="C987" s="660"/>
      <c r="D987" s="660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660"/>
      <c r="B988" s="660"/>
      <c r="C988" s="660"/>
      <c r="D988" s="660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660"/>
      <c r="B989" s="660"/>
      <c r="C989" s="660"/>
      <c r="D989" s="660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660"/>
      <c r="B990" s="660"/>
      <c r="C990" s="660"/>
      <c r="D990" s="660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660"/>
      <c r="B991" s="660"/>
      <c r="C991" s="660"/>
      <c r="D991" s="660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660"/>
      <c r="B992" s="660"/>
      <c r="C992" s="660"/>
      <c r="D992" s="660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660"/>
      <c r="B993" s="660"/>
      <c r="C993" s="660"/>
      <c r="D993" s="660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660"/>
      <c r="B994" s="660"/>
      <c r="C994" s="660"/>
      <c r="D994" s="660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660"/>
      <c r="B995" s="660"/>
      <c r="C995" s="660"/>
      <c r="D995" s="660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660"/>
      <c r="B996" s="660"/>
      <c r="C996" s="660"/>
      <c r="D996" s="660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660"/>
      <c r="B997" s="660"/>
      <c r="C997" s="660"/>
      <c r="D997" s="660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660"/>
      <c r="B998" s="660"/>
      <c r="C998" s="660"/>
      <c r="D998" s="660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660"/>
      <c r="B999" s="660"/>
      <c r="C999" s="660"/>
      <c r="D999" s="660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660"/>
      <c r="B1000" s="660"/>
      <c r="C1000" s="660"/>
      <c r="D1000" s="660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>
      <c r="A1001" s="660"/>
      <c r="B1001" s="660"/>
      <c r="C1001" s="660"/>
      <c r="D1001" s="660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02">
      <c r="A1002" s="660"/>
      <c r="B1002" s="660"/>
      <c r="C1002" s="660"/>
      <c r="D1002" s="660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  <row r="1003">
      <c r="A1003" s="660"/>
      <c r="B1003" s="660"/>
      <c r="C1003" s="660"/>
      <c r="D1003" s="660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</row>
    <row r="1004">
      <c r="A1004" s="660"/>
      <c r="B1004" s="660"/>
      <c r="C1004" s="660"/>
      <c r="D1004" s="660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</row>
    <row r="1005">
      <c r="A1005" s="660"/>
      <c r="B1005" s="660"/>
      <c r="C1005" s="660"/>
      <c r="D1005" s="660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</row>
    <row r="1006">
      <c r="A1006" s="660"/>
      <c r="B1006" s="660"/>
      <c r="C1006" s="660"/>
      <c r="D1006" s="660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</row>
    <row r="1007">
      <c r="A1007" s="660"/>
      <c r="B1007" s="660"/>
      <c r="C1007" s="660"/>
      <c r="D1007" s="660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</row>
    <row r="1008">
      <c r="A1008" s="660"/>
      <c r="B1008" s="660"/>
      <c r="C1008" s="660"/>
      <c r="D1008" s="660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</row>
    <row r="1009">
      <c r="A1009" s="660"/>
      <c r="B1009" s="660"/>
      <c r="C1009" s="660"/>
      <c r="D1009" s="660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</row>
    <row r="1010">
      <c r="A1010" s="660"/>
      <c r="B1010" s="660"/>
      <c r="C1010" s="660"/>
      <c r="D1010" s="660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</row>
    <row r="1011">
      <c r="A1011" s="660"/>
      <c r="B1011" s="660"/>
      <c r="C1011" s="660"/>
      <c r="D1011" s="660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</row>
    <row r="1012">
      <c r="A1012" s="660"/>
      <c r="B1012" s="660"/>
      <c r="C1012" s="660"/>
      <c r="D1012" s="660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</row>
    <row r="1013">
      <c r="A1013" s="660"/>
      <c r="B1013" s="660"/>
      <c r="C1013" s="660"/>
      <c r="D1013" s="660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</row>
    <row r="1014">
      <c r="A1014" s="660"/>
      <c r="B1014" s="660"/>
      <c r="C1014" s="660"/>
      <c r="D1014" s="660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</row>
    <row r="1015">
      <c r="A1015" s="660"/>
      <c r="B1015" s="660"/>
      <c r="C1015" s="660"/>
      <c r="D1015" s="660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</row>
    <row r="1016">
      <c r="A1016" s="660"/>
      <c r="B1016" s="660"/>
      <c r="C1016" s="660"/>
      <c r="D1016" s="660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</row>
    <row r="1017">
      <c r="A1017" s="660"/>
      <c r="B1017" s="660"/>
      <c r="C1017" s="660"/>
      <c r="D1017" s="660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</row>
    <row r="1018">
      <c r="A1018" s="660"/>
      <c r="B1018" s="660"/>
      <c r="C1018" s="660"/>
      <c r="D1018" s="660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</row>
    <row r="1019">
      <c r="A1019" s="660"/>
      <c r="B1019" s="660"/>
      <c r="C1019" s="660"/>
      <c r="D1019" s="660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</row>
    <row r="1020">
      <c r="A1020" s="660"/>
      <c r="B1020" s="660"/>
      <c r="C1020" s="660"/>
      <c r="D1020" s="660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</row>
    <row r="1021">
      <c r="A1021" s="660"/>
      <c r="B1021" s="660"/>
      <c r="C1021" s="660"/>
      <c r="D1021" s="660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</row>
    <row r="1022">
      <c r="A1022" s="660"/>
      <c r="B1022" s="660"/>
      <c r="C1022" s="660"/>
      <c r="D1022" s="660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</row>
    <row r="1023">
      <c r="A1023" s="660"/>
      <c r="B1023" s="660"/>
      <c r="C1023" s="660"/>
      <c r="D1023" s="660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</row>
    <row r="1024">
      <c r="A1024" s="660"/>
      <c r="B1024" s="660"/>
      <c r="C1024" s="660"/>
      <c r="D1024" s="660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</row>
    <row r="1025">
      <c r="A1025" s="660"/>
      <c r="B1025" s="660"/>
      <c r="C1025" s="660"/>
      <c r="D1025" s="660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</row>
    <row r="1026">
      <c r="A1026" s="660"/>
      <c r="B1026" s="660"/>
      <c r="C1026" s="660"/>
      <c r="D1026" s="660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</row>
    <row r="1027">
      <c r="A1027" s="660"/>
      <c r="B1027" s="660"/>
      <c r="C1027" s="660"/>
      <c r="D1027" s="660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</row>
    <row r="1028">
      <c r="A1028" s="660"/>
      <c r="B1028" s="660"/>
      <c r="C1028" s="660"/>
      <c r="D1028" s="660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</row>
    <row r="1029">
      <c r="A1029" s="660"/>
      <c r="B1029" s="660"/>
      <c r="C1029" s="660"/>
      <c r="D1029" s="660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</row>
    <row r="1030">
      <c r="A1030" s="660"/>
      <c r="B1030" s="660"/>
      <c r="C1030" s="660"/>
      <c r="D1030" s="660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</row>
    <row r="1031">
      <c r="A1031" s="660"/>
      <c r="B1031" s="660"/>
      <c r="C1031" s="660"/>
      <c r="D1031" s="660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</row>
    <row r="1032">
      <c r="A1032" s="660"/>
      <c r="B1032" s="660"/>
      <c r="C1032" s="660"/>
      <c r="D1032" s="660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</row>
    <row r="1033">
      <c r="A1033" s="660"/>
      <c r="B1033" s="660"/>
      <c r="C1033" s="660"/>
      <c r="D1033" s="660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</row>
    <row r="1034">
      <c r="A1034" s="660"/>
      <c r="B1034" s="660"/>
      <c r="C1034" s="660"/>
      <c r="D1034" s="660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</row>
    <row r="1035">
      <c r="A1035" s="660"/>
      <c r="B1035" s="660"/>
      <c r="C1035" s="660"/>
      <c r="D1035" s="660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</row>
    <row r="1036">
      <c r="A1036" s="660"/>
      <c r="B1036" s="660"/>
      <c r="C1036" s="660"/>
      <c r="D1036" s="660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</row>
    <row r="1037">
      <c r="A1037" s="660"/>
      <c r="B1037" s="660"/>
      <c r="C1037" s="660"/>
      <c r="D1037" s="660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</row>
    <row r="1038">
      <c r="A1038" s="660"/>
      <c r="B1038" s="660"/>
      <c r="C1038" s="660"/>
      <c r="D1038" s="660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</row>
    <row r="1039">
      <c r="A1039" s="660"/>
      <c r="B1039" s="660"/>
      <c r="C1039" s="660"/>
      <c r="D1039" s="660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</row>
    <row r="1040">
      <c r="A1040" s="660"/>
      <c r="B1040" s="660"/>
      <c r="C1040" s="660"/>
      <c r="D1040" s="660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</row>
    <row r="1041">
      <c r="A1041" s="660"/>
      <c r="B1041" s="660"/>
      <c r="C1041" s="660"/>
      <c r="D1041" s="660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</row>
    <row r="1042">
      <c r="A1042" s="660"/>
      <c r="B1042" s="660"/>
      <c r="C1042" s="660"/>
      <c r="D1042" s="660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</row>
    <row r="1043">
      <c r="A1043" s="660"/>
      <c r="B1043" s="660"/>
      <c r="C1043" s="660"/>
      <c r="D1043" s="660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</row>
    <row r="1044">
      <c r="A1044" s="660"/>
      <c r="B1044" s="660"/>
      <c r="C1044" s="660"/>
      <c r="D1044" s="660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</row>
    <row r="1045">
      <c r="A1045" s="660"/>
      <c r="B1045" s="660"/>
      <c r="C1045" s="660"/>
      <c r="D1045" s="660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</row>
    <row r="1046">
      <c r="A1046" s="660"/>
      <c r="B1046" s="660"/>
      <c r="C1046" s="660"/>
      <c r="D1046" s="660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</row>
    <row r="1047">
      <c r="A1047" s="660"/>
      <c r="B1047" s="660"/>
      <c r="C1047" s="660"/>
      <c r="D1047" s="660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</row>
    <row r="1048">
      <c r="A1048" s="660"/>
      <c r="B1048" s="660"/>
      <c r="C1048" s="660"/>
      <c r="D1048" s="660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</row>
    <row r="1049">
      <c r="A1049" s="660"/>
      <c r="B1049" s="660"/>
      <c r="C1049" s="660"/>
      <c r="D1049" s="660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</row>
    <row r="1050">
      <c r="A1050" s="660"/>
      <c r="B1050" s="660"/>
      <c r="C1050" s="660"/>
      <c r="D1050" s="660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</row>
    <row r="1051">
      <c r="A1051" s="660"/>
      <c r="B1051" s="660"/>
      <c r="C1051" s="660"/>
      <c r="D1051" s="660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</row>
    <row r="1052">
      <c r="A1052" s="660"/>
      <c r="B1052" s="660"/>
      <c r="C1052" s="660"/>
      <c r="D1052" s="660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</row>
    <row r="1053">
      <c r="A1053" s="660"/>
      <c r="B1053" s="660"/>
      <c r="C1053" s="660"/>
      <c r="D1053" s="660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</row>
    <row r="1054">
      <c r="A1054" s="660"/>
      <c r="B1054" s="660"/>
      <c r="C1054" s="660"/>
      <c r="D1054" s="660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</row>
    <row r="1055">
      <c r="A1055" s="660"/>
      <c r="B1055" s="660"/>
      <c r="C1055" s="660"/>
      <c r="D1055" s="660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</row>
    <row r="1056">
      <c r="A1056" s="660"/>
      <c r="B1056" s="660"/>
      <c r="C1056" s="660"/>
      <c r="D1056" s="660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</row>
    <row r="1057">
      <c r="A1057" s="660"/>
      <c r="B1057" s="660"/>
      <c r="C1057" s="660"/>
      <c r="D1057" s="660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</row>
    <row r="1058">
      <c r="A1058" s="660"/>
      <c r="B1058" s="660"/>
      <c r="C1058" s="660"/>
      <c r="D1058" s="660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</row>
    <row r="1059">
      <c r="A1059" s="660"/>
      <c r="B1059" s="660"/>
      <c r="C1059" s="660"/>
      <c r="D1059" s="660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</row>
    <row r="1060">
      <c r="A1060" s="660"/>
      <c r="B1060" s="660"/>
      <c r="C1060" s="660"/>
      <c r="D1060" s="660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</row>
    <row r="1061">
      <c r="A1061" s="660"/>
      <c r="B1061" s="660"/>
      <c r="C1061" s="660"/>
      <c r="D1061" s="660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</row>
    <row r="1062">
      <c r="A1062" s="660"/>
      <c r="B1062" s="660"/>
      <c r="C1062" s="660"/>
      <c r="D1062" s="660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</row>
    <row r="1063">
      <c r="A1063" s="660"/>
      <c r="B1063" s="660"/>
      <c r="C1063" s="660"/>
      <c r="D1063" s="660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</row>
    <row r="1064">
      <c r="A1064" s="660"/>
      <c r="B1064" s="660"/>
      <c r="C1064" s="660"/>
      <c r="D1064" s="660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</row>
    <row r="1065">
      <c r="A1065" s="660"/>
      <c r="B1065" s="660"/>
      <c r="C1065" s="660"/>
      <c r="D1065" s="660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</row>
    <row r="1066">
      <c r="A1066" s="660"/>
      <c r="B1066" s="660"/>
      <c r="C1066" s="660"/>
      <c r="D1066" s="660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</row>
  </sheetData>
  <mergeCells count="14">
    <mergeCell ref="B37:B40"/>
    <mergeCell ref="B41:B48"/>
    <mergeCell ref="A53:A64"/>
    <mergeCell ref="A65:C65"/>
    <mergeCell ref="A66:A89"/>
    <mergeCell ref="A90:A96"/>
    <mergeCell ref="A97:A123"/>
    <mergeCell ref="A5:A14"/>
    <mergeCell ref="A19:A20"/>
    <mergeCell ref="A21:A29"/>
    <mergeCell ref="A32:A35"/>
    <mergeCell ref="B32:B33"/>
    <mergeCell ref="B34:B35"/>
    <mergeCell ref="A36:A4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45.13"/>
    <col customWidth="1" min="2" max="2" width="25.88"/>
    <col customWidth="1" min="3" max="3" width="35.63"/>
    <col customWidth="1" min="5" max="5" width="19.0"/>
  </cols>
  <sheetData>
    <row r="1">
      <c r="A1" s="615" t="s">
        <v>1432</v>
      </c>
      <c r="B1" s="616"/>
      <c r="C1" s="616"/>
      <c r="D1" s="616"/>
      <c r="E1" s="616"/>
    </row>
    <row r="2">
      <c r="A2" s="833" t="s">
        <v>1433</v>
      </c>
      <c r="B2" s="833" t="s">
        <v>1434</v>
      </c>
      <c r="C2" s="834" t="s">
        <v>1435</v>
      </c>
      <c r="D2" s="5"/>
      <c r="E2" s="835" t="s">
        <v>1436</v>
      </c>
    </row>
    <row r="3">
      <c r="A3" s="835" t="s">
        <v>1438</v>
      </c>
      <c r="B3" s="835" t="s">
        <v>1439</v>
      </c>
      <c r="C3" s="836" t="s">
        <v>1440</v>
      </c>
      <c r="D3" s="5"/>
      <c r="E3" s="835"/>
    </row>
    <row r="4">
      <c r="A4" s="837" t="s">
        <v>1441</v>
      </c>
      <c r="B4" s="835" t="s">
        <v>1439</v>
      </c>
      <c r="C4" s="838" t="s">
        <v>1443</v>
      </c>
      <c r="D4" s="381"/>
      <c r="E4" s="835" t="s">
        <v>1444</v>
      </c>
    </row>
    <row r="5">
      <c r="A5" s="839" t="s">
        <v>1445</v>
      </c>
      <c r="B5" s="840" t="s">
        <v>1446</v>
      </c>
      <c r="C5" s="841" t="s">
        <v>1448</v>
      </c>
      <c r="D5" s="842"/>
      <c r="E5" s="843"/>
    </row>
    <row r="6">
      <c r="B6" s="835" t="s">
        <v>1449</v>
      </c>
      <c r="C6" s="836" t="s">
        <v>1450</v>
      </c>
      <c r="D6" s="842"/>
      <c r="E6" s="835" t="s">
        <v>1451</v>
      </c>
    </row>
    <row r="7">
      <c r="B7" s="835" t="s">
        <v>1452</v>
      </c>
      <c r="C7" s="836" t="s">
        <v>1453</v>
      </c>
      <c r="D7" s="842"/>
      <c r="E7" s="843"/>
    </row>
    <row r="8">
      <c r="A8" s="835" t="s">
        <v>1454</v>
      </c>
      <c r="B8" s="835" t="s">
        <v>1439</v>
      </c>
      <c r="C8" s="836" t="s">
        <v>1455</v>
      </c>
      <c r="D8" s="842"/>
      <c r="E8" s="843"/>
    </row>
    <row r="9">
      <c r="A9" s="844" t="s">
        <v>1456</v>
      </c>
      <c r="B9" s="845" t="s">
        <v>1457</v>
      </c>
      <c r="C9" s="845" t="s">
        <v>1459</v>
      </c>
      <c r="D9" s="842"/>
      <c r="E9" s="843"/>
    </row>
    <row r="10">
      <c r="A10" s="96"/>
      <c r="B10" s="639" t="s">
        <v>1460</v>
      </c>
      <c r="C10" s="836" t="s">
        <v>1461</v>
      </c>
      <c r="D10" s="842"/>
      <c r="E10" s="843"/>
    </row>
    <row r="11">
      <c r="A11" s="96"/>
      <c r="B11" s="639" t="s">
        <v>1011</v>
      </c>
      <c r="C11" s="836" t="s">
        <v>1461</v>
      </c>
      <c r="D11" s="842"/>
      <c r="E11" s="843"/>
    </row>
    <row r="12">
      <c r="A12" s="96"/>
      <c r="B12" s="639" t="s">
        <v>1462</v>
      </c>
      <c r="C12" s="836" t="s">
        <v>1459</v>
      </c>
      <c r="D12" s="842"/>
      <c r="E12" s="843"/>
    </row>
    <row r="13">
      <c r="A13" s="96"/>
      <c r="B13" s="835" t="s">
        <v>1463</v>
      </c>
      <c r="C13" s="845" t="s">
        <v>1464</v>
      </c>
      <c r="D13" s="842"/>
      <c r="E13" s="843"/>
    </row>
    <row r="14">
      <c r="A14" s="96"/>
      <c r="B14" s="835" t="s">
        <v>1465</v>
      </c>
      <c r="C14" s="836" t="s">
        <v>1466</v>
      </c>
      <c r="D14" s="842"/>
      <c r="E14" s="843"/>
    </row>
    <row r="15">
      <c r="A15" s="96"/>
      <c r="B15" s="835" t="s">
        <v>1467</v>
      </c>
      <c r="C15" s="836" t="s">
        <v>1016</v>
      </c>
      <c r="D15" s="842"/>
      <c r="E15" s="843"/>
    </row>
    <row r="16">
      <c r="A16" s="112"/>
      <c r="B16" s="835" t="s">
        <v>1446</v>
      </c>
      <c r="C16" s="836" t="s">
        <v>1034</v>
      </c>
      <c r="D16" s="842"/>
      <c r="E16" s="843"/>
    </row>
    <row r="17">
      <c r="A17" s="835" t="s">
        <v>1468</v>
      </c>
      <c r="B17" s="835" t="s">
        <v>1439</v>
      </c>
      <c r="C17" s="835" t="s">
        <v>1469</v>
      </c>
      <c r="D17" s="681"/>
      <c r="E17" s="843"/>
    </row>
    <row r="18">
      <c r="A18" s="617"/>
      <c r="B18" s="617"/>
      <c r="C18" s="617"/>
      <c r="D18" s="617"/>
      <c r="E18" s="843"/>
    </row>
    <row r="19">
      <c r="A19" s="846" t="s">
        <v>1470</v>
      </c>
      <c r="B19" s="847"/>
      <c r="C19" s="847"/>
      <c r="D19" s="847"/>
      <c r="E19" s="843"/>
    </row>
    <row r="20">
      <c r="A20" s="833" t="s">
        <v>1433</v>
      </c>
      <c r="B20" s="833" t="s">
        <v>1434</v>
      </c>
      <c r="C20" s="833" t="s">
        <v>1471</v>
      </c>
      <c r="D20" s="833" t="s">
        <v>1435</v>
      </c>
      <c r="E20" s="843"/>
    </row>
    <row r="21">
      <c r="A21" s="848" t="s">
        <v>1472</v>
      </c>
      <c r="B21" s="638" t="s">
        <v>1011</v>
      </c>
      <c r="C21" s="638" t="s">
        <v>1473</v>
      </c>
      <c r="D21" s="638" t="s">
        <v>282</v>
      </c>
      <c r="E21" s="847"/>
    </row>
    <row r="22">
      <c r="A22" s="96"/>
      <c r="B22" s="638" t="s">
        <v>1467</v>
      </c>
      <c r="C22" s="638" t="s">
        <v>1474</v>
      </c>
      <c r="D22" s="638" t="s">
        <v>413</v>
      </c>
      <c r="E22" s="847"/>
    </row>
    <row r="23">
      <c r="A23" s="96"/>
      <c r="B23" s="638" t="s">
        <v>1475</v>
      </c>
      <c r="C23" s="638" t="s">
        <v>1476</v>
      </c>
      <c r="D23" s="638" t="s">
        <v>138</v>
      </c>
      <c r="E23" s="847"/>
    </row>
    <row r="24">
      <c r="A24" s="96"/>
      <c r="B24" s="638" t="s">
        <v>1026</v>
      </c>
      <c r="C24" s="638" t="s">
        <v>1474</v>
      </c>
      <c r="D24" s="638" t="s">
        <v>246</v>
      </c>
      <c r="E24" s="843"/>
    </row>
    <row r="25">
      <c r="A25" s="96"/>
      <c r="B25" s="638" t="s">
        <v>1446</v>
      </c>
      <c r="C25" s="638" t="s">
        <v>1477</v>
      </c>
      <c r="D25" s="638" t="s">
        <v>413</v>
      </c>
      <c r="E25" s="843"/>
    </row>
    <row r="26">
      <c r="A26" s="96"/>
      <c r="B26" s="838" t="s">
        <v>1036</v>
      </c>
      <c r="C26" s="638" t="s">
        <v>1477</v>
      </c>
      <c r="D26" s="638" t="s">
        <v>413</v>
      </c>
      <c r="E26" s="843"/>
    </row>
    <row r="27">
      <c r="A27" s="112"/>
      <c r="B27" s="638" t="s">
        <v>1038</v>
      </c>
      <c r="C27" s="838" t="s">
        <v>1477</v>
      </c>
      <c r="D27" s="638" t="s">
        <v>246</v>
      </c>
      <c r="E27" s="843"/>
    </row>
    <row r="28">
      <c r="A28" s="638" t="s">
        <v>1478</v>
      </c>
      <c r="B28" s="638" t="s">
        <v>1439</v>
      </c>
      <c r="C28" s="638" t="s">
        <v>1479</v>
      </c>
      <c r="D28" s="638" t="s">
        <v>245</v>
      </c>
      <c r="E28" s="849"/>
    </row>
    <row r="29">
      <c r="A29" s="638" t="s">
        <v>1480</v>
      </c>
      <c r="B29" s="638" t="s">
        <v>1439</v>
      </c>
      <c r="C29" s="638" t="s">
        <v>1481</v>
      </c>
      <c r="D29" s="638" t="s">
        <v>1482</v>
      </c>
      <c r="E29" s="850" t="s">
        <v>1483</v>
      </c>
    </row>
    <row r="30">
      <c r="A30" s="848" t="s">
        <v>1484</v>
      </c>
      <c r="B30" s="638" t="s">
        <v>1485</v>
      </c>
      <c r="C30" s="638" t="s">
        <v>1486</v>
      </c>
      <c r="D30" s="638" t="s">
        <v>246</v>
      </c>
      <c r="E30" s="847"/>
    </row>
    <row r="31">
      <c r="A31" s="112"/>
      <c r="B31" s="638" t="s">
        <v>1487</v>
      </c>
      <c r="C31" s="638" t="s">
        <v>1488</v>
      </c>
      <c r="D31" s="638" t="s">
        <v>140</v>
      </c>
      <c r="E31" s="849"/>
    </row>
    <row r="32">
      <c r="A32" s="848" t="s">
        <v>1489</v>
      </c>
      <c r="B32" s="638" t="s">
        <v>1485</v>
      </c>
      <c r="C32" s="638" t="s">
        <v>1486</v>
      </c>
      <c r="D32" s="638" t="s">
        <v>245</v>
      </c>
      <c r="E32" s="847"/>
    </row>
    <row r="33" ht="15.75" customHeight="1">
      <c r="A33" s="112"/>
      <c r="B33" s="638" t="s">
        <v>1487</v>
      </c>
      <c r="C33" s="638" t="s">
        <v>1488</v>
      </c>
      <c r="D33" s="638" t="s">
        <v>245</v>
      </c>
      <c r="E33" s="847"/>
    </row>
    <row r="34">
      <c r="A34" s="848" t="s">
        <v>1490</v>
      </c>
      <c r="B34" s="638" t="s">
        <v>1491</v>
      </c>
      <c r="C34" s="638" t="s">
        <v>1486</v>
      </c>
      <c r="D34" s="638" t="s">
        <v>248</v>
      </c>
      <c r="E34" s="847"/>
    </row>
    <row r="35">
      <c r="A35" s="96"/>
      <c r="B35" s="638" t="s">
        <v>1487</v>
      </c>
      <c r="C35" s="638" t="s">
        <v>1488</v>
      </c>
      <c r="D35" s="638" t="s">
        <v>248</v>
      </c>
      <c r="E35" s="847"/>
    </row>
    <row r="36">
      <c r="A36" s="112"/>
      <c r="B36" s="638" t="s">
        <v>1038</v>
      </c>
      <c r="C36" s="638" t="s">
        <v>1492</v>
      </c>
      <c r="D36" s="638" t="s">
        <v>246</v>
      </c>
      <c r="E36" s="849"/>
    </row>
    <row r="37">
      <c r="A37" s="848" t="s">
        <v>1493</v>
      </c>
      <c r="B37" s="638" t="s">
        <v>1011</v>
      </c>
      <c r="C37" s="638" t="s">
        <v>1494</v>
      </c>
      <c r="D37" s="638" t="s">
        <v>1495</v>
      </c>
      <c r="E37" s="847"/>
    </row>
    <row r="38">
      <c r="A38" s="96"/>
      <c r="B38" s="638" t="s">
        <v>1496</v>
      </c>
      <c r="C38" s="638" t="s">
        <v>1494</v>
      </c>
      <c r="D38" s="638" t="s">
        <v>138</v>
      </c>
      <c r="E38" s="847"/>
    </row>
    <row r="39">
      <c r="A39" s="96"/>
      <c r="B39" s="638" t="s">
        <v>181</v>
      </c>
      <c r="C39" s="638" t="s">
        <v>1494</v>
      </c>
      <c r="D39" s="638" t="s">
        <v>1497</v>
      </c>
      <c r="E39" s="847"/>
    </row>
    <row r="40">
      <c r="A40" s="96"/>
      <c r="B40" s="638" t="s">
        <v>1023</v>
      </c>
      <c r="C40" s="638" t="s">
        <v>1494</v>
      </c>
      <c r="D40" s="638" t="s">
        <v>1497</v>
      </c>
      <c r="E40" s="847"/>
    </row>
    <row r="41">
      <c r="A41" s="96"/>
      <c r="B41" s="638" t="s">
        <v>1498</v>
      </c>
      <c r="C41" s="638" t="s">
        <v>1494</v>
      </c>
      <c r="D41" s="638" t="s">
        <v>1459</v>
      </c>
      <c r="E41" s="847"/>
    </row>
    <row r="42">
      <c r="A42" s="96"/>
      <c r="B42" s="638" t="s">
        <v>1446</v>
      </c>
      <c r="C42" s="638" t="s">
        <v>1494</v>
      </c>
      <c r="D42" s="638" t="s">
        <v>1499</v>
      </c>
      <c r="E42" s="847"/>
    </row>
    <row r="43">
      <c r="A43" s="96"/>
      <c r="B43" s="638" t="s">
        <v>1036</v>
      </c>
      <c r="C43" s="638" t="s">
        <v>1494</v>
      </c>
      <c r="D43" s="638" t="s">
        <v>1497</v>
      </c>
      <c r="E43" s="847"/>
    </row>
    <row r="44">
      <c r="A44" s="112"/>
      <c r="B44" s="638" t="s">
        <v>1038</v>
      </c>
      <c r="C44" s="638" t="s">
        <v>1494</v>
      </c>
      <c r="D44" s="638" t="s">
        <v>262</v>
      </c>
      <c r="E44" s="847"/>
    </row>
    <row r="45">
      <c r="A45" s="638" t="s">
        <v>1500</v>
      </c>
      <c r="B45" s="638" t="s">
        <v>1501</v>
      </c>
      <c r="C45" s="638" t="s">
        <v>1494</v>
      </c>
      <c r="D45" s="638" t="s">
        <v>1502</v>
      </c>
      <c r="E45" s="835"/>
    </row>
    <row r="46">
      <c r="A46" s="615"/>
      <c r="B46" s="616"/>
      <c r="C46" s="616"/>
      <c r="D46" s="616"/>
      <c r="E46" s="847"/>
    </row>
    <row r="47">
      <c r="A47" s="615" t="s">
        <v>1042</v>
      </c>
      <c r="B47" s="616"/>
      <c r="C47" s="616"/>
      <c r="D47" s="616"/>
      <c r="E47" s="847"/>
    </row>
    <row r="48">
      <c r="A48" s="833" t="s">
        <v>998</v>
      </c>
      <c r="B48" s="833" t="s">
        <v>999</v>
      </c>
      <c r="C48" s="833" t="s">
        <v>1044</v>
      </c>
      <c r="D48" s="833" t="s">
        <v>169</v>
      </c>
      <c r="E48" s="847"/>
    </row>
    <row r="49">
      <c r="A49" s="638" t="s">
        <v>1503</v>
      </c>
      <c r="B49" s="835" t="s">
        <v>1439</v>
      </c>
      <c r="C49" s="851" t="s">
        <v>1504</v>
      </c>
      <c r="D49" s="852" t="s">
        <v>1505</v>
      </c>
      <c r="E49" s="847"/>
    </row>
    <row r="50">
      <c r="A50" s="848" t="s">
        <v>1506</v>
      </c>
      <c r="B50" s="835" t="s">
        <v>1439</v>
      </c>
      <c r="C50" s="835" t="s">
        <v>1507</v>
      </c>
      <c r="D50" s="835" t="s">
        <v>1508</v>
      </c>
      <c r="E50" s="853" t="s">
        <v>1509</v>
      </c>
    </row>
    <row r="51">
      <c r="A51" s="112"/>
      <c r="B51" s="627" t="s">
        <v>1439</v>
      </c>
      <c r="C51" s="627" t="s">
        <v>1510</v>
      </c>
      <c r="D51" s="627" t="s">
        <v>1511</v>
      </c>
      <c r="E51" s="855" t="s">
        <v>1512</v>
      </c>
    </row>
    <row r="52">
      <c r="A52" s="63"/>
      <c r="B52" s="618"/>
      <c r="C52" s="618"/>
      <c r="D52" s="618"/>
      <c r="E52" s="17"/>
    </row>
    <row r="53">
      <c r="A53" s="63"/>
      <c r="B53" s="618"/>
      <c r="C53" s="618"/>
      <c r="D53" s="618"/>
      <c r="E53" s="17"/>
    </row>
    <row r="54">
      <c r="A54" s="857" t="s">
        <v>1102</v>
      </c>
      <c r="B54" s="618"/>
      <c r="C54" s="618"/>
      <c r="D54" s="618"/>
      <c r="E54" s="17"/>
    </row>
    <row r="55">
      <c r="A55" s="858"/>
      <c r="E55" s="17"/>
    </row>
    <row r="56">
      <c r="A56" s="858"/>
      <c r="E56" s="17"/>
    </row>
    <row r="57">
      <c r="A57" s="859"/>
      <c r="B57" s="860"/>
      <c r="C57" s="63"/>
      <c r="D57" s="63"/>
      <c r="E57" s="861"/>
    </row>
    <row r="58">
      <c r="E58" s="861"/>
    </row>
    <row r="59">
      <c r="E59" s="17"/>
    </row>
    <row r="64">
      <c r="E64" s="17"/>
    </row>
    <row r="65" ht="16.5" customHeight="1">
      <c r="E65" s="17"/>
    </row>
    <row r="66" ht="16.5" customHeight="1">
      <c r="E66" s="17"/>
    </row>
    <row r="67">
      <c r="E67" s="17"/>
    </row>
    <row r="68">
      <c r="E68" s="17"/>
    </row>
    <row r="69">
      <c r="E69" s="17"/>
    </row>
  </sheetData>
  <mergeCells count="12">
    <mergeCell ref="A34:A36"/>
    <mergeCell ref="A37:A44"/>
    <mergeCell ref="A50:A51"/>
    <mergeCell ref="A55:D55"/>
    <mergeCell ref="A56:D56"/>
    <mergeCell ref="C2:D2"/>
    <mergeCell ref="C3:D3"/>
    <mergeCell ref="A5:A7"/>
    <mergeCell ref="A9:A16"/>
    <mergeCell ref="A21:A27"/>
    <mergeCell ref="A30:A31"/>
    <mergeCell ref="A32:A3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42.38"/>
    <col customWidth="1" min="2" max="2" width="24.13"/>
    <col customWidth="1" min="3" max="3" width="27.25"/>
    <col customWidth="1" min="4" max="4" width="32.88"/>
    <col customWidth="1" min="6" max="6" width="19.0"/>
  </cols>
  <sheetData>
    <row r="1">
      <c r="A1" s="864" t="s">
        <v>992</v>
      </c>
      <c r="B1" s="535"/>
      <c r="C1" s="535"/>
      <c r="D1" s="865"/>
      <c r="E1" s="865"/>
    </row>
    <row r="2">
      <c r="A2" s="866" t="s">
        <v>998</v>
      </c>
      <c r="B2" s="866" t="s">
        <v>999</v>
      </c>
      <c r="C2" s="866" t="s">
        <v>1513</v>
      </c>
      <c r="D2" s="865"/>
      <c r="E2" s="865"/>
    </row>
    <row r="3">
      <c r="A3" s="867" t="s">
        <v>1514</v>
      </c>
      <c r="B3" s="867" t="s">
        <v>1515</v>
      </c>
      <c r="C3" s="867" t="s">
        <v>1516</v>
      </c>
      <c r="D3" s="865"/>
      <c r="E3" s="865"/>
    </row>
    <row r="4">
      <c r="A4" s="868"/>
      <c r="B4" s="867" t="s">
        <v>1517</v>
      </c>
      <c r="C4" s="867" t="s">
        <v>1518</v>
      </c>
      <c r="D4" s="865"/>
      <c r="E4" s="865"/>
    </row>
    <row r="5">
      <c r="A5" s="867" t="s">
        <v>1519</v>
      </c>
      <c r="B5" s="867" t="s">
        <v>1520</v>
      </c>
      <c r="C5" s="867" t="s">
        <v>1521</v>
      </c>
      <c r="D5" s="865"/>
      <c r="E5" s="865"/>
    </row>
    <row r="6">
      <c r="A6" s="867" t="s">
        <v>1522</v>
      </c>
      <c r="B6" s="867" t="s">
        <v>1520</v>
      </c>
      <c r="C6" s="867" t="s">
        <v>1523</v>
      </c>
      <c r="D6" s="535"/>
      <c r="E6" s="535"/>
      <c r="F6" s="869"/>
    </row>
    <row r="7">
      <c r="A7" s="867" t="s">
        <v>1524</v>
      </c>
      <c r="B7" s="867" t="s">
        <v>1520</v>
      </c>
      <c r="C7" s="867" t="s">
        <v>1525</v>
      </c>
      <c r="D7" s="535"/>
      <c r="E7" s="535"/>
      <c r="F7" s="869"/>
    </row>
    <row r="8">
      <c r="A8" s="867" t="s">
        <v>1526</v>
      </c>
      <c r="B8" s="867" t="s">
        <v>1520</v>
      </c>
      <c r="C8" s="867" t="s">
        <v>1527</v>
      </c>
      <c r="D8" s="865"/>
      <c r="E8" s="865"/>
    </row>
    <row r="9">
      <c r="A9" s="870" t="s">
        <v>1528</v>
      </c>
      <c r="B9" s="870" t="s">
        <v>1011</v>
      </c>
      <c r="C9" s="870" t="s">
        <v>1529</v>
      </c>
      <c r="D9" s="865"/>
      <c r="E9" s="865"/>
    </row>
    <row r="10">
      <c r="A10" s="870" t="s">
        <v>1530</v>
      </c>
      <c r="B10" s="870" t="s">
        <v>1011</v>
      </c>
      <c r="C10" s="870" t="s">
        <v>1531</v>
      </c>
      <c r="D10" s="865"/>
      <c r="E10" s="865"/>
    </row>
    <row r="11">
      <c r="A11" s="870" t="s">
        <v>1532</v>
      </c>
      <c r="B11" s="870" t="s">
        <v>1520</v>
      </c>
      <c r="C11" s="870" t="s">
        <v>1533</v>
      </c>
      <c r="D11" s="865"/>
      <c r="E11" s="865"/>
    </row>
    <row r="12">
      <c r="A12" s="865"/>
      <c r="B12" s="865"/>
      <c r="C12" s="865"/>
      <c r="D12" s="865"/>
      <c r="E12" s="865"/>
    </row>
    <row r="13">
      <c r="A13" s="864" t="s">
        <v>1534</v>
      </c>
      <c r="B13" s="535"/>
      <c r="C13" s="535"/>
      <c r="D13" s="865"/>
      <c r="E13" s="865"/>
    </row>
    <row r="14">
      <c r="A14" s="866" t="s">
        <v>998</v>
      </c>
      <c r="B14" s="866" t="s">
        <v>999</v>
      </c>
      <c r="C14" s="866" t="s">
        <v>1535</v>
      </c>
      <c r="D14" s="871"/>
      <c r="E14" s="865"/>
    </row>
    <row r="15">
      <c r="A15" s="867" t="s">
        <v>1536</v>
      </c>
      <c r="B15" s="867" t="s">
        <v>1520</v>
      </c>
      <c r="C15" s="867" t="s">
        <v>283</v>
      </c>
      <c r="D15" s="877"/>
      <c r="E15" s="877"/>
      <c r="F15" s="878"/>
    </row>
    <row r="16">
      <c r="A16" s="867" t="s">
        <v>1540</v>
      </c>
      <c r="B16" s="867" t="s">
        <v>1520</v>
      </c>
      <c r="C16" s="867" t="s">
        <v>281</v>
      </c>
      <c r="D16" s="877"/>
      <c r="E16" s="877"/>
      <c r="F16" s="878"/>
    </row>
    <row r="17">
      <c r="A17" s="879" t="s">
        <v>1542</v>
      </c>
      <c r="B17" s="880" t="s">
        <v>1543</v>
      </c>
      <c r="C17" s="880" t="s">
        <v>282</v>
      </c>
      <c r="D17" s="877"/>
      <c r="E17" s="877"/>
      <c r="F17" s="878"/>
    </row>
    <row r="18">
      <c r="A18" s="879" t="s">
        <v>1544</v>
      </c>
      <c r="B18" s="880" t="s">
        <v>1545</v>
      </c>
      <c r="C18" s="880" t="s">
        <v>283</v>
      </c>
      <c r="D18" s="877"/>
      <c r="E18" s="877"/>
      <c r="F18" s="878"/>
    </row>
    <row r="19">
      <c r="A19" s="867" t="s">
        <v>1546</v>
      </c>
      <c r="B19" s="867" t="s">
        <v>1520</v>
      </c>
      <c r="C19" s="867" t="s">
        <v>141</v>
      </c>
      <c r="D19" s="877"/>
      <c r="E19" s="877"/>
      <c r="F19" s="878"/>
    </row>
    <row r="20">
      <c r="A20" s="867" t="s">
        <v>1547</v>
      </c>
      <c r="B20" s="867" t="s">
        <v>1520</v>
      </c>
      <c r="C20" s="867" t="s">
        <v>140</v>
      </c>
      <c r="D20" s="865"/>
      <c r="E20" s="865"/>
    </row>
    <row r="21">
      <c r="A21" s="865"/>
      <c r="B21" s="865"/>
      <c r="C21" s="865"/>
      <c r="D21" s="865"/>
      <c r="E21" s="865"/>
    </row>
    <row r="22">
      <c r="A22" s="865"/>
      <c r="B22" s="865"/>
      <c r="C22" s="865"/>
      <c r="D22" s="865"/>
      <c r="E22" s="865"/>
    </row>
    <row r="23">
      <c r="A23" s="864" t="s">
        <v>1042</v>
      </c>
      <c r="B23" s="535"/>
      <c r="C23" s="535"/>
      <c r="D23" s="535"/>
      <c r="E23" s="865"/>
    </row>
    <row r="24">
      <c r="A24" s="866" t="s">
        <v>998</v>
      </c>
      <c r="B24" s="866" t="s">
        <v>999</v>
      </c>
      <c r="C24" s="866" t="s">
        <v>1044</v>
      </c>
      <c r="D24" s="866" t="s">
        <v>169</v>
      </c>
      <c r="E24" s="865"/>
    </row>
    <row r="25">
      <c r="A25" s="883" t="s">
        <v>1548</v>
      </c>
      <c r="B25" s="883" t="s">
        <v>1520</v>
      </c>
      <c r="C25" s="885" t="s">
        <v>1550</v>
      </c>
      <c r="D25" s="886" t="s">
        <v>282</v>
      </c>
      <c r="E25" s="865"/>
    </row>
    <row r="26">
      <c r="A26" s="112"/>
      <c r="B26" s="112"/>
      <c r="C26" s="887" t="s">
        <v>1551</v>
      </c>
      <c r="D26" s="5"/>
      <c r="E26" s="888"/>
      <c r="F26" s="889"/>
    </row>
    <row r="27">
      <c r="A27" s="883" t="s">
        <v>1553</v>
      </c>
      <c r="B27" s="883" t="s">
        <v>1520</v>
      </c>
      <c r="C27" s="867" t="s">
        <v>1554</v>
      </c>
      <c r="D27" s="867" t="s">
        <v>248</v>
      </c>
      <c r="E27" s="865"/>
      <c r="F27" s="889"/>
    </row>
    <row r="28">
      <c r="A28" s="112"/>
      <c r="B28" s="112"/>
      <c r="C28" s="867" t="s">
        <v>1555</v>
      </c>
      <c r="D28" s="867" t="s">
        <v>248</v>
      </c>
      <c r="E28" s="888"/>
      <c r="F28" s="889"/>
    </row>
    <row r="29">
      <c r="A29" s="883" t="s">
        <v>1556</v>
      </c>
      <c r="B29" s="883" t="s">
        <v>1520</v>
      </c>
      <c r="C29" s="867" t="s">
        <v>1210</v>
      </c>
      <c r="D29" s="885" t="s">
        <v>1557</v>
      </c>
      <c r="E29" s="865"/>
    </row>
    <row r="30">
      <c r="A30" s="96"/>
      <c r="B30" s="96"/>
      <c r="C30" s="867" t="s">
        <v>1558</v>
      </c>
      <c r="D30" s="885" t="s">
        <v>1557</v>
      </c>
      <c r="E30" s="865"/>
    </row>
    <row r="31">
      <c r="A31" s="96"/>
      <c r="B31" s="96"/>
      <c r="C31" s="867" t="s">
        <v>1216</v>
      </c>
      <c r="D31" s="885" t="s">
        <v>155</v>
      </c>
      <c r="E31" s="865"/>
    </row>
    <row r="32">
      <c r="A32" s="96"/>
      <c r="B32" s="96"/>
      <c r="C32" s="867" t="s">
        <v>1099</v>
      </c>
      <c r="D32" s="885" t="s">
        <v>155</v>
      </c>
      <c r="E32" s="865"/>
    </row>
    <row r="33">
      <c r="A33" s="96"/>
      <c r="B33" s="96"/>
      <c r="C33" s="867" t="s">
        <v>1559</v>
      </c>
      <c r="D33" s="885" t="s">
        <v>1557</v>
      </c>
      <c r="E33" s="865"/>
    </row>
    <row r="34">
      <c r="A34" s="96"/>
      <c r="B34" s="96"/>
      <c r="C34" s="890" t="s">
        <v>1213</v>
      </c>
      <c r="D34" s="890" t="s">
        <v>141</v>
      </c>
      <c r="E34" s="865"/>
    </row>
    <row r="35">
      <c r="A35" s="96"/>
      <c r="B35" s="96"/>
      <c r="C35" s="885" t="s">
        <v>1063</v>
      </c>
      <c r="D35" s="885" t="s">
        <v>143</v>
      </c>
      <c r="E35" s="865"/>
    </row>
    <row r="36">
      <c r="A36" s="96"/>
      <c r="B36" s="96"/>
      <c r="C36" s="885" t="s">
        <v>1064</v>
      </c>
      <c r="D36" s="885" t="s">
        <v>1560</v>
      </c>
      <c r="E36" s="865"/>
    </row>
    <row r="37">
      <c r="A37" s="112"/>
      <c r="B37" s="112"/>
      <c r="C37" s="885" t="s">
        <v>1065</v>
      </c>
      <c r="D37" s="885" t="s">
        <v>1560</v>
      </c>
      <c r="E37" s="865"/>
    </row>
    <row r="38">
      <c r="A38" s="885" t="s">
        <v>1561</v>
      </c>
      <c r="B38" s="885" t="s">
        <v>1520</v>
      </c>
      <c r="C38" s="885" t="s">
        <v>1562</v>
      </c>
      <c r="D38" s="885" t="s">
        <v>246</v>
      </c>
      <c r="E38" s="865"/>
    </row>
    <row r="39">
      <c r="A39" s="883" t="s">
        <v>1564</v>
      </c>
      <c r="B39" s="883" t="s">
        <v>1520</v>
      </c>
      <c r="C39" s="885" t="s">
        <v>1565</v>
      </c>
      <c r="D39" s="885" t="s">
        <v>1566</v>
      </c>
      <c r="E39" s="535"/>
      <c r="F39" s="535"/>
    </row>
    <row r="40">
      <c r="A40" s="96"/>
      <c r="B40" s="96"/>
      <c r="C40" s="891" t="s">
        <v>1567</v>
      </c>
      <c r="D40" s="891" t="s">
        <v>262</v>
      </c>
    </row>
    <row r="41">
      <c r="A41" s="96"/>
      <c r="B41" s="96"/>
      <c r="C41" s="891" t="s">
        <v>1568</v>
      </c>
      <c r="D41" s="891" t="s">
        <v>264</v>
      </c>
    </row>
    <row r="42">
      <c r="A42" s="112"/>
      <c r="B42" s="112"/>
      <c r="C42" s="891" t="s">
        <v>1569</v>
      </c>
      <c r="D42" s="885" t="s">
        <v>262</v>
      </c>
    </row>
    <row r="43">
      <c r="A43" s="883" t="s">
        <v>1570</v>
      </c>
      <c r="B43" s="883" t="s">
        <v>1520</v>
      </c>
      <c r="C43" s="883" t="s">
        <v>1571</v>
      </c>
      <c r="D43" s="883" t="s">
        <v>1572</v>
      </c>
      <c r="E43" s="865"/>
    </row>
    <row r="44">
      <c r="A44" s="96"/>
      <c r="B44" s="96"/>
      <c r="C44" s="96"/>
      <c r="D44" s="96"/>
      <c r="E44" s="865"/>
    </row>
    <row r="45">
      <c r="A45" s="96"/>
      <c r="B45" s="96"/>
      <c r="C45" s="96"/>
      <c r="D45" s="96"/>
      <c r="E45" s="865"/>
    </row>
    <row r="46">
      <c r="A46" s="112"/>
      <c r="B46" s="112"/>
      <c r="C46" s="112"/>
      <c r="D46" s="112"/>
      <c r="E46" s="865"/>
    </row>
    <row r="47">
      <c r="A47" s="865"/>
      <c r="B47" s="865"/>
      <c r="C47" s="865"/>
      <c r="D47" s="865"/>
      <c r="E47" s="865"/>
    </row>
    <row r="48">
      <c r="A48" s="865"/>
      <c r="B48" s="865"/>
      <c r="C48" s="865"/>
      <c r="D48" s="865"/>
      <c r="E48" s="865"/>
    </row>
    <row r="49">
      <c r="A49" s="864" t="s">
        <v>1102</v>
      </c>
      <c r="B49" s="535"/>
      <c r="C49" s="865"/>
      <c r="D49" s="865"/>
      <c r="E49" s="865"/>
    </row>
    <row r="50">
      <c r="A50" s="892"/>
      <c r="B50" s="535"/>
      <c r="C50" s="865"/>
      <c r="D50" s="865"/>
      <c r="E50" s="865"/>
    </row>
    <row r="51">
      <c r="A51" s="892" t="s">
        <v>1574</v>
      </c>
      <c r="B51" s="535"/>
      <c r="C51" s="865"/>
      <c r="D51" s="865"/>
      <c r="E51" s="865"/>
    </row>
    <row r="52">
      <c r="A52" s="893" t="s">
        <v>1575</v>
      </c>
      <c r="B52" s="535"/>
      <c r="C52" s="865"/>
      <c r="D52" s="865"/>
      <c r="E52" s="865"/>
    </row>
    <row r="53">
      <c r="A53" s="894"/>
      <c r="B53" s="865"/>
      <c r="C53" s="865"/>
      <c r="D53" s="865"/>
      <c r="E53" s="865"/>
    </row>
    <row r="54">
      <c r="A54" s="892" t="s">
        <v>1576</v>
      </c>
      <c r="B54" s="865"/>
      <c r="C54" s="865"/>
      <c r="D54" s="865"/>
      <c r="E54" s="865"/>
    </row>
    <row r="55">
      <c r="A55" s="869" t="s">
        <v>1577</v>
      </c>
      <c r="B55" s="865"/>
      <c r="C55" s="865"/>
      <c r="D55" s="865"/>
      <c r="E55" s="865"/>
    </row>
    <row r="56">
      <c r="A56" s="869" t="s">
        <v>1578</v>
      </c>
      <c r="B56" s="865"/>
      <c r="C56" s="865"/>
      <c r="D56" s="865"/>
      <c r="E56" s="865"/>
    </row>
    <row r="57">
      <c r="A57" s="865"/>
      <c r="B57" s="865"/>
      <c r="C57" s="865"/>
      <c r="D57" s="865"/>
      <c r="E57" s="865"/>
    </row>
    <row r="58">
      <c r="A58" s="895" t="s">
        <v>1580</v>
      </c>
      <c r="B58" s="896" t="s">
        <v>1582</v>
      </c>
      <c r="C58" s="896" t="s">
        <v>1044</v>
      </c>
      <c r="D58" s="896" t="s">
        <v>169</v>
      </c>
      <c r="E58" s="865"/>
    </row>
    <row r="59">
      <c r="A59" s="96"/>
      <c r="B59" s="897"/>
      <c r="C59" s="897"/>
      <c r="D59" s="898" t="s">
        <v>1516</v>
      </c>
      <c r="E59" s="865"/>
    </row>
    <row r="60">
      <c r="A60" s="96"/>
      <c r="B60" s="897"/>
      <c r="C60" s="897"/>
      <c r="D60" s="96"/>
      <c r="E60" s="865"/>
    </row>
    <row r="61">
      <c r="A61" s="96"/>
      <c r="B61" s="897"/>
      <c r="C61" s="897"/>
      <c r="D61" s="96"/>
      <c r="E61" s="865"/>
    </row>
    <row r="62">
      <c r="A62" s="96"/>
      <c r="B62" s="897"/>
      <c r="C62" s="897"/>
      <c r="D62" s="96"/>
      <c r="E62" s="865"/>
    </row>
    <row r="63">
      <c r="A63" s="96"/>
      <c r="B63" s="897"/>
      <c r="C63" s="897"/>
      <c r="D63" s="96"/>
      <c r="E63" s="865"/>
    </row>
    <row r="64">
      <c r="A64" s="96"/>
      <c r="B64" s="897"/>
      <c r="C64" s="897"/>
      <c r="D64" s="96"/>
      <c r="E64" s="865"/>
    </row>
    <row r="65">
      <c r="A65" s="112"/>
      <c r="B65" s="897"/>
      <c r="C65" s="897"/>
      <c r="D65" s="112"/>
      <c r="E65" s="865"/>
    </row>
    <row r="66">
      <c r="A66" s="865"/>
      <c r="B66" s="865"/>
      <c r="C66" s="865"/>
      <c r="D66" s="865"/>
      <c r="E66" s="865"/>
    </row>
    <row r="67">
      <c r="A67" s="865"/>
      <c r="B67" s="865"/>
      <c r="C67" s="865"/>
      <c r="D67" s="865"/>
      <c r="E67" s="865"/>
    </row>
    <row r="68">
      <c r="A68" s="899" t="s">
        <v>1584</v>
      </c>
      <c r="B68" s="900" t="s">
        <v>999</v>
      </c>
      <c r="C68" s="900" t="s">
        <v>1044</v>
      </c>
      <c r="D68" s="900" t="s">
        <v>1585</v>
      </c>
      <c r="E68" s="900" t="s">
        <v>169</v>
      </c>
    </row>
    <row r="69">
      <c r="A69" s="96"/>
      <c r="B69" s="901" t="s">
        <v>1520</v>
      </c>
      <c r="C69" s="902"/>
      <c r="D69" s="901" t="s">
        <v>1586</v>
      </c>
      <c r="E69" s="903" t="s">
        <v>1453</v>
      </c>
    </row>
    <row r="70">
      <c r="A70" s="96"/>
      <c r="B70" s="96"/>
      <c r="C70" s="902"/>
      <c r="D70" s="96"/>
      <c r="E70" s="106"/>
    </row>
    <row r="71">
      <c r="A71" s="96"/>
      <c r="B71" s="96"/>
      <c r="C71" s="902"/>
      <c r="D71" s="96"/>
      <c r="E71" s="106"/>
    </row>
    <row r="72">
      <c r="A72" s="96"/>
      <c r="B72" s="96"/>
      <c r="C72" s="902"/>
      <c r="D72" s="96"/>
      <c r="E72" s="106"/>
    </row>
    <row r="73">
      <c r="A73" s="112"/>
      <c r="B73" s="112"/>
      <c r="C73" s="902"/>
      <c r="D73" s="112"/>
      <c r="E73" s="86"/>
    </row>
    <row r="74">
      <c r="A74" s="865"/>
      <c r="B74" s="865"/>
      <c r="C74" s="865"/>
      <c r="D74" s="865"/>
      <c r="E74" s="865"/>
    </row>
    <row r="75">
      <c r="A75" s="865"/>
      <c r="B75" s="865"/>
      <c r="C75" s="865"/>
      <c r="D75" s="865"/>
      <c r="E75" s="865"/>
    </row>
    <row r="76">
      <c r="A76" s="895" t="s">
        <v>1588</v>
      </c>
      <c r="B76" s="896" t="s">
        <v>1589</v>
      </c>
      <c r="C76" s="896" t="s">
        <v>1044</v>
      </c>
      <c r="D76" s="896" t="s">
        <v>169</v>
      </c>
      <c r="E76" s="865"/>
    </row>
    <row r="77">
      <c r="A77" s="96"/>
      <c r="B77" s="904" t="s">
        <v>1520</v>
      </c>
      <c r="C77" s="897" t="s">
        <v>1590</v>
      </c>
      <c r="D77" s="898" t="s">
        <v>1591</v>
      </c>
      <c r="E77" s="865"/>
    </row>
    <row r="78">
      <c r="A78" s="96"/>
      <c r="B78" s="904" t="s">
        <v>1520</v>
      </c>
      <c r="C78" s="897" t="s">
        <v>1592</v>
      </c>
      <c r="D78" s="96"/>
      <c r="E78" s="865"/>
    </row>
    <row r="79">
      <c r="A79" s="96"/>
      <c r="B79" s="904" t="s">
        <v>1520</v>
      </c>
      <c r="C79" s="897" t="s">
        <v>1047</v>
      </c>
      <c r="D79" s="96"/>
      <c r="E79" s="865"/>
    </row>
    <row r="80">
      <c r="A80" s="96"/>
      <c r="B80" s="904" t="s">
        <v>1520</v>
      </c>
      <c r="C80" s="897" t="s">
        <v>1215</v>
      </c>
      <c r="D80" s="96"/>
      <c r="E80" s="865"/>
    </row>
    <row r="81">
      <c r="A81" s="112"/>
      <c r="B81" s="904" t="s">
        <v>1520</v>
      </c>
      <c r="C81" s="897" t="s">
        <v>1593</v>
      </c>
      <c r="D81" s="112"/>
      <c r="E81" s="865"/>
    </row>
    <row r="82">
      <c r="A82" s="865"/>
      <c r="B82" s="865"/>
      <c r="C82" s="865"/>
      <c r="D82" s="865"/>
      <c r="E82" s="865"/>
    </row>
    <row r="83">
      <c r="A83" s="906" t="s">
        <v>1594</v>
      </c>
      <c r="B83" s="865"/>
      <c r="C83" s="865"/>
      <c r="D83" s="865"/>
      <c r="E83" s="865"/>
    </row>
    <row r="84">
      <c r="A84" s="893" t="s">
        <v>1595</v>
      </c>
      <c r="B84" s="865"/>
      <c r="C84" s="865"/>
      <c r="D84" s="865"/>
      <c r="E84" s="865"/>
    </row>
    <row r="85">
      <c r="A85" s="893" t="s">
        <v>1596</v>
      </c>
      <c r="B85" s="865"/>
      <c r="C85" s="865"/>
      <c r="D85" s="865"/>
      <c r="E85" s="865"/>
    </row>
    <row r="86" hidden="1">
      <c r="A86" s="894" t="s">
        <v>1597</v>
      </c>
      <c r="B86" s="865"/>
      <c r="C86" s="865"/>
      <c r="D86" s="865"/>
      <c r="E86" s="865"/>
    </row>
    <row r="87" hidden="1">
      <c r="A87" s="894" t="s">
        <v>1598</v>
      </c>
      <c r="B87" s="865"/>
      <c r="C87" s="865"/>
      <c r="D87" s="865"/>
      <c r="E87" s="865"/>
    </row>
    <row r="88">
      <c r="A88" s="865"/>
      <c r="B88" s="865"/>
      <c r="C88" s="865"/>
      <c r="D88" s="865"/>
      <c r="E88" s="865"/>
    </row>
    <row r="89">
      <c r="A89" s="908" t="s">
        <v>1599</v>
      </c>
      <c r="B89" s="909"/>
      <c r="C89" s="909"/>
      <c r="D89" s="909"/>
      <c r="E89" s="865"/>
    </row>
    <row r="90">
      <c r="A90" s="910" t="s">
        <v>1600</v>
      </c>
      <c r="E90" s="865"/>
    </row>
    <row r="91">
      <c r="A91" s="911" t="s">
        <v>1602</v>
      </c>
      <c r="B91" s="87"/>
      <c r="C91" s="87"/>
      <c r="D91" s="87"/>
      <c r="E91" s="865"/>
    </row>
    <row r="92">
      <c r="A92" s="911" t="s">
        <v>1603</v>
      </c>
      <c r="B92" s="87"/>
      <c r="C92" s="87"/>
      <c r="D92" s="87"/>
      <c r="E92" s="865"/>
    </row>
    <row r="93">
      <c r="A93" s="912" t="s">
        <v>1604</v>
      </c>
      <c r="B93" s="913" t="s">
        <v>1605</v>
      </c>
      <c r="C93" s="913" t="s">
        <v>1606</v>
      </c>
      <c r="D93" s="914" t="s">
        <v>1607</v>
      </c>
      <c r="E93" s="865"/>
    </row>
    <row r="94">
      <c r="A94" s="96"/>
      <c r="B94" s="915" t="s">
        <v>1608</v>
      </c>
      <c r="C94" s="916" t="s">
        <v>1609</v>
      </c>
      <c r="D94" s="106"/>
      <c r="E94" s="865"/>
    </row>
    <row r="95">
      <c r="A95" s="96"/>
      <c r="B95" s="916" t="s">
        <v>1610</v>
      </c>
      <c r="C95" s="916" t="s">
        <v>1611</v>
      </c>
      <c r="D95" s="106"/>
      <c r="E95" s="865"/>
    </row>
    <row r="96">
      <c r="A96" s="96"/>
      <c r="B96" s="917" t="s">
        <v>1612</v>
      </c>
      <c r="C96" s="916" t="s">
        <v>1613</v>
      </c>
      <c r="D96" s="106"/>
      <c r="E96" s="865"/>
    </row>
    <row r="97">
      <c r="A97" s="96"/>
      <c r="B97" s="916" t="s">
        <v>1614</v>
      </c>
      <c r="C97" s="916" t="s">
        <v>1615</v>
      </c>
      <c r="D97" s="106"/>
      <c r="E97" s="865"/>
    </row>
    <row r="98">
      <c r="A98" s="96"/>
      <c r="B98" s="916" t="s">
        <v>1616</v>
      </c>
      <c r="C98" s="916" t="s">
        <v>1617</v>
      </c>
      <c r="D98" s="106"/>
      <c r="E98" s="865"/>
    </row>
    <row r="99">
      <c r="A99" s="112"/>
      <c r="B99" s="918" t="s">
        <v>1618</v>
      </c>
      <c r="C99" s="918" t="s">
        <v>1619</v>
      </c>
      <c r="D99" s="86"/>
      <c r="E99" s="865"/>
    </row>
    <row r="100">
      <c r="A100" s="865"/>
      <c r="B100" s="865"/>
      <c r="C100" s="865"/>
      <c r="D100" s="865"/>
      <c r="E100" s="865"/>
    </row>
    <row r="101">
      <c r="A101" s="906" t="s">
        <v>1620</v>
      </c>
      <c r="E101" s="865"/>
    </row>
    <row r="102">
      <c r="A102" s="889" t="s">
        <v>1621</v>
      </c>
      <c r="B102" s="865"/>
      <c r="C102" s="865"/>
      <c r="D102" s="865"/>
      <c r="E102" s="865"/>
    </row>
    <row r="103">
      <c r="A103" s="869" t="s">
        <v>1622</v>
      </c>
      <c r="D103" s="865"/>
      <c r="E103" s="865"/>
    </row>
    <row r="104">
      <c r="A104" s="869" t="s">
        <v>1623</v>
      </c>
      <c r="C104" s="535"/>
      <c r="D104" s="865"/>
      <c r="E104" s="865"/>
    </row>
    <row r="105">
      <c r="A105" s="919" t="s">
        <v>1624</v>
      </c>
      <c r="E105" s="865"/>
    </row>
    <row r="106" ht="22.5" customHeight="1">
      <c r="A106" s="920" t="s">
        <v>1544</v>
      </c>
      <c r="B106" s="921" t="s">
        <v>1605</v>
      </c>
      <c r="C106" s="921" t="s">
        <v>1606</v>
      </c>
      <c r="D106" s="922" t="s">
        <v>1499</v>
      </c>
      <c r="E106" s="865"/>
    </row>
    <row r="107" ht="22.5" customHeight="1">
      <c r="A107" s="96"/>
      <c r="B107" s="923" t="s">
        <v>1545</v>
      </c>
      <c r="C107" s="924" t="s">
        <v>1627</v>
      </c>
      <c r="D107" s="96"/>
      <c r="E107" s="865"/>
    </row>
    <row r="108" ht="22.5" customHeight="1">
      <c r="A108" s="96"/>
      <c r="B108" s="923" t="s">
        <v>1545</v>
      </c>
      <c r="C108" s="924" t="s">
        <v>1628</v>
      </c>
      <c r="D108" s="96"/>
      <c r="E108" s="865"/>
    </row>
    <row r="109" ht="22.5" customHeight="1">
      <c r="A109" s="96"/>
      <c r="B109" s="923" t="s">
        <v>1545</v>
      </c>
      <c r="C109" s="924" t="s">
        <v>1629</v>
      </c>
      <c r="D109" s="96"/>
      <c r="E109" s="865"/>
    </row>
    <row r="110" ht="22.5" customHeight="1">
      <c r="A110" s="112"/>
      <c r="B110" s="923" t="s">
        <v>1545</v>
      </c>
      <c r="C110" s="924" t="s">
        <v>1630</v>
      </c>
      <c r="D110" s="112"/>
      <c r="E110" s="865"/>
    </row>
    <row r="111" ht="22.5" customHeight="1">
      <c r="A111" s="925"/>
      <c r="B111" s="926"/>
      <c r="C111" s="926"/>
      <c r="D111" s="927"/>
      <c r="E111" s="865"/>
    </row>
    <row r="112" ht="22.5" customHeight="1">
      <c r="A112" s="925"/>
      <c r="B112" s="926"/>
      <c r="C112" s="926"/>
      <c r="D112" s="927"/>
      <c r="E112" s="865"/>
    </row>
    <row r="113" ht="26.25" customHeight="1">
      <c r="A113" s="928" t="s">
        <v>1631</v>
      </c>
      <c r="B113" s="929" t="s">
        <v>1632</v>
      </c>
      <c r="C113" s="929" t="s">
        <v>169</v>
      </c>
      <c r="D113" s="930" t="s">
        <v>1633</v>
      </c>
      <c r="E113" s="865"/>
    </row>
    <row r="114" ht="26.25" customHeight="1">
      <c r="A114" s="96"/>
      <c r="B114" s="931" t="s">
        <v>1050</v>
      </c>
      <c r="C114" s="931" t="s">
        <v>1634</v>
      </c>
      <c r="D114" s="932" t="s">
        <v>1635</v>
      </c>
      <c r="E114" s="865"/>
    </row>
    <row r="115" ht="26.25" customHeight="1">
      <c r="A115" s="112"/>
      <c r="B115" s="931" t="s">
        <v>1063</v>
      </c>
      <c r="C115" s="931" t="s">
        <v>1634</v>
      </c>
      <c r="D115" s="112"/>
      <c r="E115" s="865"/>
    </row>
    <row r="116">
      <c r="A116" s="925"/>
      <c r="B116" s="933"/>
      <c r="C116" s="933"/>
    </row>
  </sheetData>
  <mergeCells count="34">
    <mergeCell ref="A25:A26"/>
    <mergeCell ref="B25:B26"/>
    <mergeCell ref="C26:D26"/>
    <mergeCell ref="A27:A28"/>
    <mergeCell ref="B27:B28"/>
    <mergeCell ref="A29:A37"/>
    <mergeCell ref="B29:B37"/>
    <mergeCell ref="A58:A65"/>
    <mergeCell ref="A68:A73"/>
    <mergeCell ref="B69:B73"/>
    <mergeCell ref="A76:A81"/>
    <mergeCell ref="A39:A42"/>
    <mergeCell ref="B39:B42"/>
    <mergeCell ref="A43:A46"/>
    <mergeCell ref="B43:B46"/>
    <mergeCell ref="C43:C46"/>
    <mergeCell ref="D43:D46"/>
    <mergeCell ref="D59:D65"/>
    <mergeCell ref="D69:D73"/>
    <mergeCell ref="E69:E73"/>
    <mergeCell ref="D77:D81"/>
    <mergeCell ref="A90:D90"/>
    <mergeCell ref="A91:D91"/>
    <mergeCell ref="A92:D92"/>
    <mergeCell ref="A93:A99"/>
    <mergeCell ref="D106:D110"/>
    <mergeCell ref="D114:D115"/>
    <mergeCell ref="D93:D99"/>
    <mergeCell ref="A101:D101"/>
    <mergeCell ref="A103:C103"/>
    <mergeCell ref="A104:B104"/>
    <mergeCell ref="A105:D105"/>
    <mergeCell ref="A106:A110"/>
    <mergeCell ref="A113:A115"/>
  </mergeCells>
  <hyperlinks>
    <hyperlink r:id="rId1" ref="A105"/>
    <hyperlink r:id="rId2" ref="D114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36.63"/>
    <col customWidth="1" min="3" max="3" width="21.38"/>
    <col customWidth="1" min="4" max="4" width="37.63"/>
    <col customWidth="1" min="5" max="5" width="38.25"/>
  </cols>
  <sheetData>
    <row r="1">
      <c r="A1" s="934" t="s">
        <v>1637</v>
      </c>
      <c r="B1" s="15"/>
      <c r="C1" s="15"/>
      <c r="D1" s="935"/>
      <c r="E1" s="660"/>
      <c r="F1" s="660"/>
      <c r="G1" s="660"/>
      <c r="H1" s="660"/>
      <c r="I1" s="660"/>
      <c r="J1" s="660"/>
      <c r="K1" s="660"/>
      <c r="L1" s="660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937" t="s">
        <v>998</v>
      </c>
      <c r="B2" s="930" t="s">
        <v>999</v>
      </c>
      <c r="C2" s="930" t="s">
        <v>169</v>
      </c>
      <c r="D2" s="935"/>
      <c r="E2" s="660"/>
      <c r="F2" s="660"/>
      <c r="G2" s="660"/>
      <c r="H2" s="660"/>
      <c r="I2" s="660"/>
      <c r="J2" s="660"/>
      <c r="K2" s="660"/>
      <c r="L2" s="660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938" t="s">
        <v>1639</v>
      </c>
      <c r="B3" s="939" t="s">
        <v>1640</v>
      </c>
      <c r="C3" s="939" t="s">
        <v>1641</v>
      </c>
      <c r="D3" s="935"/>
      <c r="E3" s="660"/>
      <c r="F3" s="660"/>
      <c r="G3" s="660"/>
      <c r="H3" s="660"/>
      <c r="I3" s="660"/>
      <c r="J3" s="660"/>
      <c r="K3" s="660"/>
      <c r="L3" s="660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12"/>
      <c r="B4" s="939" t="s">
        <v>1642</v>
      </c>
      <c r="C4" s="939" t="s">
        <v>1464</v>
      </c>
      <c r="D4" s="935"/>
      <c r="E4" s="660"/>
      <c r="F4" s="660"/>
      <c r="G4" s="660"/>
      <c r="H4" s="660"/>
      <c r="I4" s="660"/>
      <c r="J4" s="660"/>
      <c r="K4" s="660"/>
      <c r="L4" s="660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855" t="s">
        <v>1643</v>
      </c>
      <c r="B5" s="939" t="s">
        <v>1644</v>
      </c>
      <c r="C5" s="939" t="s">
        <v>1645</v>
      </c>
      <c r="D5" s="935"/>
      <c r="E5" s="660"/>
      <c r="F5" s="660"/>
      <c r="G5" s="660"/>
      <c r="H5" s="660"/>
      <c r="I5" s="660"/>
      <c r="J5" s="660"/>
      <c r="K5" s="660"/>
      <c r="L5" s="660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938" t="s">
        <v>1646</v>
      </c>
      <c r="B6" s="939" t="s">
        <v>1647</v>
      </c>
      <c r="C6" s="939" t="s">
        <v>1648</v>
      </c>
      <c r="D6" s="940" t="s">
        <v>1649</v>
      </c>
      <c r="E6" s="660"/>
      <c r="F6" s="660"/>
      <c r="G6" s="660"/>
      <c r="H6" s="660"/>
      <c r="I6" s="660"/>
      <c r="J6" s="660"/>
      <c r="K6" s="660"/>
      <c r="L6" s="660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938" t="s">
        <v>1646</v>
      </c>
      <c r="B7" s="939" t="s">
        <v>1650</v>
      </c>
      <c r="C7" s="939" t="s">
        <v>1648</v>
      </c>
      <c r="D7" s="940" t="s">
        <v>1649</v>
      </c>
      <c r="E7" s="660"/>
      <c r="F7" s="660"/>
      <c r="G7" s="660"/>
      <c r="H7" s="660"/>
      <c r="I7" s="660"/>
      <c r="J7" s="660"/>
      <c r="K7" s="660"/>
      <c r="L7" s="660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938" t="s">
        <v>1651</v>
      </c>
      <c r="B8" s="939" t="s">
        <v>1652</v>
      </c>
      <c r="C8" s="939" t="s">
        <v>1648</v>
      </c>
      <c r="D8" s="940" t="s">
        <v>1649</v>
      </c>
      <c r="E8" s="660"/>
      <c r="F8" s="660"/>
      <c r="G8" s="660"/>
      <c r="H8" s="660"/>
      <c r="I8" s="660"/>
      <c r="J8" s="660"/>
      <c r="K8" s="660"/>
      <c r="L8" s="660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855" t="s">
        <v>1653</v>
      </c>
      <c r="B9" s="939" t="s">
        <v>1654</v>
      </c>
      <c r="C9" s="939" t="s">
        <v>1655</v>
      </c>
      <c r="D9" s="221" t="s">
        <v>1656</v>
      </c>
      <c r="E9" s="660"/>
      <c r="F9" s="660"/>
      <c r="G9" s="660"/>
      <c r="H9" s="660"/>
      <c r="I9" s="660"/>
      <c r="J9" s="660"/>
      <c r="K9" s="660"/>
      <c r="L9" s="660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40.5" customHeight="1">
      <c r="A10" s="855" t="s">
        <v>1657</v>
      </c>
      <c r="B10" s="939" t="s">
        <v>1658</v>
      </c>
      <c r="C10" s="939" t="s">
        <v>1641</v>
      </c>
      <c r="D10" s="221" t="s">
        <v>1659</v>
      </c>
      <c r="E10" s="660"/>
      <c r="F10" s="660"/>
      <c r="G10" s="660"/>
      <c r="H10" s="660"/>
      <c r="I10" s="660"/>
      <c r="J10" s="660"/>
      <c r="K10" s="660"/>
      <c r="L10" s="660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62.25" customHeight="1">
      <c r="A11" s="855" t="s">
        <v>1660</v>
      </c>
      <c r="B11" s="939" t="s">
        <v>1658</v>
      </c>
      <c r="C11" s="939" t="s">
        <v>1641</v>
      </c>
      <c r="D11" s="941" t="s">
        <v>1661</v>
      </c>
      <c r="E11" s="660"/>
      <c r="F11" s="660"/>
      <c r="G11" s="660"/>
      <c r="H11" s="660"/>
      <c r="I11" s="660"/>
      <c r="J11" s="660"/>
      <c r="K11" s="660"/>
      <c r="L11" s="660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855" t="s">
        <v>1662</v>
      </c>
      <c r="B12" s="939" t="s">
        <v>1640</v>
      </c>
      <c r="C12" s="939" t="s">
        <v>1464</v>
      </c>
      <c r="D12" s="940" t="s">
        <v>1649</v>
      </c>
      <c r="E12" s="660"/>
      <c r="F12" s="660"/>
      <c r="G12" s="660"/>
      <c r="H12" s="660"/>
      <c r="I12" s="660"/>
      <c r="J12" s="660"/>
      <c r="K12" s="660"/>
      <c r="L12" s="660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942" t="s">
        <v>1663</v>
      </c>
      <c r="B13" s="939" t="s">
        <v>1642</v>
      </c>
      <c r="C13" s="939" t="s">
        <v>1497</v>
      </c>
      <c r="D13" s="935"/>
      <c r="E13" s="660"/>
      <c r="F13" s="660"/>
      <c r="G13" s="660"/>
      <c r="H13" s="660"/>
      <c r="I13" s="660"/>
      <c r="J13" s="660"/>
      <c r="K13" s="660"/>
      <c r="L13" s="660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855" t="s">
        <v>1664</v>
      </c>
      <c r="B14" s="939" t="s">
        <v>1644</v>
      </c>
      <c r="C14" s="939" t="s">
        <v>1665</v>
      </c>
      <c r="D14" s="935"/>
      <c r="E14" s="660"/>
      <c r="F14" s="660"/>
      <c r="G14" s="660"/>
      <c r="H14" s="660"/>
      <c r="I14" s="660"/>
      <c r="J14" s="660"/>
      <c r="K14" s="660"/>
      <c r="L14" s="660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855" t="s">
        <v>1666</v>
      </c>
      <c r="B15" s="939" t="s">
        <v>1667</v>
      </c>
      <c r="C15" s="939" t="s">
        <v>1668</v>
      </c>
      <c r="D15" s="221" t="s">
        <v>1669</v>
      </c>
      <c r="E15" s="660"/>
      <c r="F15" s="660"/>
      <c r="G15" s="660"/>
      <c r="H15" s="660"/>
      <c r="I15" s="660"/>
      <c r="J15" s="660"/>
      <c r="K15" s="660"/>
      <c r="L15" s="660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855" t="s">
        <v>1670</v>
      </c>
      <c r="B16" s="939" t="s">
        <v>1644</v>
      </c>
      <c r="C16" s="939" t="s">
        <v>1665</v>
      </c>
      <c r="D16" s="660"/>
      <c r="E16" s="660"/>
      <c r="F16" s="660"/>
      <c r="G16" s="660"/>
      <c r="H16" s="660"/>
      <c r="I16" s="660"/>
      <c r="J16" s="660"/>
      <c r="K16" s="660"/>
      <c r="L16" s="660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943"/>
      <c r="B17" s="944"/>
      <c r="C17" s="945"/>
      <c r="D17" s="660"/>
      <c r="E17" s="660"/>
      <c r="F17" s="660"/>
      <c r="G17" s="660"/>
      <c r="H17" s="660"/>
      <c r="I17" s="660"/>
      <c r="J17" s="660"/>
      <c r="K17" s="660"/>
      <c r="L17" s="660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934" t="s">
        <v>1671</v>
      </c>
      <c r="B18" s="935"/>
      <c r="C18" s="935"/>
      <c r="D18" s="935"/>
      <c r="E18" s="660"/>
      <c r="F18" s="660"/>
      <c r="G18" s="660"/>
      <c r="H18" s="660"/>
      <c r="I18" s="660"/>
      <c r="J18" s="660"/>
      <c r="K18" s="660"/>
      <c r="L18" s="660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855" t="s">
        <v>1672</v>
      </c>
      <c r="B19" s="939" t="s">
        <v>1011</v>
      </c>
      <c r="C19" s="939" t="s">
        <v>1453</v>
      </c>
      <c r="D19" s="660"/>
      <c r="E19" s="660"/>
      <c r="F19" s="660"/>
      <c r="G19" s="660"/>
      <c r="H19" s="660"/>
      <c r="I19" s="660"/>
      <c r="J19" s="660"/>
      <c r="K19" s="660"/>
      <c r="L19" s="660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855" t="s">
        <v>1673</v>
      </c>
      <c r="B20" s="939" t="s">
        <v>1011</v>
      </c>
      <c r="C20" s="939" t="s">
        <v>1674</v>
      </c>
      <c r="D20" s="641" t="s">
        <v>1675</v>
      </c>
      <c r="E20" s="641" t="s">
        <v>1676</v>
      </c>
      <c r="F20" s="660"/>
      <c r="G20" s="660"/>
      <c r="H20" s="660"/>
      <c r="I20" s="660"/>
      <c r="J20" s="660"/>
      <c r="K20" s="660"/>
      <c r="L20" s="660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855" t="s">
        <v>1677</v>
      </c>
      <c r="B21" s="939" t="s">
        <v>1011</v>
      </c>
      <c r="C21" s="939" t="s">
        <v>1678</v>
      </c>
      <c r="D21" s="660"/>
      <c r="E21" s="660"/>
      <c r="F21" s="660"/>
      <c r="G21" s="660"/>
      <c r="H21" s="660"/>
      <c r="I21" s="660"/>
      <c r="J21" s="660"/>
      <c r="K21" s="660"/>
      <c r="L21" s="660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855" t="s">
        <v>1679</v>
      </c>
      <c r="B22" s="939" t="s">
        <v>1011</v>
      </c>
      <c r="C22" s="939" t="s">
        <v>1680</v>
      </c>
      <c r="D22" s="660"/>
      <c r="E22" s="660"/>
      <c r="F22" s="660"/>
      <c r="G22" s="660"/>
      <c r="H22" s="660"/>
      <c r="I22" s="660"/>
      <c r="J22" s="660"/>
      <c r="K22" s="660"/>
      <c r="L22" s="660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938" t="s">
        <v>1681</v>
      </c>
      <c r="B23" s="939" t="s">
        <v>1011</v>
      </c>
      <c r="C23" s="939" t="s">
        <v>1021</v>
      </c>
      <c r="D23" s="660"/>
      <c r="E23" s="660"/>
      <c r="F23" s="660"/>
      <c r="G23" s="660"/>
      <c r="H23" s="660"/>
      <c r="I23" s="660"/>
      <c r="J23" s="660"/>
      <c r="K23" s="660"/>
      <c r="L23" s="660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938" t="s">
        <v>1682</v>
      </c>
      <c r="B24" s="939" t="s">
        <v>1011</v>
      </c>
      <c r="C24" s="939" t="s">
        <v>1021</v>
      </c>
      <c r="D24" s="660"/>
      <c r="E24" s="660"/>
      <c r="F24" s="660"/>
      <c r="G24" s="660"/>
      <c r="H24" s="660"/>
      <c r="I24" s="660"/>
      <c r="J24" s="660"/>
      <c r="K24" s="660"/>
      <c r="L24" s="660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855" t="s">
        <v>1683</v>
      </c>
      <c r="B25" s="939" t="s">
        <v>1011</v>
      </c>
      <c r="C25" s="939" t="s">
        <v>1516</v>
      </c>
      <c r="D25" s="660"/>
      <c r="E25" s="660"/>
      <c r="F25" s="660"/>
      <c r="G25" s="660"/>
      <c r="H25" s="660"/>
      <c r="I25" s="660"/>
      <c r="J25" s="660"/>
      <c r="K25" s="660"/>
      <c r="L25" s="660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938" t="s">
        <v>1684</v>
      </c>
      <c r="B26" s="946" t="s">
        <v>1011</v>
      </c>
      <c r="C26" s="939" t="s">
        <v>1021</v>
      </c>
      <c r="D26" s="660"/>
      <c r="E26" s="660"/>
      <c r="F26" s="660"/>
      <c r="G26" s="660"/>
      <c r="H26" s="660"/>
      <c r="I26" s="660"/>
      <c r="J26" s="660"/>
      <c r="K26" s="660"/>
      <c r="L26" s="660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855" t="s">
        <v>1685</v>
      </c>
      <c r="B27" s="939" t="s">
        <v>1686</v>
      </c>
      <c r="C27" s="939" t="s">
        <v>1687</v>
      </c>
      <c r="D27" s="660"/>
      <c r="E27" s="660"/>
      <c r="F27" s="660"/>
      <c r="G27" s="660"/>
      <c r="H27" s="660"/>
      <c r="I27" s="660"/>
      <c r="J27" s="660"/>
      <c r="K27" s="660"/>
      <c r="L27" s="660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938" t="s">
        <v>1688</v>
      </c>
      <c r="B28" s="939" t="s">
        <v>1689</v>
      </c>
      <c r="C28" s="939" t="s">
        <v>1690</v>
      </c>
      <c r="D28" s="660"/>
      <c r="E28" s="660"/>
      <c r="F28" s="660"/>
      <c r="G28" s="660"/>
      <c r="H28" s="660"/>
      <c r="I28" s="660"/>
      <c r="J28" s="660"/>
      <c r="K28" s="660"/>
      <c r="L28" s="660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12"/>
      <c r="B29" s="939" t="s">
        <v>1691</v>
      </c>
      <c r="C29" s="939" t="s">
        <v>1016</v>
      </c>
      <c r="D29" s="660"/>
      <c r="E29" s="660"/>
      <c r="F29" s="660"/>
      <c r="G29" s="660"/>
      <c r="H29" s="660"/>
      <c r="I29" s="660"/>
      <c r="J29" s="660"/>
      <c r="K29" s="660"/>
      <c r="L29" s="660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938" t="s">
        <v>1692</v>
      </c>
      <c r="B30" s="939" t="s">
        <v>1686</v>
      </c>
      <c r="C30" s="939" t="s">
        <v>1693</v>
      </c>
      <c r="D30" s="660"/>
      <c r="E30" s="660"/>
      <c r="F30" s="660"/>
      <c r="G30" s="660"/>
      <c r="H30" s="660"/>
      <c r="I30" s="660"/>
      <c r="J30" s="660"/>
      <c r="K30" s="660"/>
      <c r="L30" s="660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855" t="s">
        <v>1694</v>
      </c>
      <c r="B31" s="939" t="s">
        <v>1686</v>
      </c>
      <c r="C31" s="939" t="s">
        <v>1695</v>
      </c>
      <c r="D31" s="660"/>
      <c r="E31" s="660"/>
      <c r="F31" s="660"/>
      <c r="G31" s="660"/>
      <c r="H31" s="660"/>
      <c r="I31" s="660"/>
      <c r="J31" s="660"/>
      <c r="K31" s="660"/>
      <c r="L31" s="660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855" t="s">
        <v>1696</v>
      </c>
      <c r="B32" s="939" t="s">
        <v>1686</v>
      </c>
      <c r="C32" s="939" t="s">
        <v>1697</v>
      </c>
      <c r="D32" s="660"/>
      <c r="E32" s="660"/>
      <c r="F32" s="660"/>
      <c r="G32" s="660"/>
      <c r="H32" s="660"/>
      <c r="I32" s="660"/>
      <c r="J32" s="660"/>
      <c r="K32" s="660"/>
      <c r="L32" s="660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938" t="s">
        <v>1698</v>
      </c>
      <c r="B33" s="939" t="s">
        <v>1686</v>
      </c>
      <c r="C33" s="939" t="s">
        <v>1021</v>
      </c>
      <c r="D33" s="660"/>
      <c r="E33" s="660"/>
      <c r="F33" s="660"/>
      <c r="G33" s="660"/>
      <c r="H33" s="660"/>
      <c r="I33" s="660"/>
      <c r="J33" s="660"/>
      <c r="K33" s="660"/>
      <c r="L33" s="660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855" t="s">
        <v>1699</v>
      </c>
      <c r="B34" s="939" t="s">
        <v>1446</v>
      </c>
      <c r="C34" s="939" t="s">
        <v>1700</v>
      </c>
      <c r="D34" s="660"/>
      <c r="E34" s="660"/>
      <c r="F34" s="660"/>
      <c r="G34" s="660"/>
      <c r="H34" s="660"/>
      <c r="I34" s="660"/>
      <c r="J34" s="660"/>
      <c r="K34" s="660"/>
      <c r="L34" s="660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855" t="s">
        <v>1701</v>
      </c>
      <c r="B35" s="939" t="s">
        <v>1446</v>
      </c>
      <c r="C35" s="939" t="s">
        <v>1702</v>
      </c>
      <c r="D35" s="660"/>
      <c r="E35" s="660"/>
      <c r="F35" s="660"/>
      <c r="G35" s="660"/>
      <c r="H35" s="660"/>
      <c r="I35" s="660"/>
      <c r="J35" s="660"/>
      <c r="K35" s="660"/>
      <c r="L35" s="660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855" t="s">
        <v>1703</v>
      </c>
      <c r="B36" s="939" t="s">
        <v>1446</v>
      </c>
      <c r="C36" s="939" t="s">
        <v>1702</v>
      </c>
      <c r="D36" s="660"/>
      <c r="E36" s="660"/>
      <c r="F36" s="660"/>
      <c r="G36" s="660"/>
      <c r="H36" s="660"/>
      <c r="I36" s="660"/>
      <c r="J36" s="660"/>
      <c r="K36" s="660"/>
      <c r="L36" s="660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938" t="s">
        <v>1704</v>
      </c>
      <c r="B37" s="947" t="s">
        <v>1705</v>
      </c>
      <c r="C37" s="939" t="s">
        <v>1706</v>
      </c>
      <c r="D37" s="660"/>
      <c r="E37" s="660"/>
      <c r="F37" s="660"/>
      <c r="G37" s="660"/>
      <c r="H37" s="660"/>
      <c r="I37" s="660"/>
      <c r="J37" s="660"/>
      <c r="K37" s="660"/>
      <c r="L37" s="660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12"/>
      <c r="B38" s="112"/>
      <c r="C38" s="939" t="s">
        <v>1707</v>
      </c>
      <c r="D38" s="660"/>
      <c r="E38" s="660"/>
      <c r="F38" s="660"/>
      <c r="G38" s="660"/>
      <c r="H38" s="660"/>
      <c r="I38" s="660"/>
      <c r="J38" s="660"/>
      <c r="K38" s="660"/>
      <c r="L38" s="660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938" t="s">
        <v>1708</v>
      </c>
      <c r="B39" s="939" t="s">
        <v>1446</v>
      </c>
      <c r="C39" s="939" t="s">
        <v>262</v>
      </c>
      <c r="D39" s="660"/>
      <c r="E39" s="660"/>
      <c r="F39" s="660"/>
      <c r="G39" s="660"/>
      <c r="H39" s="660"/>
      <c r="I39" s="660"/>
      <c r="J39" s="660"/>
      <c r="K39" s="660"/>
      <c r="L39" s="660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855" t="s">
        <v>1709</v>
      </c>
      <c r="B40" s="939" t="s">
        <v>1446</v>
      </c>
      <c r="C40" s="939" t="s">
        <v>1531</v>
      </c>
      <c r="D40" s="660"/>
      <c r="E40" s="660"/>
      <c r="F40" s="660"/>
      <c r="G40" s="660"/>
      <c r="H40" s="660"/>
      <c r="I40" s="660"/>
      <c r="J40" s="660"/>
      <c r="K40" s="660"/>
      <c r="L40" s="660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948" t="s">
        <v>1710</v>
      </c>
      <c r="B41" s="939" t="s">
        <v>1036</v>
      </c>
      <c r="C41" s="939" t="s">
        <v>1687</v>
      </c>
      <c r="D41" s="660"/>
      <c r="E41" s="660"/>
      <c r="F41" s="660"/>
      <c r="G41" s="660"/>
      <c r="H41" s="660"/>
      <c r="I41" s="660"/>
      <c r="J41" s="660"/>
      <c r="K41" s="660"/>
      <c r="L41" s="660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949"/>
      <c r="B42" s="944"/>
      <c r="C42" s="945"/>
      <c r="D42" s="660"/>
      <c r="E42" s="660"/>
      <c r="F42" s="660"/>
      <c r="G42" s="660"/>
      <c r="H42" s="660"/>
      <c r="I42" s="660"/>
      <c r="J42" s="660"/>
      <c r="K42" s="660"/>
      <c r="L42" s="660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21.75" customHeight="1">
      <c r="A43" s="943"/>
      <c r="E43" s="660"/>
      <c r="F43" s="660"/>
      <c r="G43" s="660"/>
      <c r="H43" s="660"/>
      <c r="I43" s="660"/>
      <c r="J43" s="660"/>
      <c r="K43" s="660"/>
      <c r="L43" s="660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943"/>
      <c r="B44" s="944"/>
      <c r="C44" s="945"/>
      <c r="D44" s="660"/>
      <c r="E44" s="660"/>
      <c r="F44" s="660"/>
      <c r="G44" s="660"/>
      <c r="H44" s="660"/>
      <c r="I44" s="660"/>
      <c r="J44" s="660"/>
      <c r="K44" s="660"/>
      <c r="L44" s="660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934" t="s">
        <v>1534</v>
      </c>
      <c r="B45" s="15"/>
      <c r="C45" s="15"/>
      <c r="D45" s="15"/>
      <c r="E45" s="660"/>
      <c r="F45" s="660"/>
      <c r="G45" s="660"/>
      <c r="H45" s="660"/>
      <c r="I45" s="87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937" t="s">
        <v>998</v>
      </c>
      <c r="B46" s="930" t="s">
        <v>999</v>
      </c>
      <c r="C46" s="930" t="s">
        <v>1044</v>
      </c>
      <c r="D46" s="930" t="s">
        <v>169</v>
      </c>
      <c r="E46" s="660"/>
      <c r="F46" s="660"/>
      <c r="G46" s="660"/>
      <c r="H46" s="660"/>
      <c r="I46" s="660"/>
      <c r="J46" s="660"/>
      <c r="K46" s="660"/>
      <c r="L46" s="660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938" t="s">
        <v>1711</v>
      </c>
      <c r="B47" s="939" t="s">
        <v>1712</v>
      </c>
      <c r="C47" s="946" t="s">
        <v>1212</v>
      </c>
      <c r="D47" s="947" t="s">
        <v>1591</v>
      </c>
      <c r="E47" s="950"/>
      <c r="F47" s="877"/>
      <c r="G47" s="877"/>
      <c r="H47" s="877"/>
      <c r="I47" s="660"/>
      <c r="J47" s="660"/>
      <c r="K47" s="660"/>
      <c r="L47" s="660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938" t="s">
        <v>1713</v>
      </c>
      <c r="B48" s="939" t="s">
        <v>1714</v>
      </c>
      <c r="C48" s="939" t="s">
        <v>1715</v>
      </c>
      <c r="D48" s="947" t="s">
        <v>1716</v>
      </c>
      <c r="E48" s="877"/>
      <c r="F48" s="877"/>
      <c r="G48" s="877"/>
      <c r="H48" s="877"/>
      <c r="I48" s="660"/>
      <c r="J48" s="660"/>
      <c r="K48" s="660"/>
      <c r="L48" s="660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12"/>
      <c r="B49" s="939" t="s">
        <v>1717</v>
      </c>
      <c r="C49" s="939" t="s">
        <v>1718</v>
      </c>
      <c r="D49" s="112"/>
      <c r="E49" s="877"/>
      <c r="F49" s="877"/>
      <c r="G49" s="877"/>
      <c r="H49" s="877"/>
      <c r="I49" s="660"/>
      <c r="J49" s="660"/>
      <c r="K49" s="660"/>
      <c r="L49" s="660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938" t="s">
        <v>1720</v>
      </c>
      <c r="B50" s="939" t="s">
        <v>1721</v>
      </c>
      <c r="C50" s="946" t="s">
        <v>1722</v>
      </c>
      <c r="D50" s="947" t="s">
        <v>1453</v>
      </c>
      <c r="E50" s="877"/>
      <c r="F50" s="877"/>
      <c r="G50" s="877"/>
      <c r="H50" s="877"/>
      <c r="I50" s="660"/>
      <c r="J50" s="660"/>
      <c r="K50" s="660"/>
      <c r="L50" s="660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96"/>
      <c r="B51" s="939" t="s">
        <v>1723</v>
      </c>
      <c r="C51" s="946" t="s">
        <v>1724</v>
      </c>
      <c r="D51" s="96"/>
      <c r="E51" s="877"/>
      <c r="F51" s="877"/>
      <c r="G51" s="877"/>
      <c r="H51" s="877"/>
      <c r="I51" s="660"/>
      <c r="J51" s="660"/>
      <c r="K51" s="660"/>
      <c r="L51" s="660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938" t="s">
        <v>1725</v>
      </c>
      <c r="B52" s="939" t="s">
        <v>1726</v>
      </c>
      <c r="C52" s="939" t="s">
        <v>1727</v>
      </c>
      <c r="D52" s="947" t="s">
        <v>1716</v>
      </c>
      <c r="E52" s="877"/>
      <c r="F52" s="877"/>
      <c r="G52" s="877"/>
      <c r="H52" s="877"/>
      <c r="I52" s="660"/>
      <c r="J52" s="660"/>
      <c r="K52" s="660"/>
      <c r="L52" s="660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12"/>
      <c r="B53" s="939" t="s">
        <v>1728</v>
      </c>
      <c r="C53" s="939" t="s">
        <v>1729</v>
      </c>
      <c r="D53" s="112"/>
      <c r="E53" s="877"/>
      <c r="F53" s="877"/>
      <c r="G53" s="877"/>
      <c r="H53" s="877"/>
      <c r="I53" s="660"/>
      <c r="J53" s="660"/>
      <c r="K53" s="660"/>
      <c r="L53" s="660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938" t="s">
        <v>1730</v>
      </c>
      <c r="B54" s="939" t="s">
        <v>1689</v>
      </c>
      <c r="C54" s="939" t="s">
        <v>1731</v>
      </c>
      <c r="D54" s="947" t="s">
        <v>1516</v>
      </c>
      <c r="E54" s="877"/>
      <c r="F54" s="877"/>
      <c r="G54" s="877"/>
      <c r="H54" s="877"/>
      <c r="I54" s="660"/>
      <c r="J54" s="660"/>
      <c r="K54" s="660"/>
      <c r="L54" s="660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12"/>
      <c r="B55" s="939" t="s">
        <v>1732</v>
      </c>
      <c r="C55" s="939" t="s">
        <v>1479</v>
      </c>
      <c r="D55" s="112"/>
      <c r="E55" s="877"/>
      <c r="F55" s="877"/>
      <c r="G55" s="877"/>
      <c r="H55" s="877"/>
      <c r="I55" s="660"/>
      <c r="J55" s="660"/>
      <c r="K55" s="660"/>
      <c r="L55" s="660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855" t="s">
        <v>1733</v>
      </c>
      <c r="B56" s="939" t="s">
        <v>1734</v>
      </c>
      <c r="C56" s="939" t="s">
        <v>1224</v>
      </c>
      <c r="D56" s="939" t="s">
        <v>138</v>
      </c>
      <c r="E56" s="877"/>
      <c r="F56" s="877"/>
      <c r="G56" s="877"/>
      <c r="H56" s="877"/>
      <c r="I56" s="660"/>
      <c r="J56" s="660"/>
      <c r="K56" s="660"/>
      <c r="L56" s="660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951" t="s">
        <v>1735</v>
      </c>
      <c r="B57" s="939" t="s">
        <v>1734</v>
      </c>
      <c r="C57" s="939" t="s">
        <v>1224</v>
      </c>
      <c r="D57" s="939" t="s">
        <v>140</v>
      </c>
      <c r="E57" s="877"/>
      <c r="F57" s="877"/>
      <c r="G57" s="877"/>
      <c r="H57" s="877"/>
      <c r="I57" s="660"/>
      <c r="J57" s="660"/>
      <c r="K57" s="660"/>
      <c r="L57" s="660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855" t="s">
        <v>1736</v>
      </c>
      <c r="B58" s="939" t="s">
        <v>1734</v>
      </c>
      <c r="C58" s="953" t="s">
        <v>1224</v>
      </c>
      <c r="D58" s="939" t="s">
        <v>1641</v>
      </c>
      <c r="E58" s="877"/>
      <c r="F58" s="877"/>
      <c r="G58" s="877"/>
      <c r="H58" s="877"/>
      <c r="I58" s="660"/>
      <c r="J58" s="660"/>
      <c r="K58" s="660"/>
      <c r="L58" s="660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855" t="s">
        <v>1737</v>
      </c>
      <c r="B59" s="939" t="s">
        <v>1023</v>
      </c>
      <c r="C59" s="939" t="s">
        <v>1738</v>
      </c>
      <c r="D59" s="939" t="s">
        <v>1648</v>
      </c>
      <c r="E59" s="877"/>
      <c r="F59" s="660"/>
      <c r="G59" s="660"/>
      <c r="H59" s="660"/>
      <c r="I59" s="660"/>
      <c r="J59" s="660"/>
      <c r="K59" s="660"/>
      <c r="L59" s="660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855" t="s">
        <v>1739</v>
      </c>
      <c r="B60" s="939" t="s">
        <v>1023</v>
      </c>
      <c r="C60" s="939" t="s">
        <v>1050</v>
      </c>
      <c r="D60" s="939" t="s">
        <v>282</v>
      </c>
      <c r="E60" s="877"/>
      <c r="F60" s="660"/>
      <c r="G60" s="660"/>
      <c r="H60" s="660"/>
      <c r="I60" s="660"/>
      <c r="J60" s="660"/>
      <c r="K60" s="660"/>
      <c r="L60" s="660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855" t="s">
        <v>1740</v>
      </c>
      <c r="B61" s="939" t="s">
        <v>1023</v>
      </c>
      <c r="C61" s="939" t="s">
        <v>1741</v>
      </c>
      <c r="D61" s="939" t="s">
        <v>1641</v>
      </c>
      <c r="E61" s="877"/>
      <c r="F61" s="660"/>
      <c r="G61" s="660"/>
      <c r="H61" s="660"/>
      <c r="I61" s="660"/>
      <c r="J61" s="660"/>
      <c r="K61" s="660"/>
      <c r="L61" s="660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855" t="s">
        <v>1737</v>
      </c>
      <c r="B62" s="939" t="s">
        <v>1026</v>
      </c>
      <c r="C62" s="939" t="s">
        <v>1479</v>
      </c>
      <c r="D62" s="939" t="s">
        <v>1648</v>
      </c>
      <c r="E62" s="877"/>
      <c r="F62" s="660"/>
      <c r="G62" s="660"/>
      <c r="H62" s="660"/>
      <c r="I62" s="660"/>
      <c r="J62" s="660"/>
      <c r="K62" s="660"/>
      <c r="L62" s="660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855" t="s">
        <v>1739</v>
      </c>
      <c r="B63" s="939" t="s">
        <v>1026</v>
      </c>
      <c r="C63" s="939" t="s">
        <v>1592</v>
      </c>
      <c r="D63" s="939" t="s">
        <v>1742</v>
      </c>
      <c r="E63" s="877"/>
      <c r="F63" s="660"/>
      <c r="G63" s="660"/>
      <c r="H63" s="660"/>
      <c r="I63" s="660"/>
      <c r="J63" s="660"/>
      <c r="K63" s="660"/>
      <c r="L63" s="660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855" t="s">
        <v>1743</v>
      </c>
      <c r="B64" s="939" t="s">
        <v>1026</v>
      </c>
      <c r="C64" s="939" t="s">
        <v>1731</v>
      </c>
      <c r="D64" s="939" t="s">
        <v>1744</v>
      </c>
      <c r="E64" s="877"/>
      <c r="F64" s="660"/>
      <c r="G64" s="660"/>
      <c r="H64" s="660"/>
      <c r="I64" s="660"/>
      <c r="J64" s="660"/>
      <c r="K64" s="660"/>
      <c r="L64" s="660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855" t="s">
        <v>1745</v>
      </c>
      <c r="B65" s="939" t="s">
        <v>1038</v>
      </c>
      <c r="C65" s="939" t="s">
        <v>1746</v>
      </c>
      <c r="D65" s="939" t="s">
        <v>1747</v>
      </c>
      <c r="E65" s="877"/>
      <c r="F65" s="660"/>
      <c r="G65" s="660"/>
      <c r="H65" s="660"/>
      <c r="I65" s="660"/>
      <c r="J65" s="660"/>
      <c r="K65" s="660"/>
      <c r="L65" s="660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855" t="s">
        <v>1748</v>
      </c>
      <c r="B66" s="939" t="s">
        <v>1446</v>
      </c>
      <c r="C66" s="939" t="s">
        <v>1749</v>
      </c>
      <c r="D66" s="939" t="s">
        <v>1700</v>
      </c>
      <c r="E66" s="877"/>
      <c r="F66" s="660"/>
      <c r="G66" s="660"/>
      <c r="H66" s="660"/>
      <c r="I66" s="660"/>
      <c r="J66" s="660"/>
      <c r="K66" s="660"/>
      <c r="L66" s="660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855" t="s">
        <v>1750</v>
      </c>
      <c r="B67" s="939" t="s">
        <v>1446</v>
      </c>
      <c r="C67" s="939" t="s">
        <v>1751</v>
      </c>
      <c r="D67" s="939" t="s">
        <v>1752</v>
      </c>
      <c r="E67" s="660"/>
      <c r="F67" s="660"/>
      <c r="G67" s="660"/>
      <c r="H67" s="660"/>
      <c r="I67" s="660"/>
      <c r="J67" s="660"/>
      <c r="K67" s="660"/>
      <c r="L67" s="660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855" t="s">
        <v>1753</v>
      </c>
      <c r="B68" s="939" t="s">
        <v>1446</v>
      </c>
      <c r="C68" s="939" t="s">
        <v>1754</v>
      </c>
      <c r="D68" s="939" t="s">
        <v>140</v>
      </c>
      <c r="E68" s="660"/>
      <c r="F68" s="660"/>
      <c r="G68" s="660"/>
      <c r="H68" s="660"/>
      <c r="I68" s="660"/>
      <c r="J68" s="660"/>
      <c r="K68" s="660"/>
      <c r="L68" s="660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855" t="s">
        <v>1755</v>
      </c>
      <c r="B69" s="939" t="s">
        <v>1446</v>
      </c>
      <c r="C69" s="939" t="s">
        <v>1756</v>
      </c>
      <c r="D69" s="939" t="s">
        <v>262</v>
      </c>
      <c r="E69" s="660"/>
      <c r="F69" s="660"/>
      <c r="G69" s="660"/>
      <c r="H69" s="660"/>
      <c r="I69" s="660"/>
      <c r="J69" s="660"/>
      <c r="K69" s="660"/>
      <c r="L69" s="660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855" t="s">
        <v>1757</v>
      </c>
      <c r="B70" s="939" t="s">
        <v>1036</v>
      </c>
      <c r="C70" s="950" t="s">
        <v>1758</v>
      </c>
      <c r="D70" s="939" t="s">
        <v>1453</v>
      </c>
      <c r="E70" s="660"/>
      <c r="F70" s="660"/>
      <c r="G70" s="660"/>
      <c r="H70" s="660"/>
      <c r="I70" s="660"/>
      <c r="J70" s="660"/>
      <c r="K70" s="660"/>
      <c r="L70" s="660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855" t="s">
        <v>1759</v>
      </c>
      <c r="B71" s="939" t="s">
        <v>1760</v>
      </c>
      <c r="C71" s="939" t="s">
        <v>1761</v>
      </c>
      <c r="D71" s="939" t="s">
        <v>1716</v>
      </c>
      <c r="E71" s="660"/>
      <c r="F71" s="660"/>
      <c r="G71" s="660"/>
      <c r="H71" s="660"/>
      <c r="I71" s="660"/>
      <c r="J71" s="660"/>
      <c r="K71" s="660"/>
      <c r="L71" s="660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660"/>
      <c r="B72" s="935"/>
      <c r="C72" s="935"/>
      <c r="D72" s="935"/>
      <c r="E72" s="660"/>
      <c r="F72" s="660"/>
      <c r="G72" s="660"/>
      <c r="H72" s="660"/>
      <c r="I72" s="660"/>
      <c r="J72" s="660"/>
      <c r="K72" s="660"/>
      <c r="L72" s="660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660"/>
      <c r="B73" s="935"/>
      <c r="C73" s="935"/>
      <c r="D73" s="935"/>
      <c r="E73" s="660"/>
      <c r="F73" s="660"/>
      <c r="G73" s="660"/>
      <c r="H73" s="660"/>
      <c r="I73" s="660"/>
      <c r="J73" s="660"/>
      <c r="K73" s="660"/>
      <c r="L73" s="660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954" t="s">
        <v>1042</v>
      </c>
      <c r="B74" s="955"/>
      <c r="C74" s="955"/>
      <c r="D74" s="955"/>
      <c r="E74" s="660"/>
      <c r="F74" s="660"/>
      <c r="G74" s="660"/>
      <c r="H74" s="660"/>
      <c r="I74" s="660"/>
      <c r="J74" s="660"/>
      <c r="K74" s="660"/>
      <c r="L74" s="660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956" t="s">
        <v>998</v>
      </c>
      <c r="B75" s="900" t="s">
        <v>999</v>
      </c>
      <c r="C75" s="900" t="s">
        <v>1044</v>
      </c>
      <c r="D75" s="900" t="s">
        <v>169</v>
      </c>
      <c r="E75" s="660"/>
      <c r="F75" s="660"/>
      <c r="G75" s="660"/>
      <c r="H75" s="660"/>
      <c r="I75" s="660"/>
      <c r="J75" s="660"/>
      <c r="K75" s="660"/>
      <c r="L75" s="660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957" t="s">
        <v>1762</v>
      </c>
      <c r="B76" s="897" t="s">
        <v>1763</v>
      </c>
      <c r="C76" s="897" t="s">
        <v>1060</v>
      </c>
      <c r="D76" s="897" t="s">
        <v>141</v>
      </c>
      <c r="E76" s="660"/>
      <c r="F76" s="660"/>
      <c r="G76" s="660"/>
      <c r="H76" s="660"/>
      <c r="I76" s="660"/>
      <c r="J76" s="660"/>
      <c r="K76" s="660"/>
      <c r="L76" s="660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958"/>
      <c r="B77" s="959"/>
      <c r="C77" s="959"/>
      <c r="D77" s="960"/>
      <c r="E77" s="660"/>
      <c r="F77" s="660"/>
      <c r="G77" s="660"/>
      <c r="H77" s="660"/>
      <c r="I77" s="660"/>
      <c r="J77" s="660"/>
      <c r="K77" s="660"/>
      <c r="L77" s="660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961"/>
      <c r="B78" s="962"/>
      <c r="C78" s="962"/>
      <c r="D78" s="660"/>
      <c r="E78" s="877"/>
      <c r="F78" s="660"/>
      <c r="G78" s="660"/>
      <c r="H78" s="660"/>
      <c r="I78" s="660"/>
      <c r="J78" s="660"/>
      <c r="K78" s="660"/>
      <c r="L78" s="660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963" t="s">
        <v>1764</v>
      </c>
      <c r="B79" s="964" t="s">
        <v>1044</v>
      </c>
      <c r="C79" s="964" t="s">
        <v>169</v>
      </c>
      <c r="D79" s="660"/>
      <c r="E79" s="660"/>
      <c r="F79" s="660"/>
      <c r="G79" s="660"/>
      <c r="H79" s="660"/>
      <c r="I79" s="660"/>
      <c r="J79" s="660"/>
      <c r="K79" s="660"/>
      <c r="L79" s="660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965" t="s">
        <v>1765</v>
      </c>
      <c r="B80" s="966"/>
      <c r="C80" s="966" t="s">
        <v>1766</v>
      </c>
      <c r="D80" s="660"/>
      <c r="E80" s="660"/>
      <c r="F80" s="660"/>
      <c r="G80" s="660"/>
      <c r="H80" s="660"/>
      <c r="I80" s="660"/>
      <c r="J80" s="660"/>
      <c r="K80" s="660"/>
      <c r="L80" s="660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967" t="s">
        <v>1767</v>
      </c>
      <c r="B81" s="968" t="s">
        <v>1768</v>
      </c>
      <c r="C81" s="968" t="s">
        <v>1769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965" t="s">
        <v>1770</v>
      </c>
      <c r="B82" s="966"/>
      <c r="C82" s="966"/>
      <c r="D82" s="660"/>
      <c r="E82" s="660"/>
      <c r="F82" s="660"/>
      <c r="G82" s="660"/>
      <c r="H82" s="660"/>
      <c r="I82" s="660"/>
      <c r="J82" s="660"/>
      <c r="K82" s="660"/>
      <c r="L82" s="660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660"/>
      <c r="B83" s="641"/>
      <c r="C83" s="660"/>
      <c r="D83" s="660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660"/>
      <c r="B84" s="660"/>
      <c r="C84" s="660"/>
      <c r="D84" s="660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</sheetData>
  <mergeCells count="14">
    <mergeCell ref="A48:A49"/>
    <mergeCell ref="A50:A51"/>
    <mergeCell ref="D50:D51"/>
    <mergeCell ref="A52:A53"/>
    <mergeCell ref="D52:D53"/>
    <mergeCell ref="A54:A55"/>
    <mergeCell ref="D54:D55"/>
    <mergeCell ref="A3:A4"/>
    <mergeCell ref="A28:A29"/>
    <mergeCell ref="A37:A38"/>
    <mergeCell ref="B37:B38"/>
    <mergeCell ref="A43:D43"/>
    <mergeCell ref="I45:L45"/>
    <mergeCell ref="D48:D49"/>
  </mergeCells>
  <drawing r:id="rId1"/>
</worksheet>
</file>